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nishq\"/>
    </mc:Choice>
  </mc:AlternateContent>
  <xr:revisionPtr revIDLastSave="0" documentId="13_ncr:1_{0D653465-743F-4BE8-9D13-84F9C3447C91}" xr6:coauthVersionLast="45" xr6:coauthVersionMax="45" xr10:uidLastSave="{00000000-0000-0000-0000-000000000000}"/>
  <bookViews>
    <workbookView xWindow="2340" yWindow="315" windowWidth="21600" windowHeight="13860" tabRatio="606" xr2:uid="{BFEB9D22-1A0F-4CCA-862F-0E1BAF47D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2" i="1"/>
  <c r="H11" i="1"/>
  <c r="H17" i="1"/>
  <c r="H18" i="1"/>
  <c r="H20" i="1"/>
  <c r="H31" i="1"/>
  <c r="H37" i="1"/>
  <c r="H38" i="1"/>
  <c r="H40" i="1"/>
  <c r="H51" i="1"/>
  <c r="H57" i="1"/>
  <c r="H58" i="1"/>
  <c r="H60" i="1"/>
  <c r="H71" i="1"/>
  <c r="H77" i="1"/>
  <c r="H78" i="1"/>
  <c r="H80" i="1"/>
  <c r="H91" i="1"/>
  <c r="H97" i="1"/>
  <c r="H98" i="1"/>
  <c r="H100" i="1"/>
  <c r="H111" i="1"/>
  <c r="H117" i="1"/>
  <c r="H118" i="1"/>
  <c r="H120" i="1"/>
  <c r="H131" i="1"/>
  <c r="H137" i="1"/>
  <c r="H138" i="1"/>
  <c r="H140" i="1"/>
  <c r="H151" i="1"/>
  <c r="H157" i="1"/>
  <c r="H158" i="1"/>
  <c r="H160" i="1"/>
  <c r="H171" i="1"/>
  <c r="H177" i="1"/>
  <c r="H178" i="1"/>
  <c r="H180" i="1"/>
  <c r="H191" i="1"/>
  <c r="H197" i="1"/>
  <c r="H198" i="1"/>
  <c r="H200" i="1"/>
  <c r="H211" i="1"/>
  <c r="H217" i="1"/>
  <c r="H218" i="1"/>
  <c r="H220" i="1"/>
  <c r="H231" i="1"/>
  <c r="H237" i="1"/>
  <c r="H238" i="1"/>
  <c r="H240" i="1"/>
  <c r="H251" i="1"/>
  <c r="H257" i="1"/>
  <c r="H258" i="1"/>
  <c r="H260" i="1"/>
  <c r="H271" i="1"/>
  <c r="H277" i="1"/>
  <c r="H278" i="1"/>
  <c r="H280" i="1"/>
  <c r="H291" i="1"/>
  <c r="H297" i="1"/>
  <c r="H298" i="1"/>
  <c r="H300" i="1"/>
  <c r="H311" i="1"/>
  <c r="H317" i="1"/>
  <c r="H318" i="1"/>
  <c r="H320" i="1"/>
  <c r="H331" i="1"/>
  <c r="H337" i="1"/>
  <c r="H338" i="1"/>
  <c r="H340" i="1"/>
  <c r="H351" i="1"/>
  <c r="H357" i="1"/>
  <c r="H358" i="1"/>
  <c r="H360" i="1"/>
  <c r="H371" i="1"/>
  <c r="H377" i="1"/>
  <c r="H378" i="1"/>
  <c r="H380" i="1"/>
  <c r="H391" i="1"/>
  <c r="H397" i="1"/>
  <c r="H398" i="1"/>
  <c r="H400" i="1"/>
  <c r="H411" i="1"/>
  <c r="H417" i="1"/>
  <c r="H418" i="1"/>
  <c r="H420" i="1"/>
  <c r="H431" i="1"/>
  <c r="H437" i="1"/>
  <c r="H438" i="1"/>
  <c r="H440" i="1"/>
  <c r="H451" i="1"/>
  <c r="H457" i="1"/>
  <c r="H458" i="1"/>
  <c r="H460" i="1"/>
  <c r="H471" i="1"/>
  <c r="H477" i="1"/>
  <c r="H478" i="1"/>
  <c r="H480" i="1"/>
  <c r="H491" i="1"/>
  <c r="H497" i="1"/>
  <c r="H498" i="1"/>
  <c r="H500" i="1"/>
  <c r="H511" i="1"/>
  <c r="H517" i="1"/>
  <c r="H518" i="1"/>
  <c r="H520" i="1"/>
  <c r="H531" i="1"/>
  <c r="H537" i="1"/>
  <c r="H538" i="1"/>
  <c r="H540" i="1"/>
  <c r="H551" i="1"/>
  <c r="H557" i="1"/>
  <c r="H558" i="1"/>
  <c r="H560" i="1"/>
  <c r="H571" i="1"/>
  <c r="H577" i="1"/>
  <c r="H578" i="1"/>
  <c r="H580" i="1"/>
  <c r="H591" i="1"/>
  <c r="H597" i="1"/>
  <c r="H598" i="1"/>
  <c r="H600" i="1"/>
  <c r="H611" i="1"/>
  <c r="H617" i="1"/>
  <c r="H618" i="1"/>
  <c r="H620" i="1"/>
  <c r="H631" i="1"/>
  <c r="H637" i="1"/>
  <c r="H638" i="1"/>
  <c r="H640" i="1"/>
  <c r="H651" i="1"/>
  <c r="H657" i="1"/>
  <c r="H658" i="1"/>
  <c r="H660" i="1"/>
  <c r="H671" i="1"/>
  <c r="H677" i="1"/>
  <c r="H678" i="1"/>
  <c r="H680" i="1"/>
  <c r="H691" i="1"/>
  <c r="H697" i="1"/>
  <c r="H698" i="1"/>
  <c r="H700" i="1"/>
  <c r="H711" i="1"/>
  <c r="H717" i="1"/>
  <c r="H718" i="1"/>
  <c r="H720" i="1"/>
  <c r="H731" i="1"/>
  <c r="H737" i="1"/>
  <c r="H738" i="1"/>
  <c r="H740" i="1"/>
  <c r="H751" i="1"/>
  <c r="H757" i="1"/>
  <c r="H758" i="1"/>
  <c r="H760" i="1"/>
  <c r="H771" i="1"/>
  <c r="H777" i="1"/>
  <c r="H778" i="1"/>
  <c r="H780" i="1"/>
  <c r="H791" i="1"/>
  <c r="H797" i="1"/>
  <c r="H798" i="1"/>
  <c r="H800" i="1"/>
  <c r="H811" i="1"/>
  <c r="H817" i="1"/>
  <c r="H818" i="1"/>
  <c r="H820" i="1"/>
  <c r="H831" i="1"/>
  <c r="H837" i="1"/>
  <c r="H838" i="1"/>
  <c r="H840" i="1"/>
  <c r="H851" i="1"/>
  <c r="H857" i="1"/>
  <c r="H858" i="1"/>
  <c r="H860" i="1"/>
  <c r="H871" i="1"/>
  <c r="H877" i="1"/>
  <c r="H878" i="1"/>
  <c r="H880" i="1"/>
  <c r="H891" i="1"/>
  <c r="H897" i="1"/>
  <c r="H898" i="1"/>
  <c r="H900" i="1"/>
  <c r="H911" i="1"/>
  <c r="H917" i="1"/>
  <c r="H918" i="1"/>
  <c r="H920" i="1"/>
  <c r="H931" i="1"/>
  <c r="H937" i="1"/>
  <c r="H938" i="1"/>
  <c r="H940" i="1"/>
  <c r="H951" i="1"/>
  <c r="H957" i="1"/>
  <c r="H958" i="1"/>
  <c r="H960" i="1"/>
  <c r="H971" i="1"/>
  <c r="H977" i="1"/>
  <c r="H978" i="1"/>
  <c r="H980" i="1"/>
  <c r="H991" i="1"/>
  <c r="H997" i="1"/>
  <c r="H998" i="1"/>
  <c r="H1000" i="1"/>
  <c r="H1011" i="1"/>
  <c r="H3" i="1"/>
  <c r="H4" i="1"/>
  <c r="H5" i="1"/>
  <c r="H6" i="1"/>
  <c r="H7" i="1"/>
  <c r="H8" i="1"/>
  <c r="H9" i="1"/>
  <c r="H10" i="1"/>
  <c r="H12" i="1"/>
  <c r="H13" i="1"/>
  <c r="H14" i="1"/>
  <c r="H15" i="1"/>
  <c r="H16" i="1"/>
  <c r="H19" i="1"/>
  <c r="H21" i="1"/>
  <c r="H22" i="1"/>
  <c r="H23" i="1"/>
  <c r="H24" i="1"/>
  <c r="H25" i="1"/>
  <c r="H26" i="1"/>
  <c r="H27" i="1"/>
  <c r="H28" i="1"/>
  <c r="H29" i="1"/>
  <c r="H30" i="1"/>
  <c r="H32" i="1"/>
  <c r="H33" i="1"/>
  <c r="H34" i="1"/>
  <c r="H35" i="1"/>
  <c r="H36" i="1"/>
  <c r="H39" i="1"/>
  <c r="H41" i="1"/>
  <c r="H42" i="1"/>
  <c r="H43" i="1"/>
  <c r="H44" i="1"/>
  <c r="H45" i="1"/>
  <c r="H46" i="1"/>
  <c r="H47" i="1"/>
  <c r="H48" i="1"/>
  <c r="H49" i="1"/>
  <c r="H50" i="1"/>
  <c r="H52" i="1"/>
  <c r="H53" i="1"/>
  <c r="H54" i="1"/>
  <c r="H55" i="1"/>
  <c r="H56" i="1"/>
  <c r="H59" i="1"/>
  <c r="H61" i="1"/>
  <c r="H62" i="1"/>
  <c r="H63" i="1"/>
  <c r="H64" i="1"/>
  <c r="H65" i="1"/>
  <c r="H66" i="1"/>
  <c r="H67" i="1"/>
  <c r="H68" i="1"/>
  <c r="H69" i="1"/>
  <c r="H70" i="1"/>
  <c r="H72" i="1"/>
  <c r="H73" i="1"/>
  <c r="H74" i="1"/>
  <c r="H75" i="1"/>
  <c r="H76" i="1"/>
  <c r="H79" i="1"/>
  <c r="H81" i="1"/>
  <c r="H82" i="1"/>
  <c r="H83" i="1"/>
  <c r="H84" i="1"/>
  <c r="H85" i="1"/>
  <c r="H86" i="1"/>
  <c r="H87" i="1"/>
  <c r="H88" i="1"/>
  <c r="H89" i="1"/>
  <c r="H90" i="1"/>
  <c r="H92" i="1"/>
  <c r="H93" i="1"/>
  <c r="H94" i="1"/>
  <c r="H95" i="1"/>
  <c r="H96" i="1"/>
  <c r="H99" i="1"/>
  <c r="H101" i="1"/>
  <c r="H102" i="1"/>
  <c r="H103" i="1"/>
  <c r="H104" i="1"/>
  <c r="H105" i="1"/>
  <c r="H106" i="1"/>
  <c r="H107" i="1"/>
  <c r="H108" i="1"/>
  <c r="H109" i="1"/>
  <c r="H110" i="1"/>
  <c r="H112" i="1"/>
  <c r="H113" i="1"/>
  <c r="H114" i="1"/>
  <c r="H115" i="1"/>
  <c r="H116" i="1"/>
  <c r="H119" i="1"/>
  <c r="H121" i="1"/>
  <c r="H122" i="1"/>
  <c r="H123" i="1"/>
  <c r="H124" i="1"/>
  <c r="H125" i="1"/>
  <c r="H126" i="1"/>
  <c r="H127" i="1"/>
  <c r="H128" i="1"/>
  <c r="H129" i="1"/>
  <c r="H130" i="1"/>
  <c r="H132" i="1"/>
  <c r="H133" i="1"/>
  <c r="H134" i="1"/>
  <c r="H135" i="1"/>
  <c r="H136" i="1"/>
  <c r="H139" i="1"/>
  <c r="H141" i="1"/>
  <c r="H142" i="1"/>
  <c r="H143" i="1"/>
  <c r="H144" i="1"/>
  <c r="H145" i="1"/>
  <c r="H146" i="1"/>
  <c r="H147" i="1"/>
  <c r="H148" i="1"/>
  <c r="H149" i="1"/>
  <c r="H150" i="1"/>
  <c r="H152" i="1"/>
  <c r="H153" i="1"/>
  <c r="H154" i="1"/>
  <c r="H155" i="1"/>
  <c r="H156" i="1"/>
  <c r="H159" i="1"/>
  <c r="H161" i="1"/>
  <c r="H162" i="1"/>
  <c r="H163" i="1"/>
  <c r="H164" i="1"/>
  <c r="H165" i="1"/>
  <c r="H166" i="1"/>
  <c r="H167" i="1"/>
  <c r="H168" i="1"/>
  <c r="H169" i="1"/>
  <c r="H170" i="1"/>
  <c r="H172" i="1"/>
  <c r="H173" i="1"/>
  <c r="H174" i="1"/>
  <c r="H175" i="1"/>
  <c r="H176" i="1"/>
  <c r="H179" i="1"/>
  <c r="H181" i="1"/>
  <c r="H182" i="1"/>
  <c r="H183" i="1"/>
  <c r="H184" i="1"/>
  <c r="H185" i="1"/>
  <c r="H186" i="1"/>
  <c r="H187" i="1"/>
  <c r="H188" i="1"/>
  <c r="H189" i="1"/>
  <c r="H190" i="1"/>
  <c r="H192" i="1"/>
  <c r="H193" i="1"/>
  <c r="H194" i="1"/>
  <c r="H195" i="1"/>
  <c r="H196" i="1"/>
  <c r="H199" i="1"/>
  <c r="H201" i="1"/>
  <c r="H202" i="1"/>
  <c r="H203" i="1"/>
  <c r="H204" i="1"/>
  <c r="H205" i="1"/>
  <c r="H206" i="1"/>
  <c r="H207" i="1"/>
  <c r="H208" i="1"/>
  <c r="H209" i="1"/>
  <c r="H210" i="1"/>
  <c r="H212" i="1"/>
  <c r="H213" i="1"/>
  <c r="H214" i="1"/>
  <c r="H215" i="1"/>
  <c r="H216" i="1"/>
  <c r="H219" i="1"/>
  <c r="H221" i="1"/>
  <c r="H222" i="1"/>
  <c r="H223" i="1"/>
  <c r="H224" i="1"/>
  <c r="H225" i="1"/>
  <c r="H226" i="1"/>
  <c r="H227" i="1"/>
  <c r="H228" i="1"/>
  <c r="H229" i="1"/>
  <c r="H230" i="1"/>
  <c r="H232" i="1"/>
  <c r="H233" i="1"/>
  <c r="H234" i="1"/>
  <c r="H235" i="1"/>
  <c r="H236" i="1"/>
  <c r="H239" i="1"/>
  <c r="H241" i="1"/>
  <c r="H242" i="1"/>
  <c r="H243" i="1"/>
  <c r="H244" i="1"/>
  <c r="H245" i="1"/>
  <c r="H246" i="1"/>
  <c r="H247" i="1"/>
  <c r="H248" i="1"/>
  <c r="H249" i="1"/>
  <c r="H250" i="1"/>
  <c r="H252" i="1"/>
  <c r="H253" i="1"/>
  <c r="H254" i="1"/>
  <c r="H255" i="1"/>
  <c r="H256" i="1"/>
  <c r="H259" i="1"/>
  <c r="H261" i="1"/>
  <c r="H262" i="1"/>
  <c r="H263" i="1"/>
  <c r="H264" i="1"/>
  <c r="H265" i="1"/>
  <c r="H266" i="1"/>
  <c r="H267" i="1"/>
  <c r="H268" i="1"/>
  <c r="H269" i="1"/>
  <c r="H270" i="1"/>
  <c r="H272" i="1"/>
  <c r="H273" i="1"/>
  <c r="H274" i="1"/>
  <c r="H275" i="1"/>
  <c r="H276" i="1"/>
  <c r="H279" i="1"/>
  <c r="H281" i="1"/>
  <c r="H282" i="1"/>
  <c r="H283" i="1"/>
  <c r="H284" i="1"/>
  <c r="H285" i="1"/>
  <c r="H286" i="1"/>
  <c r="H287" i="1"/>
  <c r="H288" i="1"/>
  <c r="H289" i="1"/>
  <c r="H290" i="1"/>
  <c r="H292" i="1"/>
  <c r="H293" i="1"/>
  <c r="H294" i="1"/>
  <c r="H295" i="1"/>
  <c r="H296" i="1"/>
  <c r="H299" i="1"/>
  <c r="H301" i="1"/>
  <c r="H302" i="1"/>
  <c r="H303" i="1"/>
  <c r="H304" i="1"/>
  <c r="H305" i="1"/>
  <c r="H306" i="1"/>
  <c r="H307" i="1"/>
  <c r="H308" i="1"/>
  <c r="H309" i="1"/>
  <c r="H310" i="1"/>
  <c r="H312" i="1"/>
  <c r="H313" i="1"/>
  <c r="H314" i="1"/>
  <c r="H315" i="1"/>
  <c r="H316" i="1"/>
  <c r="H319" i="1"/>
  <c r="H321" i="1"/>
  <c r="H322" i="1"/>
  <c r="H323" i="1"/>
  <c r="H324" i="1"/>
  <c r="H325" i="1"/>
  <c r="H326" i="1"/>
  <c r="H327" i="1"/>
  <c r="H328" i="1"/>
  <c r="H329" i="1"/>
  <c r="H330" i="1"/>
  <c r="H332" i="1"/>
  <c r="H333" i="1"/>
  <c r="H334" i="1"/>
  <c r="H335" i="1"/>
  <c r="H336" i="1"/>
  <c r="H339" i="1"/>
  <c r="H341" i="1"/>
  <c r="H342" i="1"/>
  <c r="H343" i="1"/>
  <c r="H344" i="1"/>
  <c r="H345" i="1"/>
  <c r="H346" i="1"/>
  <c r="H347" i="1"/>
  <c r="H348" i="1"/>
  <c r="H349" i="1"/>
  <c r="H350" i="1"/>
  <c r="H352" i="1"/>
  <c r="H353" i="1"/>
  <c r="H354" i="1"/>
  <c r="H355" i="1"/>
  <c r="H356" i="1"/>
  <c r="H359" i="1"/>
  <c r="H361" i="1"/>
  <c r="H362" i="1"/>
  <c r="H363" i="1"/>
  <c r="H364" i="1"/>
  <c r="H365" i="1"/>
  <c r="H366" i="1"/>
  <c r="H367" i="1"/>
  <c r="H368" i="1"/>
  <c r="H369" i="1"/>
  <c r="H370" i="1"/>
  <c r="H372" i="1"/>
  <c r="H373" i="1"/>
  <c r="H374" i="1"/>
  <c r="H375" i="1"/>
  <c r="H376" i="1"/>
  <c r="H379" i="1"/>
  <c r="H381" i="1"/>
  <c r="H382" i="1"/>
  <c r="H383" i="1"/>
  <c r="H384" i="1"/>
  <c r="H385" i="1"/>
  <c r="H386" i="1"/>
  <c r="H387" i="1"/>
  <c r="H388" i="1"/>
  <c r="H389" i="1"/>
  <c r="H390" i="1"/>
  <c r="H392" i="1"/>
  <c r="H393" i="1"/>
  <c r="H394" i="1"/>
  <c r="H395" i="1"/>
  <c r="H396" i="1"/>
  <c r="H399" i="1"/>
  <c r="H401" i="1"/>
  <c r="H402" i="1"/>
  <c r="H403" i="1"/>
  <c r="H404" i="1"/>
  <c r="H405" i="1"/>
  <c r="H406" i="1"/>
  <c r="H407" i="1"/>
  <c r="H408" i="1"/>
  <c r="H409" i="1"/>
  <c r="H410" i="1"/>
  <c r="H412" i="1"/>
  <c r="H413" i="1"/>
  <c r="H414" i="1"/>
  <c r="H415" i="1"/>
  <c r="H416" i="1"/>
  <c r="H419" i="1"/>
  <c r="H421" i="1"/>
  <c r="H422" i="1"/>
  <c r="H423" i="1"/>
  <c r="H424" i="1"/>
  <c r="H425" i="1"/>
  <c r="H426" i="1"/>
  <c r="H427" i="1"/>
  <c r="H428" i="1"/>
  <c r="H429" i="1"/>
  <c r="H430" i="1"/>
  <c r="H432" i="1"/>
  <c r="H433" i="1"/>
  <c r="H434" i="1"/>
  <c r="H435" i="1"/>
  <c r="H436" i="1"/>
  <c r="H439" i="1"/>
  <c r="H441" i="1"/>
  <c r="H442" i="1"/>
  <c r="H443" i="1"/>
  <c r="H444" i="1"/>
  <c r="H445" i="1"/>
  <c r="H446" i="1"/>
  <c r="H447" i="1"/>
  <c r="H448" i="1"/>
  <c r="H449" i="1"/>
  <c r="H450" i="1"/>
  <c r="H452" i="1"/>
  <c r="H453" i="1"/>
  <c r="H454" i="1"/>
  <c r="H455" i="1"/>
  <c r="H456" i="1"/>
  <c r="H459" i="1"/>
  <c r="H461" i="1"/>
  <c r="H462" i="1"/>
  <c r="H463" i="1"/>
  <c r="H464" i="1"/>
  <c r="H465" i="1"/>
  <c r="H466" i="1"/>
  <c r="H467" i="1"/>
  <c r="H468" i="1"/>
  <c r="H469" i="1"/>
  <c r="H470" i="1"/>
  <c r="H472" i="1"/>
  <c r="H473" i="1"/>
  <c r="H474" i="1"/>
  <c r="H475" i="1"/>
  <c r="H476" i="1"/>
  <c r="H479" i="1"/>
  <c r="H481" i="1"/>
  <c r="H482" i="1"/>
  <c r="H483" i="1"/>
  <c r="H484" i="1"/>
  <c r="H485" i="1"/>
  <c r="H486" i="1"/>
  <c r="H487" i="1"/>
  <c r="H488" i="1"/>
  <c r="H489" i="1"/>
  <c r="H490" i="1"/>
  <c r="H492" i="1"/>
  <c r="H493" i="1"/>
  <c r="H494" i="1"/>
  <c r="H495" i="1"/>
  <c r="H496" i="1"/>
  <c r="H499" i="1"/>
  <c r="H501" i="1"/>
  <c r="H502" i="1"/>
  <c r="H503" i="1"/>
  <c r="H504" i="1"/>
  <c r="H505" i="1"/>
  <c r="H506" i="1"/>
  <c r="H507" i="1"/>
  <c r="H508" i="1"/>
  <c r="H509" i="1"/>
  <c r="H510" i="1"/>
  <c r="H512" i="1"/>
  <c r="H513" i="1"/>
  <c r="H514" i="1"/>
  <c r="H515" i="1"/>
  <c r="H516" i="1"/>
  <c r="H519" i="1"/>
  <c r="H521" i="1"/>
  <c r="H522" i="1"/>
  <c r="H523" i="1"/>
  <c r="H524" i="1"/>
  <c r="H525" i="1"/>
  <c r="H526" i="1"/>
  <c r="H527" i="1"/>
  <c r="H528" i="1"/>
  <c r="H529" i="1"/>
  <c r="H530" i="1"/>
  <c r="H532" i="1"/>
  <c r="H533" i="1"/>
  <c r="H534" i="1"/>
  <c r="H535" i="1"/>
  <c r="H536" i="1"/>
  <c r="H539" i="1"/>
  <c r="H541" i="1"/>
  <c r="H542" i="1"/>
  <c r="H543" i="1"/>
  <c r="H544" i="1"/>
  <c r="H545" i="1"/>
  <c r="H546" i="1"/>
  <c r="H547" i="1"/>
  <c r="H548" i="1"/>
  <c r="H549" i="1"/>
  <c r="H550" i="1"/>
  <c r="H552" i="1"/>
  <c r="H553" i="1"/>
  <c r="H554" i="1"/>
  <c r="H555" i="1"/>
  <c r="H556" i="1"/>
  <c r="H559" i="1"/>
  <c r="H561" i="1"/>
  <c r="H562" i="1"/>
  <c r="H563" i="1"/>
  <c r="H564" i="1"/>
  <c r="H565" i="1"/>
  <c r="H566" i="1"/>
  <c r="H567" i="1"/>
  <c r="H568" i="1"/>
  <c r="H569" i="1"/>
  <c r="H570" i="1"/>
  <c r="H572" i="1"/>
  <c r="H573" i="1"/>
  <c r="H574" i="1"/>
  <c r="H575" i="1"/>
  <c r="H576" i="1"/>
  <c r="H579" i="1"/>
  <c r="H581" i="1"/>
  <c r="H582" i="1"/>
  <c r="H583" i="1"/>
  <c r="H584" i="1"/>
  <c r="H585" i="1"/>
  <c r="H586" i="1"/>
  <c r="H587" i="1"/>
  <c r="H588" i="1"/>
  <c r="H589" i="1"/>
  <c r="H590" i="1"/>
  <c r="H592" i="1"/>
  <c r="H593" i="1"/>
  <c r="H594" i="1"/>
  <c r="H595" i="1"/>
  <c r="H596" i="1"/>
  <c r="H599" i="1"/>
  <c r="H601" i="1"/>
  <c r="H602" i="1"/>
  <c r="H603" i="1"/>
  <c r="H604" i="1"/>
  <c r="H605" i="1"/>
  <c r="H606" i="1"/>
  <c r="H607" i="1"/>
  <c r="H608" i="1"/>
  <c r="H609" i="1"/>
  <c r="H610" i="1"/>
  <c r="H612" i="1"/>
  <c r="H613" i="1"/>
  <c r="H614" i="1"/>
  <c r="H615" i="1"/>
  <c r="H616" i="1"/>
  <c r="H619" i="1"/>
  <c r="H621" i="1"/>
  <c r="H622" i="1"/>
  <c r="H623" i="1"/>
  <c r="H624" i="1"/>
  <c r="H625" i="1"/>
  <c r="H626" i="1"/>
  <c r="H627" i="1"/>
  <c r="H628" i="1"/>
  <c r="H629" i="1"/>
  <c r="H630" i="1"/>
  <c r="H632" i="1"/>
  <c r="H633" i="1"/>
  <c r="H634" i="1"/>
  <c r="H635" i="1"/>
  <c r="H636" i="1"/>
  <c r="H639" i="1"/>
  <c r="H641" i="1"/>
  <c r="H642" i="1"/>
  <c r="H643" i="1"/>
  <c r="H644" i="1"/>
  <c r="H645" i="1"/>
  <c r="H646" i="1"/>
  <c r="H647" i="1"/>
  <c r="H648" i="1"/>
  <c r="H649" i="1"/>
  <c r="H650" i="1"/>
  <c r="H652" i="1"/>
  <c r="H653" i="1"/>
  <c r="H654" i="1"/>
  <c r="H655" i="1"/>
  <c r="H656" i="1"/>
  <c r="H659" i="1"/>
  <c r="H661" i="1"/>
  <c r="H662" i="1"/>
  <c r="H663" i="1"/>
  <c r="H664" i="1"/>
  <c r="H665" i="1"/>
  <c r="H666" i="1"/>
  <c r="H667" i="1"/>
  <c r="H668" i="1"/>
  <c r="H669" i="1"/>
  <c r="H670" i="1"/>
  <c r="H672" i="1"/>
  <c r="H673" i="1"/>
  <c r="H674" i="1"/>
  <c r="H675" i="1"/>
  <c r="H676" i="1"/>
  <c r="H679" i="1"/>
  <c r="H681" i="1"/>
  <c r="H682" i="1"/>
  <c r="H683" i="1"/>
  <c r="H684" i="1"/>
  <c r="H685" i="1"/>
  <c r="H686" i="1"/>
  <c r="H687" i="1"/>
  <c r="H688" i="1"/>
  <c r="H689" i="1"/>
  <c r="H690" i="1"/>
  <c r="H692" i="1"/>
  <c r="H693" i="1"/>
  <c r="H694" i="1"/>
  <c r="H695" i="1"/>
  <c r="H696" i="1"/>
  <c r="H699" i="1"/>
  <c r="H701" i="1"/>
  <c r="H702" i="1"/>
  <c r="H703" i="1"/>
  <c r="H704" i="1"/>
  <c r="H705" i="1"/>
  <c r="H706" i="1"/>
  <c r="H707" i="1"/>
  <c r="H708" i="1"/>
  <c r="H709" i="1"/>
  <c r="H710" i="1"/>
  <c r="H712" i="1"/>
  <c r="H713" i="1"/>
  <c r="H714" i="1"/>
  <c r="H715" i="1"/>
  <c r="H716" i="1"/>
  <c r="H719" i="1"/>
  <c r="H721" i="1"/>
  <c r="H722" i="1"/>
  <c r="H723" i="1"/>
  <c r="H724" i="1"/>
  <c r="H725" i="1"/>
  <c r="H726" i="1"/>
  <c r="H727" i="1"/>
  <c r="H728" i="1"/>
  <c r="H729" i="1"/>
  <c r="H730" i="1"/>
  <c r="H732" i="1"/>
  <c r="H733" i="1"/>
  <c r="H734" i="1"/>
  <c r="H735" i="1"/>
  <c r="H736" i="1"/>
  <c r="H739" i="1"/>
  <c r="H741" i="1"/>
  <c r="H742" i="1"/>
  <c r="H743" i="1"/>
  <c r="H744" i="1"/>
  <c r="H745" i="1"/>
  <c r="H746" i="1"/>
  <c r="H747" i="1"/>
  <c r="H748" i="1"/>
  <c r="H749" i="1"/>
  <c r="H750" i="1"/>
  <c r="H752" i="1"/>
  <c r="H753" i="1"/>
  <c r="H754" i="1"/>
  <c r="H755" i="1"/>
  <c r="H756" i="1"/>
  <c r="H759" i="1"/>
  <c r="H761" i="1"/>
  <c r="H762" i="1"/>
  <c r="H763" i="1"/>
  <c r="H764" i="1"/>
  <c r="H765" i="1"/>
  <c r="H766" i="1"/>
  <c r="H767" i="1"/>
  <c r="H768" i="1"/>
  <c r="H769" i="1"/>
  <c r="H770" i="1"/>
  <c r="H772" i="1"/>
  <c r="H773" i="1"/>
  <c r="H774" i="1"/>
  <c r="H775" i="1"/>
  <c r="H776" i="1"/>
  <c r="H779" i="1"/>
  <c r="H781" i="1"/>
  <c r="H782" i="1"/>
  <c r="H783" i="1"/>
  <c r="H784" i="1"/>
  <c r="H785" i="1"/>
  <c r="H786" i="1"/>
  <c r="H787" i="1"/>
  <c r="H788" i="1"/>
  <c r="H789" i="1"/>
  <c r="H790" i="1"/>
  <c r="H792" i="1"/>
  <c r="H793" i="1"/>
  <c r="H794" i="1"/>
  <c r="H795" i="1"/>
  <c r="H796" i="1"/>
  <c r="H799" i="1"/>
  <c r="H801" i="1"/>
  <c r="H802" i="1"/>
  <c r="H803" i="1"/>
  <c r="H804" i="1"/>
  <c r="H805" i="1"/>
  <c r="H806" i="1"/>
  <c r="H807" i="1"/>
  <c r="H808" i="1"/>
  <c r="H809" i="1"/>
  <c r="H810" i="1"/>
  <c r="H812" i="1"/>
  <c r="H813" i="1"/>
  <c r="H814" i="1"/>
  <c r="H815" i="1"/>
  <c r="H816" i="1"/>
  <c r="H819" i="1"/>
  <c r="H821" i="1"/>
  <c r="H822" i="1"/>
  <c r="H823" i="1"/>
  <c r="H824" i="1"/>
  <c r="H825" i="1"/>
  <c r="H826" i="1"/>
  <c r="H827" i="1"/>
  <c r="H828" i="1"/>
  <c r="H829" i="1"/>
  <c r="H830" i="1"/>
  <c r="H832" i="1"/>
  <c r="H833" i="1"/>
  <c r="H834" i="1"/>
  <c r="H835" i="1"/>
  <c r="H836" i="1"/>
  <c r="H839" i="1"/>
  <c r="H841" i="1"/>
  <c r="H842" i="1"/>
  <c r="H843" i="1"/>
  <c r="H844" i="1"/>
  <c r="H845" i="1"/>
  <c r="H846" i="1"/>
  <c r="H847" i="1"/>
  <c r="H848" i="1"/>
  <c r="H849" i="1"/>
  <c r="H850" i="1"/>
  <c r="H852" i="1"/>
  <c r="H853" i="1"/>
  <c r="H854" i="1"/>
  <c r="H855" i="1"/>
  <c r="H856" i="1"/>
  <c r="H859" i="1"/>
  <c r="H861" i="1"/>
  <c r="H862" i="1"/>
  <c r="H863" i="1"/>
  <c r="H864" i="1"/>
  <c r="H865" i="1"/>
  <c r="H866" i="1"/>
  <c r="H867" i="1"/>
  <c r="H868" i="1"/>
  <c r="H869" i="1"/>
  <c r="H870" i="1"/>
  <c r="H872" i="1"/>
  <c r="H873" i="1"/>
  <c r="H874" i="1"/>
  <c r="H875" i="1"/>
  <c r="H876" i="1"/>
  <c r="H879" i="1"/>
  <c r="H881" i="1"/>
  <c r="H882" i="1"/>
  <c r="H883" i="1"/>
  <c r="H884" i="1"/>
  <c r="H885" i="1"/>
  <c r="H886" i="1"/>
  <c r="H887" i="1"/>
  <c r="H888" i="1"/>
  <c r="H889" i="1"/>
  <c r="H890" i="1"/>
  <c r="H892" i="1"/>
  <c r="H893" i="1"/>
  <c r="H894" i="1"/>
  <c r="H895" i="1"/>
  <c r="H896" i="1"/>
  <c r="H899" i="1"/>
  <c r="H901" i="1"/>
  <c r="H902" i="1"/>
  <c r="H903" i="1"/>
  <c r="H904" i="1"/>
  <c r="H905" i="1"/>
  <c r="H906" i="1"/>
  <c r="H907" i="1"/>
  <c r="H908" i="1"/>
  <c r="H909" i="1"/>
  <c r="H910" i="1"/>
  <c r="H912" i="1"/>
  <c r="H913" i="1"/>
  <c r="H914" i="1"/>
  <c r="H915" i="1"/>
  <c r="H916" i="1"/>
  <c r="H919" i="1"/>
  <c r="H921" i="1"/>
  <c r="H922" i="1"/>
  <c r="H923" i="1"/>
  <c r="H924" i="1"/>
  <c r="H925" i="1"/>
  <c r="H926" i="1"/>
  <c r="H927" i="1"/>
  <c r="H928" i="1"/>
  <c r="H929" i="1"/>
  <c r="H930" i="1"/>
  <c r="H932" i="1"/>
  <c r="H933" i="1"/>
  <c r="H934" i="1"/>
  <c r="H935" i="1"/>
  <c r="H936" i="1"/>
  <c r="H939" i="1"/>
  <c r="H941" i="1"/>
  <c r="H942" i="1"/>
  <c r="H943" i="1"/>
  <c r="H944" i="1"/>
  <c r="H945" i="1"/>
  <c r="H946" i="1"/>
  <c r="H947" i="1"/>
  <c r="H948" i="1"/>
  <c r="H949" i="1"/>
  <c r="H950" i="1"/>
  <c r="H952" i="1"/>
  <c r="H953" i="1"/>
  <c r="H954" i="1"/>
  <c r="H955" i="1"/>
  <c r="H956" i="1"/>
  <c r="H959" i="1"/>
  <c r="H961" i="1"/>
  <c r="H962" i="1"/>
  <c r="H963" i="1"/>
  <c r="H964" i="1"/>
  <c r="H965" i="1"/>
  <c r="H966" i="1"/>
  <c r="H967" i="1"/>
  <c r="H968" i="1"/>
  <c r="H969" i="1"/>
  <c r="H970" i="1"/>
  <c r="H972" i="1"/>
  <c r="H973" i="1"/>
  <c r="H974" i="1"/>
  <c r="H975" i="1"/>
  <c r="H976" i="1"/>
  <c r="H979" i="1"/>
  <c r="H981" i="1"/>
  <c r="H982" i="1"/>
  <c r="H983" i="1"/>
  <c r="H984" i="1"/>
  <c r="H985" i="1"/>
  <c r="H986" i="1"/>
  <c r="H987" i="1"/>
  <c r="H988" i="1"/>
  <c r="H989" i="1"/>
  <c r="H990" i="1"/>
  <c r="H992" i="1"/>
  <c r="H993" i="1"/>
  <c r="H994" i="1"/>
  <c r="H995" i="1"/>
  <c r="H996" i="1"/>
  <c r="H999" i="1"/>
  <c r="H1001" i="1"/>
  <c r="H1002" i="1"/>
  <c r="H1003" i="1"/>
  <c r="H1004" i="1"/>
  <c r="H1005" i="1"/>
  <c r="H1006" i="1"/>
  <c r="H1007" i="1"/>
  <c r="H1008" i="1"/>
  <c r="H1009" i="1"/>
  <c r="H1010" i="1"/>
  <c r="H1012" i="1"/>
  <c r="H2" i="1"/>
  <c r="M1013" i="1" l="1"/>
  <c r="M1008" i="1"/>
  <c r="M1012" i="1"/>
  <c r="M1011" i="1"/>
  <c r="M1010" i="1"/>
  <c r="M1009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Y3" i="1"/>
  <c r="Y4" i="1"/>
  <c r="Y6" i="1"/>
  <c r="Y7" i="1"/>
  <c r="Y8" i="1"/>
  <c r="Y13" i="1"/>
  <c r="Y14" i="1"/>
  <c r="Y15" i="1"/>
  <c r="Y16" i="1"/>
  <c r="Y20" i="1"/>
  <c r="Y21" i="1"/>
  <c r="Y25" i="1"/>
  <c r="Y26" i="1"/>
  <c r="Y28" i="1"/>
  <c r="Y29" i="1"/>
  <c r="Y30" i="1"/>
  <c r="Y31" i="1"/>
  <c r="Y32" i="1"/>
  <c r="Y34" i="1"/>
  <c r="Y36" i="1"/>
  <c r="Y37" i="1"/>
  <c r="Y38" i="1"/>
  <c r="Y39" i="1"/>
  <c r="Y40" i="1"/>
  <c r="Y43" i="1"/>
  <c r="Y45" i="1"/>
  <c r="Y46" i="1"/>
  <c r="Y47" i="1"/>
  <c r="Y48" i="1"/>
  <c r="Y50" i="1"/>
  <c r="Y51" i="1"/>
  <c r="Y52" i="1"/>
  <c r="Y55" i="1"/>
  <c r="Y57" i="1"/>
  <c r="Y58" i="1"/>
  <c r="Y59" i="1"/>
  <c r="Y60" i="1"/>
  <c r="Y61" i="1"/>
  <c r="Y63" i="1"/>
  <c r="Y65" i="1"/>
  <c r="Y68" i="1"/>
  <c r="Y71" i="1"/>
  <c r="Y73" i="1"/>
  <c r="Y74" i="1"/>
  <c r="Y75" i="1"/>
  <c r="Y76" i="1"/>
  <c r="Y80" i="1"/>
  <c r="Y83" i="1"/>
  <c r="Y87" i="1"/>
  <c r="Y88" i="1"/>
  <c r="Y89" i="1"/>
  <c r="Y90" i="1"/>
  <c r="Y91" i="1"/>
  <c r="Y92" i="1"/>
  <c r="Y93" i="1"/>
  <c r="Y95" i="1"/>
  <c r="Y97" i="1"/>
  <c r="Y98" i="1"/>
  <c r="Y99" i="1"/>
  <c r="Y100" i="1"/>
  <c r="Y101" i="1"/>
  <c r="Y105" i="1"/>
  <c r="Y106" i="1"/>
  <c r="Y108" i="1"/>
  <c r="Y111" i="1"/>
  <c r="Y112" i="1"/>
  <c r="Y113" i="1"/>
  <c r="Y114" i="1"/>
  <c r="Y115" i="1"/>
  <c r="Y116" i="1"/>
  <c r="Y118" i="1"/>
  <c r="Y119" i="1"/>
  <c r="Y121" i="1"/>
  <c r="Y122" i="1"/>
  <c r="Y125" i="1"/>
  <c r="Y126" i="1"/>
  <c r="Y127" i="1"/>
  <c r="Y129" i="1"/>
  <c r="Y130" i="1"/>
  <c r="Y131" i="1"/>
  <c r="Y132" i="1"/>
  <c r="Y135" i="1"/>
  <c r="Y137" i="1"/>
  <c r="Y139" i="1"/>
  <c r="Y140" i="1"/>
  <c r="Y141" i="1"/>
  <c r="Y142" i="1"/>
  <c r="Y144" i="1"/>
  <c r="Y146" i="1"/>
  <c r="Y147" i="1"/>
  <c r="Y148" i="1"/>
  <c r="Y149" i="1"/>
  <c r="Y151" i="1"/>
  <c r="Y152" i="1"/>
  <c r="Y153" i="1"/>
  <c r="Y155" i="1"/>
  <c r="Y156" i="1"/>
  <c r="Y160" i="1"/>
  <c r="Y161" i="1"/>
  <c r="Y162" i="1"/>
  <c r="Y163" i="1"/>
  <c r="Y164" i="1"/>
  <c r="Y166" i="1"/>
  <c r="Y167" i="1"/>
  <c r="Y171" i="1"/>
  <c r="Y174" i="1"/>
  <c r="Y175" i="1"/>
  <c r="Y178" i="1"/>
  <c r="Y179" i="1"/>
  <c r="Y181" i="1"/>
  <c r="Y182" i="1"/>
  <c r="Y183" i="1"/>
  <c r="Y184" i="1"/>
  <c r="Y185" i="1"/>
  <c r="Y186" i="1"/>
  <c r="Y187" i="1"/>
  <c r="Y188" i="1"/>
  <c r="Y189" i="1"/>
  <c r="Y190" i="1"/>
  <c r="Y192" i="1"/>
  <c r="Y193" i="1"/>
  <c r="Y194" i="1"/>
  <c r="Y195" i="1"/>
  <c r="Y196" i="1"/>
  <c r="Y197" i="1"/>
  <c r="Y198" i="1"/>
  <c r="Y199" i="1"/>
  <c r="Y201" i="1"/>
  <c r="Y202" i="1"/>
  <c r="Y204" i="1"/>
  <c r="Y205" i="1"/>
  <c r="Y206" i="1"/>
  <c r="Y208" i="1"/>
  <c r="Y209" i="1"/>
  <c r="Y211" i="1"/>
  <c r="Y212" i="1"/>
  <c r="Y214" i="1"/>
  <c r="Y216" i="1"/>
  <c r="Y217" i="1"/>
  <c r="Y219" i="1"/>
  <c r="Y220" i="1"/>
  <c r="Y221" i="1"/>
  <c r="Y225" i="1"/>
  <c r="Y226" i="1"/>
  <c r="Y227" i="1"/>
  <c r="Y229" i="1"/>
  <c r="Y230" i="1"/>
  <c r="Y232" i="1"/>
  <c r="Y233" i="1"/>
  <c r="Y237" i="1"/>
  <c r="Y238" i="1"/>
  <c r="Y240" i="1"/>
  <c r="Y241" i="1"/>
  <c r="Y242" i="1"/>
  <c r="Y243" i="1"/>
  <c r="Y244" i="1"/>
  <c r="Y245" i="1"/>
  <c r="Y247" i="1"/>
  <c r="Y248" i="1"/>
  <c r="Y250" i="1"/>
  <c r="Y251" i="1"/>
  <c r="Y252" i="1"/>
  <c r="Y253" i="1"/>
  <c r="Y257" i="1"/>
  <c r="Y260" i="1"/>
  <c r="Y262" i="1"/>
  <c r="Y264" i="1"/>
  <c r="Y266" i="1"/>
  <c r="Y267" i="1"/>
  <c r="Y269" i="1"/>
  <c r="Y270" i="1"/>
  <c r="Y271" i="1"/>
  <c r="Y272" i="1"/>
  <c r="Y275" i="1"/>
  <c r="Y276" i="1"/>
  <c r="Y278" i="1"/>
  <c r="Y279" i="1"/>
  <c r="Y280" i="1"/>
  <c r="Y286" i="1"/>
  <c r="Y287" i="1"/>
  <c r="Y288" i="1"/>
  <c r="Y289" i="1"/>
  <c r="Y291" i="1"/>
  <c r="Y293" i="1"/>
  <c r="Y297" i="1"/>
  <c r="Y298" i="1"/>
  <c r="Y299" i="1"/>
  <c r="Y301" i="1"/>
  <c r="Y304" i="1"/>
  <c r="Y305" i="1"/>
  <c r="Y307" i="1"/>
  <c r="Y308" i="1"/>
  <c r="Y311" i="1"/>
  <c r="Y312" i="1"/>
  <c r="Y313" i="1"/>
  <c r="Y314" i="1"/>
  <c r="Y316" i="1"/>
  <c r="Y318" i="1"/>
  <c r="Y319" i="1"/>
  <c r="Y321" i="1"/>
  <c r="Y323" i="1"/>
  <c r="Y324" i="1"/>
  <c r="Y327" i="1"/>
  <c r="Y328" i="1"/>
  <c r="Y329" i="1"/>
  <c r="Y330" i="1"/>
  <c r="Y331" i="1"/>
  <c r="Y334" i="1"/>
  <c r="Y335" i="1"/>
  <c r="Y337" i="1"/>
  <c r="Y338" i="1"/>
  <c r="Y341" i="1"/>
  <c r="Y342" i="1"/>
  <c r="Y343" i="1"/>
  <c r="Y344" i="1"/>
  <c r="Y345" i="1"/>
  <c r="Y346" i="1"/>
  <c r="Y347" i="1"/>
  <c r="Y348" i="1"/>
  <c r="Y352" i="1"/>
  <c r="Y353" i="1"/>
  <c r="Y357" i="1"/>
  <c r="Y358" i="1"/>
  <c r="Y359" i="1"/>
  <c r="Y361" i="1"/>
  <c r="Y362" i="1"/>
  <c r="Y363" i="1"/>
  <c r="Y364" i="1"/>
  <c r="Y365" i="1"/>
  <c r="Y367" i="1"/>
  <c r="Y368" i="1"/>
  <c r="Y369" i="1"/>
  <c r="Y370" i="1"/>
  <c r="Y371" i="1"/>
  <c r="Y373" i="1"/>
  <c r="Y374" i="1"/>
  <c r="Y375" i="1"/>
  <c r="Y376" i="1"/>
  <c r="Y377" i="1"/>
  <c r="Y378" i="1"/>
  <c r="Y379" i="1"/>
  <c r="Y381" i="1"/>
  <c r="Y382" i="1"/>
  <c r="Y383" i="1"/>
  <c r="Y384" i="1"/>
  <c r="Y385" i="1"/>
  <c r="Y386" i="1"/>
  <c r="Y387" i="1"/>
  <c r="Y388" i="1"/>
  <c r="Y389" i="1"/>
  <c r="Y392" i="1"/>
  <c r="Y393" i="1"/>
  <c r="Y394" i="1"/>
  <c r="Y395" i="1"/>
  <c r="Y396" i="1"/>
  <c r="Y397" i="1"/>
  <c r="Y398" i="1"/>
  <c r="Y399" i="1"/>
  <c r="Y400" i="1"/>
  <c r="Y402" i="1"/>
  <c r="Y404" i="1"/>
  <c r="Y408" i="1"/>
  <c r="Y411" i="1"/>
  <c r="Y413" i="1"/>
  <c r="Y415" i="1"/>
  <c r="Y416" i="1"/>
  <c r="Y417" i="1"/>
  <c r="Y418" i="1"/>
  <c r="Y419" i="1"/>
  <c r="Y420" i="1"/>
  <c r="Y421" i="1"/>
  <c r="Y427" i="1"/>
  <c r="Y428" i="1"/>
  <c r="Y430" i="1"/>
  <c r="Y431" i="1"/>
  <c r="Y434" i="1"/>
  <c r="Y438" i="1"/>
  <c r="Y440" i="1"/>
  <c r="Y441" i="1"/>
  <c r="Y442" i="1"/>
  <c r="Y443" i="1"/>
  <c r="Y444" i="1"/>
  <c r="Y446" i="1"/>
  <c r="Y447" i="1"/>
  <c r="Y448" i="1"/>
  <c r="Y450" i="1"/>
  <c r="Y451" i="1"/>
  <c r="Y452" i="1"/>
  <c r="Y453" i="1"/>
  <c r="Y454" i="1"/>
  <c r="Y455" i="1"/>
  <c r="Y458" i="1"/>
  <c r="Y459" i="1"/>
  <c r="Y460" i="1"/>
  <c r="Y461" i="1"/>
  <c r="Y462" i="1"/>
  <c r="Y463" i="1"/>
  <c r="Y466" i="1"/>
  <c r="Y467" i="1"/>
  <c r="Y468" i="1"/>
  <c r="Y469" i="1"/>
  <c r="Y471" i="1"/>
  <c r="Y472" i="1"/>
  <c r="Y473" i="1"/>
  <c r="Y475" i="1"/>
  <c r="Y476" i="1"/>
  <c r="Y477" i="1"/>
  <c r="Y478" i="1"/>
  <c r="Y479" i="1"/>
  <c r="Y480" i="1"/>
  <c r="Y481" i="1"/>
  <c r="Y482" i="1"/>
  <c r="Y483" i="1"/>
  <c r="Y485" i="1"/>
  <c r="Y488" i="1"/>
  <c r="Y489" i="1"/>
  <c r="Y490" i="1"/>
  <c r="Y491" i="1"/>
  <c r="Y492" i="1"/>
  <c r="Y494" i="1"/>
  <c r="Y495" i="1"/>
  <c r="Y497" i="1"/>
  <c r="Y498" i="1"/>
  <c r="Y500" i="1"/>
  <c r="Y501" i="1"/>
  <c r="Y502" i="1"/>
  <c r="Y503" i="1"/>
  <c r="Y504" i="1"/>
  <c r="Y505" i="1"/>
  <c r="Y508" i="1"/>
  <c r="Y509" i="1"/>
  <c r="Y511" i="1"/>
  <c r="Y512" i="1"/>
  <c r="Y513" i="1"/>
  <c r="Y514" i="1"/>
  <c r="Y518" i="1"/>
  <c r="Y520" i="1"/>
  <c r="Y522" i="1"/>
  <c r="Y523" i="1"/>
  <c r="Y524" i="1"/>
  <c r="Y527" i="1"/>
  <c r="Y530" i="1"/>
  <c r="Y531" i="1"/>
  <c r="Y532" i="1"/>
  <c r="Y533" i="1"/>
  <c r="Y535" i="1"/>
  <c r="Y537" i="1"/>
  <c r="Y538" i="1"/>
  <c r="Y539" i="1"/>
  <c r="Y542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7" i="1"/>
  <c r="Y558" i="1"/>
  <c r="Y559" i="1"/>
  <c r="Y560" i="1"/>
  <c r="Y561" i="1"/>
  <c r="Y562" i="1"/>
  <c r="Y563" i="1"/>
  <c r="Y564" i="1"/>
  <c r="Y566" i="1"/>
  <c r="Y567" i="1"/>
  <c r="Y568" i="1"/>
  <c r="Y569" i="1"/>
  <c r="Y574" i="1"/>
  <c r="Y575" i="1"/>
  <c r="Y577" i="1"/>
  <c r="Y579" i="1"/>
  <c r="Y581" i="1"/>
  <c r="Y583" i="1"/>
  <c r="Y584" i="1"/>
  <c r="Y585" i="1"/>
  <c r="Y587" i="1"/>
  <c r="Y588" i="1"/>
  <c r="Y591" i="1"/>
  <c r="Y592" i="1"/>
  <c r="Y595" i="1"/>
  <c r="Y596" i="1"/>
  <c r="Y597" i="1"/>
  <c r="Y598" i="1"/>
  <c r="Y599" i="1"/>
  <c r="Y600" i="1"/>
  <c r="Y601" i="1"/>
  <c r="Y604" i="1"/>
  <c r="Y606" i="1"/>
  <c r="Y608" i="1"/>
  <c r="Y611" i="1"/>
  <c r="Y613" i="1"/>
  <c r="Y614" i="1"/>
  <c r="Y615" i="1"/>
  <c r="Y616" i="1"/>
  <c r="Y617" i="1"/>
  <c r="Y619" i="1"/>
  <c r="Y620" i="1"/>
  <c r="Y622" i="1"/>
  <c r="Y623" i="1"/>
  <c r="Y624" i="1"/>
  <c r="Y625" i="1"/>
  <c r="Y626" i="1"/>
  <c r="Y627" i="1"/>
  <c r="Y629" i="1"/>
  <c r="Y631" i="1"/>
  <c r="Y632" i="1"/>
  <c r="Y633" i="1"/>
  <c r="Y634" i="1"/>
  <c r="Y635" i="1"/>
  <c r="Y637" i="1"/>
  <c r="Y638" i="1"/>
  <c r="Y639" i="1"/>
  <c r="Y642" i="1"/>
  <c r="Y644" i="1"/>
  <c r="Y645" i="1"/>
  <c r="Y646" i="1"/>
  <c r="Y647" i="1"/>
  <c r="Y649" i="1"/>
  <c r="Y651" i="1"/>
  <c r="Y652" i="1"/>
  <c r="Y653" i="1"/>
  <c r="Y654" i="1"/>
  <c r="Y657" i="1"/>
  <c r="Y661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9" i="1"/>
  <c r="Y681" i="1"/>
  <c r="Y682" i="1"/>
  <c r="Y683" i="1"/>
  <c r="Y684" i="1"/>
  <c r="Y685" i="1"/>
  <c r="Y686" i="1"/>
  <c r="Y688" i="1"/>
  <c r="Y691" i="1"/>
  <c r="Y692" i="1"/>
  <c r="Y694" i="1"/>
  <c r="Y695" i="1"/>
  <c r="Y696" i="1"/>
  <c r="Y697" i="1"/>
  <c r="Y698" i="1"/>
  <c r="Y699" i="1"/>
  <c r="Y700" i="1"/>
  <c r="Y702" i="1"/>
  <c r="Y707" i="1"/>
  <c r="Y709" i="1"/>
  <c r="Y711" i="1"/>
  <c r="Y712" i="1"/>
  <c r="Y713" i="1"/>
  <c r="Y719" i="1"/>
  <c r="Y720" i="1"/>
  <c r="Y721" i="1"/>
  <c r="Y724" i="1"/>
  <c r="Y726" i="1"/>
  <c r="Y727" i="1"/>
  <c r="Y728" i="1"/>
  <c r="Y731" i="1"/>
  <c r="Y732" i="1"/>
  <c r="Y734" i="1"/>
  <c r="Y736" i="1"/>
  <c r="Y737" i="1"/>
  <c r="Y739" i="1"/>
  <c r="Y741" i="1"/>
  <c r="Y743" i="1"/>
  <c r="Y745" i="1"/>
  <c r="Y746" i="1"/>
  <c r="Y747" i="1"/>
  <c r="Y748" i="1"/>
  <c r="Y749" i="1"/>
  <c r="Y750" i="1"/>
  <c r="Y751" i="1"/>
  <c r="Y753" i="1"/>
  <c r="Y755" i="1"/>
  <c r="Y756" i="1"/>
  <c r="Y757" i="1"/>
  <c r="Y758" i="1"/>
  <c r="Y760" i="1"/>
  <c r="Y761" i="1"/>
  <c r="Y762" i="1"/>
  <c r="Y766" i="1"/>
  <c r="Y769" i="1"/>
  <c r="Y771" i="1"/>
  <c r="Y772" i="1"/>
  <c r="Y774" i="1"/>
  <c r="Y776" i="1"/>
  <c r="Y778" i="1"/>
  <c r="Y779" i="1"/>
  <c r="Y780" i="1"/>
  <c r="Y781" i="1"/>
  <c r="Y782" i="1"/>
  <c r="Y783" i="1"/>
  <c r="Y784" i="1"/>
  <c r="Y785" i="1"/>
  <c r="Y788" i="1"/>
  <c r="Y790" i="1"/>
  <c r="Y791" i="1"/>
  <c r="Y792" i="1"/>
  <c r="Y794" i="1"/>
  <c r="Y795" i="1"/>
  <c r="Y796" i="1"/>
  <c r="Y797" i="1"/>
  <c r="Y798" i="1"/>
  <c r="Y800" i="1"/>
  <c r="Y801" i="1"/>
  <c r="Y802" i="1"/>
  <c r="Y803" i="1"/>
  <c r="Y804" i="1"/>
  <c r="Y806" i="1"/>
  <c r="Y807" i="1"/>
  <c r="Y809" i="1"/>
  <c r="Y810" i="1"/>
  <c r="Y811" i="1"/>
  <c r="Y812" i="1"/>
  <c r="Y813" i="1"/>
  <c r="Y814" i="1"/>
  <c r="Y815" i="1"/>
  <c r="Y818" i="1"/>
  <c r="Y819" i="1"/>
  <c r="Y820" i="1"/>
  <c r="Y822" i="1"/>
  <c r="Y823" i="1"/>
  <c r="Y824" i="1"/>
  <c r="Y826" i="1"/>
  <c r="Y827" i="1"/>
  <c r="Y828" i="1"/>
  <c r="Y829" i="1"/>
  <c r="Y830" i="1"/>
  <c r="Y831" i="1"/>
  <c r="Y832" i="1"/>
  <c r="Y835" i="1"/>
  <c r="Y836" i="1"/>
  <c r="Y839" i="1"/>
  <c r="Y840" i="1"/>
  <c r="Y842" i="1"/>
  <c r="Y843" i="1"/>
  <c r="Y845" i="1"/>
  <c r="Y846" i="1"/>
  <c r="Y847" i="1"/>
  <c r="Y848" i="1"/>
  <c r="Y849" i="1"/>
  <c r="Y850" i="1"/>
  <c r="Y852" i="1"/>
  <c r="Y853" i="1"/>
  <c r="Y855" i="1"/>
  <c r="Y856" i="1"/>
  <c r="Y858" i="1"/>
  <c r="Y859" i="1"/>
  <c r="Y861" i="1"/>
  <c r="Y863" i="1"/>
  <c r="Y864" i="1"/>
  <c r="Y867" i="1"/>
  <c r="Y870" i="1"/>
  <c r="Y871" i="1"/>
  <c r="Y874" i="1"/>
  <c r="Y876" i="1"/>
  <c r="Y877" i="1"/>
  <c r="Y878" i="1"/>
  <c r="Y879" i="1"/>
  <c r="Y880" i="1"/>
  <c r="Y881" i="1"/>
  <c r="Y882" i="1"/>
  <c r="Y884" i="1"/>
  <c r="Y886" i="1"/>
  <c r="Y887" i="1"/>
  <c r="Y889" i="1"/>
  <c r="Y890" i="1"/>
  <c r="Y891" i="1"/>
  <c r="Y892" i="1"/>
  <c r="Y893" i="1"/>
  <c r="Y895" i="1"/>
  <c r="Y897" i="1"/>
  <c r="Y899" i="1"/>
  <c r="Y901" i="1"/>
  <c r="Y902" i="1"/>
  <c r="Y903" i="1"/>
  <c r="Y904" i="1"/>
  <c r="Y905" i="1"/>
  <c r="Y906" i="1"/>
  <c r="Y908" i="1"/>
  <c r="Y909" i="1"/>
  <c r="Y910" i="1"/>
  <c r="Y911" i="1"/>
  <c r="Y912" i="1"/>
  <c r="Y913" i="1"/>
  <c r="Y915" i="1"/>
  <c r="Y918" i="1"/>
  <c r="Y919" i="1"/>
  <c r="Y920" i="1"/>
  <c r="Y921" i="1"/>
  <c r="Y922" i="1"/>
  <c r="Y923" i="1"/>
  <c r="Y924" i="1"/>
  <c r="Y925" i="1"/>
  <c r="Y926" i="1"/>
  <c r="Y927" i="1"/>
  <c r="Y932" i="1"/>
  <c r="Y933" i="1"/>
  <c r="Y934" i="1"/>
  <c r="Y936" i="1"/>
  <c r="Y938" i="1"/>
  <c r="Y940" i="1"/>
  <c r="Y942" i="1"/>
  <c r="Y943" i="1"/>
  <c r="Y944" i="1"/>
  <c r="Y946" i="1"/>
  <c r="Y947" i="1"/>
  <c r="Y948" i="1"/>
  <c r="Y949" i="1"/>
  <c r="Y950" i="1"/>
  <c r="Y951" i="1"/>
  <c r="Y953" i="1"/>
  <c r="Y954" i="1"/>
  <c r="Y955" i="1"/>
  <c r="Y957" i="1"/>
  <c r="Y958" i="1"/>
  <c r="Y960" i="1"/>
  <c r="Y961" i="1"/>
  <c r="Y962" i="1"/>
  <c r="Y967" i="1"/>
  <c r="Y969" i="1"/>
  <c r="Y970" i="1"/>
  <c r="Y971" i="1"/>
  <c r="Y972" i="1"/>
  <c r="Y973" i="1"/>
  <c r="Y975" i="1"/>
  <c r="Y976" i="1"/>
  <c r="Y978" i="1"/>
  <c r="Y979" i="1"/>
  <c r="Y980" i="1"/>
  <c r="Y981" i="1"/>
  <c r="Y983" i="1"/>
  <c r="Y984" i="1"/>
  <c r="Y985" i="1"/>
  <c r="Y986" i="1"/>
  <c r="Y988" i="1"/>
  <c r="Y990" i="1"/>
  <c r="Y991" i="1"/>
  <c r="Y992" i="1"/>
  <c r="Y993" i="1"/>
  <c r="Y994" i="1"/>
  <c r="Y997" i="1"/>
  <c r="Y998" i="1"/>
  <c r="Y999" i="1"/>
  <c r="Y1001" i="1"/>
  <c r="Y1003" i="1"/>
  <c r="Y1004" i="1"/>
  <c r="Y1005" i="1"/>
  <c r="Y1006" i="1"/>
  <c r="Y1007" i="1"/>
  <c r="Y1008" i="1"/>
  <c r="Y1009" i="1"/>
  <c r="Y101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2" i="1"/>
  <c r="T3" i="1"/>
  <c r="T4" i="1"/>
  <c r="T5" i="1"/>
  <c r="T6" i="1"/>
  <c r="T7" i="1"/>
  <c r="AA7" i="1" s="1"/>
  <c r="T8" i="1"/>
  <c r="AA8" i="1" s="1"/>
  <c r="T9" i="1"/>
  <c r="T10" i="1"/>
  <c r="AC10" i="1" s="1"/>
  <c r="T11" i="1"/>
  <c r="AC11" i="1" s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AC53" i="1" s="1"/>
  <c r="T54" i="1"/>
  <c r="AC54" i="1" s="1"/>
  <c r="T55" i="1"/>
  <c r="AC55" i="1" s="1"/>
  <c r="T56" i="1"/>
  <c r="T57" i="1"/>
  <c r="T58" i="1"/>
  <c r="AC58" i="1" s="1"/>
  <c r="T59" i="1"/>
  <c r="AC59" i="1" s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AA108" i="1" s="1"/>
  <c r="T109" i="1"/>
  <c r="T110" i="1"/>
  <c r="T111" i="1"/>
  <c r="AC111" i="1" s="1"/>
  <c r="T112" i="1"/>
  <c r="T113" i="1"/>
  <c r="T114" i="1"/>
  <c r="T115" i="1"/>
  <c r="T116" i="1"/>
  <c r="T117" i="1"/>
  <c r="T118" i="1"/>
  <c r="AA118" i="1" s="1"/>
  <c r="T119" i="1"/>
  <c r="AC119" i="1" s="1"/>
  <c r="T120" i="1"/>
  <c r="AC120" i="1" s="1"/>
  <c r="T121" i="1"/>
  <c r="T122" i="1"/>
  <c r="T123" i="1"/>
  <c r="T124" i="1"/>
  <c r="AC124" i="1" s="1"/>
  <c r="T125" i="1"/>
  <c r="T126" i="1"/>
  <c r="T127" i="1"/>
  <c r="T128" i="1"/>
  <c r="T129" i="1"/>
  <c r="T130" i="1"/>
  <c r="AA130" i="1" s="1"/>
  <c r="T131" i="1"/>
  <c r="AA131" i="1" s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AC158" i="1" s="1"/>
  <c r="T159" i="1"/>
  <c r="T160" i="1"/>
  <c r="T161" i="1"/>
  <c r="T162" i="1"/>
  <c r="T163" i="1"/>
  <c r="T164" i="1"/>
  <c r="T165" i="1"/>
  <c r="T166" i="1"/>
  <c r="AC166" i="1" s="1"/>
  <c r="T167" i="1"/>
  <c r="AC167" i="1" s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AA220" i="1" s="1"/>
  <c r="T221" i="1"/>
  <c r="AC221" i="1" s="1"/>
  <c r="T222" i="1"/>
  <c r="AC222" i="1" s="1"/>
  <c r="T223" i="1"/>
  <c r="T224" i="1"/>
  <c r="AC224" i="1" s="1"/>
  <c r="T225" i="1"/>
  <c r="T226" i="1"/>
  <c r="AC226" i="1" s="1"/>
  <c r="T227" i="1"/>
  <c r="AC227" i="1" s="1"/>
  <c r="T228" i="1"/>
  <c r="AC228" i="1" s="1"/>
  <c r="T229" i="1"/>
  <c r="T230" i="1"/>
  <c r="T231" i="1"/>
  <c r="T232" i="1"/>
  <c r="T233" i="1"/>
  <c r="T234" i="1"/>
  <c r="T235" i="1"/>
  <c r="T236" i="1"/>
  <c r="T237" i="1"/>
  <c r="T238" i="1"/>
  <c r="AA238" i="1" s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AC285" i="1" s="1"/>
  <c r="T286" i="1"/>
  <c r="AC286" i="1" s="1"/>
  <c r="T287" i="1"/>
  <c r="AC287" i="1" s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AC331" i="1" s="1"/>
  <c r="T332" i="1"/>
  <c r="AC332" i="1" s="1"/>
  <c r="T333" i="1"/>
  <c r="AC333" i="1" s="1"/>
  <c r="T334" i="1"/>
  <c r="AA334" i="1" s="1"/>
  <c r="T335" i="1"/>
  <c r="T336" i="1"/>
  <c r="AA336" i="1" s="1"/>
  <c r="T337" i="1"/>
  <c r="T338" i="1"/>
  <c r="T339" i="1"/>
  <c r="T340" i="1"/>
  <c r="T341" i="1"/>
  <c r="T342" i="1"/>
  <c r="T343" i="1"/>
  <c r="T344" i="1"/>
  <c r="T345" i="1"/>
  <c r="T346" i="1"/>
  <c r="AC346" i="1" s="1"/>
  <c r="T347" i="1"/>
  <c r="T348" i="1"/>
  <c r="T349" i="1"/>
  <c r="T350" i="1"/>
  <c r="T351" i="1"/>
  <c r="T352" i="1"/>
  <c r="T353" i="1"/>
  <c r="AC353" i="1" s="1"/>
  <c r="T354" i="1"/>
  <c r="AC354" i="1" s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AC388" i="1" s="1"/>
  <c r="T389" i="1"/>
  <c r="AC389" i="1" s="1"/>
  <c r="T390" i="1"/>
  <c r="AC390" i="1" s="1"/>
  <c r="T391" i="1"/>
  <c r="T392" i="1"/>
  <c r="AC392" i="1" s="1"/>
  <c r="T393" i="1"/>
  <c r="T394" i="1"/>
  <c r="T395" i="1"/>
  <c r="T396" i="1"/>
  <c r="T397" i="1"/>
  <c r="T398" i="1"/>
  <c r="T399" i="1"/>
  <c r="AC399" i="1" s="1"/>
  <c r="T400" i="1"/>
  <c r="AC400" i="1" s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AA433" i="1" s="1"/>
  <c r="T434" i="1"/>
  <c r="T435" i="1"/>
  <c r="T436" i="1"/>
  <c r="T437" i="1"/>
  <c r="T438" i="1"/>
  <c r="T439" i="1"/>
  <c r="AA439" i="1" s="1"/>
  <c r="T440" i="1"/>
  <c r="T441" i="1"/>
  <c r="T442" i="1"/>
  <c r="T443" i="1"/>
  <c r="T444" i="1"/>
  <c r="T445" i="1"/>
  <c r="T446" i="1"/>
  <c r="T447" i="1"/>
  <c r="T448" i="1"/>
  <c r="T449" i="1"/>
  <c r="T450" i="1"/>
  <c r="T451" i="1"/>
  <c r="AC451" i="1" s="1"/>
  <c r="T452" i="1"/>
  <c r="AC452" i="1" s="1"/>
  <c r="T453" i="1"/>
  <c r="AC453" i="1" s="1"/>
  <c r="T454" i="1"/>
  <c r="T455" i="1"/>
  <c r="AC455" i="1" s="1"/>
  <c r="T456" i="1"/>
  <c r="AC456" i="1" s="1"/>
  <c r="T457" i="1"/>
  <c r="AC457" i="1" s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AC497" i="1" s="1"/>
  <c r="T498" i="1"/>
  <c r="AC498" i="1" s="1"/>
  <c r="T499" i="1"/>
  <c r="AC499" i="1" s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AC519" i="1" s="1"/>
  <c r="T520" i="1"/>
  <c r="T521" i="1"/>
  <c r="T522" i="1"/>
  <c r="T523" i="1"/>
  <c r="AA523" i="1" s="1"/>
  <c r="T524" i="1"/>
  <c r="AA524" i="1" s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AC553" i="1" s="1"/>
  <c r="T554" i="1"/>
  <c r="T555" i="1"/>
  <c r="AC555" i="1" s="1"/>
  <c r="T556" i="1"/>
  <c r="AC556" i="1" s="1"/>
  <c r="T557" i="1"/>
  <c r="T558" i="1"/>
  <c r="T559" i="1"/>
  <c r="T560" i="1"/>
  <c r="T561" i="1"/>
  <c r="T562" i="1"/>
  <c r="T563" i="1"/>
  <c r="T564" i="1"/>
  <c r="T565" i="1"/>
  <c r="AC565" i="1" s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AA580" i="1" s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AA608" i="1" s="1"/>
  <c r="T609" i="1"/>
  <c r="T610" i="1"/>
  <c r="T611" i="1"/>
  <c r="T612" i="1"/>
  <c r="T613" i="1"/>
  <c r="T614" i="1"/>
  <c r="T615" i="1"/>
  <c r="T616" i="1"/>
  <c r="AC616" i="1" s="1"/>
  <c r="T617" i="1"/>
  <c r="T618" i="1"/>
  <c r="AC618" i="1" s="1"/>
  <c r="T619" i="1"/>
  <c r="AC619" i="1" s="1"/>
  <c r="T620" i="1"/>
  <c r="T621" i="1"/>
  <c r="AC621" i="1" s="1"/>
  <c r="T622" i="1"/>
  <c r="AC622" i="1" s="1"/>
  <c r="T623" i="1"/>
  <c r="T624" i="1"/>
  <c r="AC624" i="1" s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AC661" i="1" s="1"/>
  <c r="T662" i="1"/>
  <c r="AC662" i="1" s="1"/>
  <c r="T663" i="1"/>
  <c r="T664" i="1"/>
  <c r="AA664" i="1" s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AC682" i="1" s="1"/>
  <c r="T683" i="1"/>
  <c r="T684" i="1"/>
  <c r="T685" i="1"/>
  <c r="T686" i="1"/>
  <c r="T687" i="1"/>
  <c r="T688" i="1"/>
  <c r="T689" i="1"/>
  <c r="T690" i="1"/>
  <c r="T691" i="1"/>
  <c r="T692" i="1"/>
  <c r="AA692" i="1" s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AC712" i="1" s="1"/>
  <c r="T713" i="1"/>
  <c r="AC713" i="1" s="1"/>
  <c r="T714" i="1"/>
  <c r="T715" i="1"/>
  <c r="AC715" i="1" s="1"/>
  <c r="T716" i="1"/>
  <c r="AC716" i="1" s="1"/>
  <c r="T717" i="1"/>
  <c r="AC717" i="1" s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AA736" i="1" s="1"/>
  <c r="T737" i="1"/>
  <c r="AA737" i="1" s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AC753" i="1" s="1"/>
  <c r="T754" i="1"/>
  <c r="AC754" i="1" s="1"/>
  <c r="T755" i="1"/>
  <c r="AC755" i="1" s="1"/>
  <c r="T756" i="1"/>
  <c r="T757" i="1"/>
  <c r="AC757" i="1" s="1"/>
  <c r="T758" i="1"/>
  <c r="AC758" i="1" s="1"/>
  <c r="T759" i="1"/>
  <c r="T760" i="1"/>
  <c r="AC760" i="1" s="1"/>
  <c r="T761" i="1"/>
  <c r="T762" i="1"/>
  <c r="AA762" i="1" s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AC794" i="1" s="1"/>
  <c r="T795" i="1"/>
  <c r="AC795" i="1" s="1"/>
  <c r="T796" i="1"/>
  <c r="T797" i="1"/>
  <c r="T798" i="1"/>
  <c r="T799" i="1"/>
  <c r="T800" i="1"/>
  <c r="T801" i="1"/>
  <c r="T802" i="1"/>
  <c r="T803" i="1"/>
  <c r="AC803" i="1" s="1"/>
  <c r="T804" i="1"/>
  <c r="T805" i="1"/>
  <c r="T806" i="1"/>
  <c r="T807" i="1"/>
  <c r="T808" i="1"/>
  <c r="AC808" i="1" s="1"/>
  <c r="T809" i="1"/>
  <c r="T810" i="1"/>
  <c r="T811" i="1"/>
  <c r="T812" i="1"/>
  <c r="AC812" i="1" s="1"/>
  <c r="T813" i="1"/>
  <c r="T814" i="1"/>
  <c r="T815" i="1"/>
  <c r="T816" i="1"/>
  <c r="AA816" i="1" s="1"/>
  <c r="T817" i="1"/>
  <c r="AA817" i="1" s="1"/>
  <c r="T818" i="1"/>
  <c r="T819" i="1"/>
  <c r="T820" i="1"/>
  <c r="T821" i="1"/>
  <c r="AA821" i="1" s="1"/>
  <c r="T822" i="1"/>
  <c r="AA822" i="1" s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AC837" i="1" s="1"/>
  <c r="T838" i="1"/>
  <c r="AC838" i="1" s="1"/>
  <c r="T839" i="1"/>
  <c r="AC839" i="1" s="1"/>
  <c r="T840" i="1"/>
  <c r="T841" i="1"/>
  <c r="AC841" i="1" s="1"/>
  <c r="T842" i="1"/>
  <c r="AC842" i="1" s="1"/>
  <c r="T843" i="1"/>
  <c r="AC843" i="1" s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AC873" i="1" s="1"/>
  <c r="T874" i="1"/>
  <c r="AC874" i="1" s="1"/>
  <c r="T875" i="1"/>
  <c r="AC875" i="1" s="1"/>
  <c r="T876" i="1"/>
  <c r="T877" i="1"/>
  <c r="T878" i="1"/>
  <c r="T879" i="1"/>
  <c r="T880" i="1"/>
  <c r="T881" i="1"/>
  <c r="T882" i="1"/>
  <c r="T883" i="1"/>
  <c r="AC883" i="1" s="1"/>
  <c r="T884" i="1"/>
  <c r="AC884" i="1" s="1"/>
  <c r="T885" i="1"/>
  <c r="T886" i="1"/>
  <c r="T887" i="1"/>
  <c r="T888" i="1"/>
  <c r="T889" i="1"/>
  <c r="T890" i="1"/>
  <c r="T891" i="1"/>
  <c r="T892" i="1"/>
  <c r="T893" i="1"/>
  <c r="T894" i="1"/>
  <c r="AA894" i="1" s="1"/>
  <c r="T895" i="1"/>
  <c r="T896" i="1"/>
  <c r="AA896" i="1" s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AC914" i="1" s="1"/>
  <c r="T915" i="1"/>
  <c r="AC915" i="1" s="1"/>
  <c r="T916" i="1"/>
  <c r="AC916" i="1" s="1"/>
  <c r="T917" i="1"/>
  <c r="T918" i="1"/>
  <c r="AC918" i="1" s="1"/>
  <c r="T919" i="1"/>
  <c r="AC919" i="1" s="1"/>
  <c r="T920" i="1"/>
  <c r="AC920" i="1" s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AC944" i="1" s="1"/>
  <c r="T945" i="1"/>
  <c r="T946" i="1"/>
  <c r="T947" i="1"/>
  <c r="T948" i="1"/>
  <c r="AA948" i="1" s="1"/>
  <c r="T949" i="1"/>
  <c r="T950" i="1"/>
  <c r="T951" i="1"/>
  <c r="T952" i="1"/>
  <c r="T953" i="1"/>
  <c r="T954" i="1"/>
  <c r="T955" i="1"/>
  <c r="T956" i="1"/>
  <c r="T957" i="1"/>
  <c r="T958" i="1"/>
  <c r="AC958" i="1" s="1"/>
  <c r="T959" i="1"/>
  <c r="T960" i="1"/>
  <c r="T961" i="1"/>
  <c r="T962" i="1"/>
  <c r="AA962" i="1" s="1"/>
  <c r="T963" i="1"/>
  <c r="AA963" i="1" s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AC980" i="1" s="1"/>
  <c r="T981" i="1"/>
  <c r="AC981" i="1" s="1"/>
  <c r="T982" i="1"/>
  <c r="AC982" i="1" s="1"/>
  <c r="T983" i="1"/>
  <c r="T984" i="1"/>
  <c r="AC984" i="1" s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AA999" i="1" s="1"/>
  <c r="T1000" i="1"/>
  <c r="AA1000" i="1" s="1"/>
  <c r="T1001" i="1"/>
  <c r="AA1001" i="1" s="1"/>
  <c r="T1002" i="1"/>
  <c r="T1003" i="1"/>
  <c r="T1004" i="1"/>
  <c r="T1005" i="1"/>
  <c r="T1006" i="1"/>
  <c r="T1007" i="1"/>
  <c r="T1008" i="1"/>
  <c r="T1009" i="1"/>
  <c r="T1010" i="1"/>
  <c r="T1011" i="1"/>
  <c r="T1012" i="1"/>
  <c r="T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2" i="1"/>
  <c r="Y1002" i="1" l="1"/>
  <c r="Y982" i="1"/>
  <c r="Y862" i="1"/>
  <c r="Y742" i="1"/>
  <c r="Y722" i="1"/>
  <c r="Y662" i="1"/>
  <c r="Y602" i="1"/>
  <c r="Y582" i="1"/>
  <c r="Y422" i="1"/>
  <c r="Y322" i="1"/>
  <c r="Y302" i="1"/>
  <c r="Y282" i="1"/>
  <c r="Y222" i="1"/>
  <c r="Y102" i="1"/>
  <c r="Y82" i="1"/>
  <c r="Y62" i="1"/>
  <c r="Y42" i="1"/>
  <c r="Y22" i="1"/>
  <c r="Y292" i="1"/>
  <c r="Y941" i="1"/>
  <c r="Y841" i="1"/>
  <c r="Y821" i="1"/>
  <c r="Y701" i="1"/>
  <c r="Y641" i="1"/>
  <c r="Y621" i="1"/>
  <c r="Y541" i="1"/>
  <c r="Y521" i="1"/>
  <c r="Y401" i="1"/>
  <c r="Y281" i="1"/>
  <c r="Y261" i="1"/>
  <c r="Y81" i="1"/>
  <c r="Y41" i="1"/>
  <c r="Y1000" i="1"/>
  <c r="Y900" i="1"/>
  <c r="Y860" i="1"/>
  <c r="Y740" i="1"/>
  <c r="Y680" i="1"/>
  <c r="Y660" i="1"/>
  <c r="Y640" i="1"/>
  <c r="Y580" i="1"/>
  <c r="Y540" i="1"/>
  <c r="Y380" i="1"/>
  <c r="Y360" i="1"/>
  <c r="Y340" i="1"/>
  <c r="Y320" i="1"/>
  <c r="Y300" i="1"/>
  <c r="Y200" i="1"/>
  <c r="Y180" i="1"/>
  <c r="Y120" i="1"/>
  <c r="Y959" i="1"/>
  <c r="Y939" i="1"/>
  <c r="Y799" i="1"/>
  <c r="Y759" i="1"/>
  <c r="Y659" i="1"/>
  <c r="Y519" i="1"/>
  <c r="Y499" i="1"/>
  <c r="Y439" i="1"/>
  <c r="Y339" i="1"/>
  <c r="Y259" i="1"/>
  <c r="Y239" i="1"/>
  <c r="Y159" i="1"/>
  <c r="Y79" i="1"/>
  <c r="Y19" i="1"/>
  <c r="Y898" i="1"/>
  <c r="Y838" i="1"/>
  <c r="Y738" i="1"/>
  <c r="Y718" i="1"/>
  <c r="Y678" i="1"/>
  <c r="Y658" i="1"/>
  <c r="Y618" i="1"/>
  <c r="Y578" i="1"/>
  <c r="Y258" i="1"/>
  <c r="Y218" i="1"/>
  <c r="Y158" i="1"/>
  <c r="Y138" i="1"/>
  <c r="Y78" i="1"/>
  <c r="Y18" i="1"/>
  <c r="Y977" i="1"/>
  <c r="Y937" i="1"/>
  <c r="Y917" i="1"/>
  <c r="Y857" i="1"/>
  <c r="Y837" i="1"/>
  <c r="Y817" i="1"/>
  <c r="Y777" i="1"/>
  <c r="Y717" i="1"/>
  <c r="Y677" i="1"/>
  <c r="Y517" i="1"/>
  <c r="Y457" i="1"/>
  <c r="Y437" i="1"/>
  <c r="Y317" i="1"/>
  <c r="Y277" i="1"/>
  <c r="Y177" i="1"/>
  <c r="Y157" i="1"/>
  <c r="Y117" i="1"/>
  <c r="Y77" i="1"/>
  <c r="Y17" i="1"/>
  <c r="Y996" i="1"/>
  <c r="Y956" i="1"/>
  <c r="Y896" i="1"/>
  <c r="Y816" i="1"/>
  <c r="Y656" i="1"/>
  <c r="Y636" i="1"/>
  <c r="Y576" i="1"/>
  <c r="Y556" i="1"/>
  <c r="Y536" i="1"/>
  <c r="Y516" i="1"/>
  <c r="Y496" i="1"/>
  <c r="Y456" i="1"/>
  <c r="Y436" i="1"/>
  <c r="Y356" i="1"/>
  <c r="Y336" i="1"/>
  <c r="Y296" i="1"/>
  <c r="Y256" i="1"/>
  <c r="Y236" i="1"/>
  <c r="Y176" i="1"/>
  <c r="Y136" i="1"/>
  <c r="Y56" i="1"/>
  <c r="Y995" i="1"/>
  <c r="Y935" i="1"/>
  <c r="Y875" i="1"/>
  <c r="Y775" i="1"/>
  <c r="Y735" i="1"/>
  <c r="Y715" i="1"/>
  <c r="Y655" i="1"/>
  <c r="Y515" i="1"/>
  <c r="Y435" i="1"/>
  <c r="Y355" i="1"/>
  <c r="Y315" i="1"/>
  <c r="Y295" i="1"/>
  <c r="Y255" i="1"/>
  <c r="Y235" i="1"/>
  <c r="Y215" i="1"/>
  <c r="Y35" i="1"/>
  <c r="Y974" i="1"/>
  <c r="Y914" i="1"/>
  <c r="Y894" i="1"/>
  <c r="Y854" i="1"/>
  <c r="Y834" i="1"/>
  <c r="Y754" i="1"/>
  <c r="Y714" i="1"/>
  <c r="Y594" i="1"/>
  <c r="Y534" i="1"/>
  <c r="Y474" i="1"/>
  <c r="Y414" i="1"/>
  <c r="Y354" i="1"/>
  <c r="Y294" i="1"/>
  <c r="Y274" i="1"/>
  <c r="Y254" i="1"/>
  <c r="Y234" i="1"/>
  <c r="Y154" i="1"/>
  <c r="Y134" i="1"/>
  <c r="Y94" i="1"/>
  <c r="Y54" i="1"/>
  <c r="Y2" i="1"/>
  <c r="Y873" i="1"/>
  <c r="Y833" i="1"/>
  <c r="Y793" i="1"/>
  <c r="Y773" i="1"/>
  <c r="Y733" i="1"/>
  <c r="Y693" i="1"/>
  <c r="Y593" i="1"/>
  <c r="Y573" i="1"/>
  <c r="Y493" i="1"/>
  <c r="Y433" i="1"/>
  <c r="Y333" i="1"/>
  <c r="Y273" i="1"/>
  <c r="Y213" i="1"/>
  <c r="Y173" i="1"/>
  <c r="Y133" i="1"/>
  <c r="Y53" i="1"/>
  <c r="Y33" i="1"/>
  <c r="Y952" i="1"/>
  <c r="Y872" i="1"/>
  <c r="Y752" i="1"/>
  <c r="Y612" i="1"/>
  <c r="Y572" i="1"/>
  <c r="Y432" i="1"/>
  <c r="Y412" i="1"/>
  <c r="Y372" i="1"/>
  <c r="Y332" i="1"/>
  <c r="Y172" i="1"/>
  <c r="Y72" i="1"/>
  <c r="Y12" i="1"/>
  <c r="Y1011" i="1"/>
  <c r="Y931" i="1"/>
  <c r="Y851" i="1"/>
  <c r="Y571" i="1"/>
  <c r="Y391" i="1"/>
  <c r="Y351" i="1"/>
  <c r="Y191" i="1"/>
  <c r="Y11" i="1"/>
  <c r="Y96" i="1"/>
  <c r="Y1010" i="1"/>
  <c r="Y930" i="1"/>
  <c r="Y770" i="1"/>
  <c r="Y730" i="1"/>
  <c r="Y710" i="1"/>
  <c r="Y690" i="1"/>
  <c r="Y650" i="1"/>
  <c r="Y630" i="1"/>
  <c r="Y610" i="1"/>
  <c r="Y590" i="1"/>
  <c r="Y570" i="1"/>
  <c r="Y510" i="1"/>
  <c r="Y470" i="1"/>
  <c r="Y410" i="1"/>
  <c r="Y390" i="1"/>
  <c r="Y350" i="1"/>
  <c r="Y310" i="1"/>
  <c r="Y290" i="1"/>
  <c r="Y210" i="1"/>
  <c r="Y170" i="1"/>
  <c r="Y150" i="1"/>
  <c r="Y110" i="1"/>
  <c r="Y70" i="1"/>
  <c r="Y10" i="1"/>
  <c r="Y123" i="1"/>
  <c r="Y989" i="1"/>
  <c r="Y929" i="1"/>
  <c r="Y869" i="1"/>
  <c r="Y789" i="1"/>
  <c r="Y729" i="1"/>
  <c r="Y689" i="1"/>
  <c r="Y609" i="1"/>
  <c r="Y589" i="1"/>
  <c r="Y529" i="1"/>
  <c r="Y449" i="1"/>
  <c r="Y429" i="1"/>
  <c r="Y409" i="1"/>
  <c r="Y349" i="1"/>
  <c r="Y309" i="1"/>
  <c r="Y249" i="1"/>
  <c r="Y169" i="1"/>
  <c r="Y109" i="1"/>
  <c r="Y69" i="1"/>
  <c r="Y49" i="1"/>
  <c r="Y9" i="1"/>
  <c r="Y968" i="1"/>
  <c r="Y928" i="1"/>
  <c r="Y888" i="1"/>
  <c r="Y868" i="1"/>
  <c r="Y808" i="1"/>
  <c r="Y768" i="1"/>
  <c r="Y708" i="1"/>
  <c r="Y648" i="1"/>
  <c r="Y628" i="1"/>
  <c r="Y528" i="1"/>
  <c r="Y268" i="1"/>
  <c r="Y228" i="1"/>
  <c r="Y168" i="1"/>
  <c r="Y128" i="1"/>
  <c r="Y716" i="1"/>
  <c r="Y987" i="1"/>
  <c r="Y907" i="1"/>
  <c r="Y787" i="1"/>
  <c r="Y767" i="1"/>
  <c r="Y687" i="1"/>
  <c r="Y607" i="1"/>
  <c r="Y507" i="1"/>
  <c r="Y487" i="1"/>
  <c r="Y407" i="1"/>
  <c r="Y207" i="1"/>
  <c r="Y107" i="1"/>
  <c r="Y67" i="1"/>
  <c r="Y27" i="1"/>
  <c r="Y966" i="1"/>
  <c r="Y866" i="1"/>
  <c r="Y786" i="1"/>
  <c r="Y706" i="1"/>
  <c r="Y586" i="1"/>
  <c r="Y526" i="1"/>
  <c r="Y506" i="1"/>
  <c r="Y486" i="1"/>
  <c r="Y426" i="1"/>
  <c r="Y406" i="1"/>
  <c r="Y366" i="1"/>
  <c r="Y326" i="1"/>
  <c r="Y306" i="1"/>
  <c r="Y246" i="1"/>
  <c r="Y86" i="1"/>
  <c r="Y66" i="1"/>
  <c r="Y203" i="1"/>
  <c r="Y965" i="1"/>
  <c r="Y945" i="1"/>
  <c r="Y885" i="1"/>
  <c r="Y865" i="1"/>
  <c r="Y825" i="1"/>
  <c r="Y805" i="1"/>
  <c r="Y765" i="1"/>
  <c r="Y725" i="1"/>
  <c r="Y705" i="1"/>
  <c r="Y605" i="1"/>
  <c r="Y565" i="1"/>
  <c r="Y525" i="1"/>
  <c r="Y465" i="1"/>
  <c r="Y445" i="1"/>
  <c r="Y425" i="1"/>
  <c r="Y405" i="1"/>
  <c r="Y325" i="1"/>
  <c r="Y285" i="1"/>
  <c r="Y265" i="1"/>
  <c r="Y165" i="1"/>
  <c r="Y145" i="1"/>
  <c r="Y85" i="1"/>
  <c r="Y5" i="1"/>
  <c r="Y916" i="1"/>
  <c r="Y231" i="1"/>
  <c r="Y964" i="1"/>
  <c r="Y844" i="1"/>
  <c r="Y764" i="1"/>
  <c r="Y744" i="1"/>
  <c r="Y704" i="1"/>
  <c r="Y484" i="1"/>
  <c r="Y464" i="1"/>
  <c r="Y424" i="1"/>
  <c r="Y284" i="1"/>
  <c r="Y224" i="1"/>
  <c r="Y124" i="1"/>
  <c r="Y104" i="1"/>
  <c r="Y84" i="1"/>
  <c r="Y64" i="1"/>
  <c r="Y44" i="1"/>
  <c r="Y24" i="1"/>
  <c r="Y963" i="1"/>
  <c r="Y883" i="1"/>
  <c r="Y763" i="1"/>
  <c r="Y723" i="1"/>
  <c r="Y703" i="1"/>
  <c r="Y643" i="1"/>
  <c r="Y603" i="1"/>
  <c r="Y543" i="1"/>
  <c r="Y423" i="1"/>
  <c r="Y403" i="1"/>
  <c r="Y303" i="1"/>
  <c r="Y283" i="1"/>
  <c r="Y263" i="1"/>
  <c r="Y223" i="1"/>
  <c r="Y143" i="1"/>
  <c r="Y103" i="1"/>
  <c r="Y23" i="1"/>
  <c r="AC1009" i="1"/>
  <c r="AA1009" i="1"/>
  <c r="AC689" i="1"/>
  <c r="AA689" i="1"/>
  <c r="AA886" i="1"/>
  <c r="AC886" i="1"/>
  <c r="AC985" i="1"/>
  <c r="AA985" i="1"/>
  <c r="AC825" i="1"/>
  <c r="AA825" i="1"/>
  <c r="AA563" i="1"/>
  <c r="AC563" i="1"/>
  <c r="AA649" i="1"/>
  <c r="AC649" i="1"/>
  <c r="AA966" i="1"/>
  <c r="AC966" i="1"/>
  <c r="AC1005" i="1"/>
  <c r="AA1005" i="1"/>
  <c r="AC725" i="1"/>
  <c r="AA725" i="1"/>
  <c r="AC512" i="1"/>
  <c r="AA512" i="1"/>
  <c r="AC152" i="1"/>
  <c r="AA152" i="1"/>
  <c r="AC1011" i="1"/>
  <c r="AA1011" i="1"/>
  <c r="AA991" i="1"/>
  <c r="AC991" i="1"/>
  <c r="AC971" i="1"/>
  <c r="AA971" i="1"/>
  <c r="AC951" i="1"/>
  <c r="AA951" i="1"/>
  <c r="AC931" i="1"/>
  <c r="AA931" i="1"/>
  <c r="AC911" i="1"/>
  <c r="AA911" i="1"/>
  <c r="AA891" i="1"/>
  <c r="AC891" i="1"/>
  <c r="AC871" i="1"/>
  <c r="AA871" i="1"/>
  <c r="AA851" i="1"/>
  <c r="AC851" i="1"/>
  <c r="AC831" i="1"/>
  <c r="AA831" i="1"/>
  <c r="AA811" i="1"/>
  <c r="AC811" i="1"/>
  <c r="AC791" i="1"/>
  <c r="AA791" i="1"/>
  <c r="AA771" i="1"/>
  <c r="AC771" i="1"/>
  <c r="AC751" i="1"/>
  <c r="AA751" i="1"/>
  <c r="AA731" i="1"/>
  <c r="AC731" i="1"/>
  <c r="AC711" i="1"/>
  <c r="AA711" i="1"/>
  <c r="AA691" i="1"/>
  <c r="AC691" i="1"/>
  <c r="AA671" i="1"/>
  <c r="AC671" i="1"/>
  <c r="AC651" i="1"/>
  <c r="AA651" i="1"/>
  <c r="AA631" i="1"/>
  <c r="AC631" i="1"/>
  <c r="AA611" i="1"/>
  <c r="AC611" i="1"/>
  <c r="AC511" i="1"/>
  <c r="AA511" i="1"/>
  <c r="AC491" i="1"/>
  <c r="AA491" i="1"/>
  <c r="AC431" i="1"/>
  <c r="AA431" i="1"/>
  <c r="AC411" i="1"/>
  <c r="AA411" i="1"/>
  <c r="AC351" i="1"/>
  <c r="AA351" i="1"/>
  <c r="AC291" i="1"/>
  <c r="AA291" i="1"/>
  <c r="AC231" i="1"/>
  <c r="AA231" i="1"/>
  <c r="AA211" i="1"/>
  <c r="AC211" i="1"/>
  <c r="AC151" i="1"/>
  <c r="AA151" i="1"/>
  <c r="AC492" i="1"/>
  <c r="AA492" i="1"/>
  <c r="AC232" i="1"/>
  <c r="AA232" i="1"/>
  <c r="AC1010" i="1"/>
  <c r="AA1010" i="1"/>
  <c r="AC990" i="1"/>
  <c r="AA990" i="1"/>
  <c r="AC970" i="1"/>
  <c r="AA970" i="1"/>
  <c r="AC950" i="1"/>
  <c r="AA950" i="1"/>
  <c r="AC930" i="1"/>
  <c r="AA930" i="1"/>
  <c r="AC910" i="1"/>
  <c r="AA910" i="1"/>
  <c r="AC890" i="1"/>
  <c r="AA890" i="1"/>
  <c r="AA870" i="1"/>
  <c r="AC870" i="1"/>
  <c r="AC850" i="1"/>
  <c r="AA850" i="1"/>
  <c r="AC830" i="1"/>
  <c r="AA830" i="1"/>
  <c r="AA810" i="1"/>
  <c r="AC810" i="1"/>
  <c r="AA790" i="1"/>
  <c r="AC790" i="1"/>
  <c r="AA770" i="1"/>
  <c r="AC770" i="1"/>
  <c r="AC750" i="1"/>
  <c r="AA750" i="1"/>
  <c r="AA730" i="1"/>
  <c r="AC730" i="1"/>
  <c r="AC710" i="1"/>
  <c r="AA710" i="1"/>
  <c r="AC690" i="1"/>
  <c r="AA690" i="1"/>
  <c r="AA670" i="1"/>
  <c r="AC670" i="1"/>
  <c r="AA650" i="1"/>
  <c r="AC650" i="1"/>
  <c r="AA630" i="1"/>
  <c r="AC630" i="1"/>
  <c r="AA610" i="1"/>
  <c r="AC610" i="1"/>
  <c r="AC590" i="1"/>
  <c r="AA590" i="1"/>
  <c r="AC490" i="1"/>
  <c r="AA490" i="1"/>
  <c r="AC410" i="1"/>
  <c r="AA410" i="1"/>
  <c r="AC290" i="1"/>
  <c r="AA290" i="1"/>
  <c r="AA210" i="1"/>
  <c r="AC210" i="1"/>
  <c r="AC929" i="1"/>
  <c r="AA929" i="1"/>
  <c r="AC849" i="1"/>
  <c r="AA849" i="1"/>
  <c r="AA609" i="1"/>
  <c r="AC609" i="1"/>
  <c r="AA589" i="1"/>
  <c r="AC589" i="1"/>
  <c r="AC409" i="1"/>
  <c r="AA409" i="1"/>
  <c r="AA349" i="1"/>
  <c r="AC349" i="1"/>
  <c r="AC289" i="1"/>
  <c r="AA289" i="1"/>
  <c r="AA269" i="1"/>
  <c r="AC269" i="1"/>
  <c r="AC209" i="1"/>
  <c r="AA209" i="1"/>
  <c r="AC149" i="1"/>
  <c r="AA149" i="1"/>
  <c r="AA89" i="1"/>
  <c r="AC89" i="1"/>
  <c r="AA909" i="1"/>
  <c r="AC909" i="1"/>
  <c r="AA488" i="1"/>
  <c r="AC488" i="1"/>
  <c r="AA348" i="1"/>
  <c r="AC348" i="1"/>
  <c r="AA268" i="1"/>
  <c r="AC268" i="1"/>
  <c r="AC148" i="1"/>
  <c r="AA148" i="1"/>
  <c r="AA88" i="1"/>
  <c r="AC88" i="1"/>
  <c r="AC829" i="1"/>
  <c r="AA829" i="1"/>
  <c r="AA887" i="1"/>
  <c r="AC887" i="1"/>
  <c r="AA867" i="1"/>
  <c r="AC867" i="1"/>
  <c r="AC847" i="1"/>
  <c r="AA847" i="1"/>
  <c r="AC827" i="1"/>
  <c r="AA827" i="1"/>
  <c r="AC807" i="1"/>
  <c r="AA807" i="1"/>
  <c r="AC787" i="1"/>
  <c r="AA787" i="1"/>
  <c r="AC767" i="1"/>
  <c r="AA767" i="1"/>
  <c r="AC747" i="1"/>
  <c r="AA747" i="1"/>
  <c r="AC727" i="1"/>
  <c r="AA727" i="1"/>
  <c r="AC707" i="1"/>
  <c r="AA707" i="1"/>
  <c r="AC687" i="1"/>
  <c r="AA687" i="1"/>
  <c r="AC667" i="1"/>
  <c r="AA667" i="1"/>
  <c r="AA647" i="1"/>
  <c r="AC647" i="1"/>
  <c r="AA627" i="1"/>
  <c r="AC627" i="1"/>
  <c r="AA607" i="1"/>
  <c r="AC607" i="1"/>
  <c r="AC567" i="1"/>
  <c r="AA567" i="1"/>
  <c r="AA487" i="1"/>
  <c r="AC487" i="1"/>
  <c r="AA467" i="1"/>
  <c r="AC467" i="1"/>
  <c r="AC407" i="1"/>
  <c r="AA407" i="1"/>
  <c r="AA347" i="1"/>
  <c r="AC347" i="1"/>
  <c r="AA327" i="1"/>
  <c r="AC327" i="1"/>
  <c r="AC267" i="1"/>
  <c r="AA267" i="1"/>
  <c r="AC207" i="1"/>
  <c r="AA207" i="1"/>
  <c r="AC147" i="1"/>
  <c r="AA147" i="1"/>
  <c r="AC127" i="1"/>
  <c r="AA127" i="1"/>
  <c r="AC87" i="1"/>
  <c r="AA87" i="1"/>
  <c r="AC27" i="1"/>
  <c r="AA27" i="1"/>
  <c r="AC889" i="1"/>
  <c r="AA889" i="1"/>
  <c r="AC568" i="1"/>
  <c r="AA568" i="1"/>
  <c r="AA1006" i="1"/>
  <c r="AC1006" i="1"/>
  <c r="AA946" i="1"/>
  <c r="AC946" i="1"/>
  <c r="AC786" i="1"/>
  <c r="AA786" i="1"/>
  <c r="AC766" i="1"/>
  <c r="AA766" i="1"/>
  <c r="AC746" i="1"/>
  <c r="AA746" i="1"/>
  <c r="AC726" i="1"/>
  <c r="AA726" i="1"/>
  <c r="AA706" i="1"/>
  <c r="AC706" i="1"/>
  <c r="AC686" i="1"/>
  <c r="AA686" i="1"/>
  <c r="AC666" i="1"/>
  <c r="AA666" i="1"/>
  <c r="AA646" i="1"/>
  <c r="AC646" i="1"/>
  <c r="AC626" i="1"/>
  <c r="AA626" i="1"/>
  <c r="AA606" i="1"/>
  <c r="AC606" i="1"/>
  <c r="AA586" i="1"/>
  <c r="AC586" i="1"/>
  <c r="AC566" i="1"/>
  <c r="AA566" i="1"/>
  <c r="AC546" i="1"/>
  <c r="AA546" i="1"/>
  <c r="AA486" i="1"/>
  <c r="AC486" i="1"/>
  <c r="AA466" i="1"/>
  <c r="AC466" i="1"/>
  <c r="AC406" i="1"/>
  <c r="AA406" i="1"/>
  <c r="AA326" i="1"/>
  <c r="AC326" i="1"/>
  <c r="AC206" i="1"/>
  <c r="AA206" i="1"/>
  <c r="AC126" i="1"/>
  <c r="AA126" i="1"/>
  <c r="AC66" i="1"/>
  <c r="AA66" i="1"/>
  <c r="AA26" i="1"/>
  <c r="AC26" i="1"/>
  <c r="AA789" i="1"/>
  <c r="AC789" i="1"/>
  <c r="AC1007" i="1"/>
  <c r="AA1007" i="1"/>
  <c r="AA906" i="1"/>
  <c r="AC906" i="1"/>
  <c r="AC905" i="1"/>
  <c r="AA905" i="1"/>
  <c r="AC885" i="1"/>
  <c r="AA885" i="1"/>
  <c r="AA665" i="1"/>
  <c r="AC665" i="1"/>
  <c r="AA645" i="1"/>
  <c r="AC645" i="1"/>
  <c r="AC625" i="1"/>
  <c r="AA625" i="1"/>
  <c r="AA605" i="1"/>
  <c r="AC605" i="1"/>
  <c r="AA585" i="1"/>
  <c r="AC585" i="1"/>
  <c r="AC545" i="1"/>
  <c r="AA545" i="1"/>
  <c r="AA465" i="1"/>
  <c r="AC465" i="1"/>
  <c r="AC405" i="1"/>
  <c r="AA405" i="1"/>
  <c r="AC385" i="1"/>
  <c r="AA385" i="1"/>
  <c r="AA325" i="1"/>
  <c r="AC325" i="1"/>
  <c r="AC265" i="1"/>
  <c r="AA265" i="1"/>
  <c r="AC205" i="1"/>
  <c r="AA205" i="1"/>
  <c r="AC185" i="1"/>
  <c r="AA185" i="1"/>
  <c r="AC125" i="1"/>
  <c r="AA125" i="1"/>
  <c r="AC65" i="1"/>
  <c r="AA65" i="1"/>
  <c r="AA5" i="1"/>
  <c r="AC5" i="1"/>
  <c r="AC749" i="1"/>
  <c r="AA749" i="1"/>
  <c r="AC967" i="1"/>
  <c r="AA967" i="1"/>
  <c r="AC845" i="1"/>
  <c r="AA845" i="1"/>
  <c r="AA584" i="1"/>
  <c r="AC584" i="1"/>
  <c r="AC564" i="1"/>
  <c r="AA564" i="1"/>
  <c r="AC544" i="1"/>
  <c r="AA544" i="1"/>
  <c r="AC384" i="1"/>
  <c r="AA384" i="1"/>
  <c r="AC264" i="1"/>
  <c r="AA264" i="1"/>
  <c r="AC184" i="1"/>
  <c r="AA184" i="1"/>
  <c r="AC64" i="1"/>
  <c r="AA64" i="1"/>
  <c r="AA4" i="1"/>
  <c r="AC4" i="1"/>
  <c r="AA769" i="1"/>
  <c r="AC769" i="1"/>
  <c r="AA947" i="1"/>
  <c r="AC947" i="1"/>
  <c r="AC865" i="1"/>
  <c r="AA865" i="1"/>
  <c r="AA463" i="1"/>
  <c r="AC463" i="1"/>
  <c r="AA383" i="1"/>
  <c r="AC383" i="1"/>
  <c r="AA323" i="1"/>
  <c r="AC323" i="1"/>
  <c r="AA263" i="1"/>
  <c r="AC263" i="1"/>
  <c r="AA243" i="1"/>
  <c r="AC243" i="1"/>
  <c r="AA183" i="1"/>
  <c r="AC183" i="1"/>
  <c r="AA123" i="1"/>
  <c r="AC123" i="1"/>
  <c r="AA3" i="1"/>
  <c r="AC3" i="1"/>
  <c r="AC352" i="1"/>
  <c r="AA352" i="1"/>
  <c r="AC729" i="1"/>
  <c r="AA729" i="1"/>
  <c r="AC826" i="1"/>
  <c r="AA826" i="1"/>
  <c r="AC805" i="1"/>
  <c r="AA805" i="1"/>
  <c r="AA562" i="1"/>
  <c r="AC562" i="1"/>
  <c r="AC542" i="1"/>
  <c r="AA542" i="1"/>
  <c r="AC522" i="1"/>
  <c r="AA522" i="1"/>
  <c r="AA462" i="1"/>
  <c r="AC462" i="1"/>
  <c r="AC442" i="1"/>
  <c r="AA442" i="1"/>
  <c r="AA322" i="1"/>
  <c r="AC322" i="1"/>
  <c r="AA242" i="1"/>
  <c r="AC242" i="1"/>
  <c r="AC122" i="1"/>
  <c r="AA122" i="1"/>
  <c r="AA62" i="1"/>
  <c r="AC62" i="1"/>
  <c r="AA969" i="1"/>
  <c r="AC969" i="1"/>
  <c r="AA809" i="1"/>
  <c r="AC809" i="1"/>
  <c r="AC588" i="1"/>
  <c r="AA588" i="1"/>
  <c r="AC927" i="1"/>
  <c r="AA927" i="1"/>
  <c r="AC806" i="1"/>
  <c r="AA806" i="1"/>
  <c r="AA925" i="1"/>
  <c r="AC925" i="1"/>
  <c r="AC685" i="1"/>
  <c r="AA685" i="1"/>
  <c r="AC541" i="1"/>
  <c r="AA541" i="1"/>
  <c r="AC521" i="1"/>
  <c r="AA521" i="1"/>
  <c r="AC461" i="1"/>
  <c r="AA461" i="1"/>
  <c r="AC441" i="1"/>
  <c r="AA441" i="1"/>
  <c r="AC381" i="1"/>
  <c r="AA381" i="1"/>
  <c r="AC321" i="1"/>
  <c r="AA321" i="1"/>
  <c r="AA301" i="1"/>
  <c r="AC301" i="1"/>
  <c r="AA241" i="1"/>
  <c r="AC241" i="1"/>
  <c r="AC181" i="1"/>
  <c r="AA181" i="1"/>
  <c r="AA121" i="1"/>
  <c r="AC121" i="1"/>
  <c r="AC61" i="1"/>
  <c r="AA61" i="1"/>
  <c r="AC869" i="1"/>
  <c r="AA869" i="1"/>
  <c r="AC987" i="1"/>
  <c r="AA987" i="1"/>
  <c r="AC926" i="1"/>
  <c r="AA926" i="1"/>
  <c r="AC785" i="1"/>
  <c r="AA785" i="1"/>
  <c r="AC540" i="1"/>
  <c r="AA540" i="1"/>
  <c r="AC520" i="1"/>
  <c r="AA520" i="1"/>
  <c r="AA440" i="1"/>
  <c r="AC440" i="1"/>
  <c r="AC380" i="1"/>
  <c r="AA380" i="1"/>
  <c r="AC300" i="1"/>
  <c r="AA300" i="1"/>
  <c r="AC180" i="1"/>
  <c r="AA180" i="1"/>
  <c r="AC100" i="1"/>
  <c r="AA100" i="1"/>
  <c r="AC60" i="1"/>
  <c r="AA60" i="1"/>
  <c r="AA949" i="1"/>
  <c r="AC949" i="1"/>
  <c r="AA629" i="1"/>
  <c r="AC629" i="1"/>
  <c r="AA907" i="1"/>
  <c r="AC907" i="1"/>
  <c r="AA846" i="1"/>
  <c r="AC846" i="1"/>
  <c r="AC945" i="1"/>
  <c r="AA945" i="1"/>
  <c r="AC705" i="1"/>
  <c r="AA705" i="1"/>
  <c r="AA379" i="1"/>
  <c r="AC379" i="1"/>
  <c r="AC359" i="1"/>
  <c r="AA359" i="1"/>
  <c r="AA299" i="1"/>
  <c r="AC299" i="1"/>
  <c r="AA239" i="1"/>
  <c r="AC239" i="1"/>
  <c r="AC179" i="1"/>
  <c r="AA179" i="1"/>
  <c r="AC159" i="1"/>
  <c r="AA159" i="1"/>
  <c r="AC99" i="1"/>
  <c r="AA99" i="1"/>
  <c r="AC39" i="1"/>
  <c r="AA39" i="1"/>
  <c r="AA432" i="1"/>
  <c r="AC432" i="1"/>
  <c r="AA989" i="1"/>
  <c r="AC989" i="1"/>
  <c r="AC709" i="1"/>
  <c r="AA709" i="1"/>
  <c r="AA866" i="1"/>
  <c r="AC866" i="1"/>
  <c r="AC765" i="1"/>
  <c r="AA765" i="1"/>
  <c r="AC518" i="1"/>
  <c r="AA518" i="1"/>
  <c r="AA438" i="1"/>
  <c r="AC438" i="1"/>
  <c r="AC98" i="1"/>
  <c r="AA98" i="1"/>
  <c r="AA38" i="1"/>
  <c r="AC38" i="1"/>
  <c r="AA669" i="1"/>
  <c r="AC669" i="1"/>
  <c r="AA986" i="1"/>
  <c r="AC986" i="1"/>
  <c r="AA965" i="1"/>
  <c r="AC965" i="1"/>
  <c r="AC745" i="1"/>
  <c r="AA745" i="1"/>
  <c r="AC37" i="1"/>
  <c r="AA37" i="1"/>
  <c r="AC895" i="1"/>
  <c r="AA895" i="1"/>
  <c r="AC615" i="1"/>
  <c r="AA615" i="1"/>
  <c r="AC495" i="1"/>
  <c r="AA495" i="1"/>
  <c r="AC375" i="1"/>
  <c r="AA375" i="1"/>
  <c r="AC255" i="1"/>
  <c r="AA255" i="1"/>
  <c r="AC135" i="1"/>
  <c r="AA135" i="1"/>
  <c r="AA569" i="1"/>
  <c r="AC569" i="1"/>
  <c r="AC549" i="1"/>
  <c r="AA549" i="1"/>
  <c r="AC529" i="1"/>
  <c r="AA529" i="1"/>
  <c r="AA509" i="1"/>
  <c r="AC509" i="1"/>
  <c r="AC489" i="1"/>
  <c r="AA489" i="1"/>
  <c r="AC469" i="1"/>
  <c r="AA469" i="1"/>
  <c r="AC449" i="1"/>
  <c r="AA449" i="1"/>
  <c r="AC429" i="1"/>
  <c r="AA429" i="1"/>
  <c r="AA369" i="1"/>
  <c r="AC369" i="1"/>
  <c r="AA329" i="1"/>
  <c r="AC329" i="1"/>
  <c r="AC309" i="1"/>
  <c r="AA309" i="1"/>
  <c r="AC249" i="1"/>
  <c r="AA249" i="1"/>
  <c r="AC229" i="1"/>
  <c r="AA229" i="1"/>
  <c r="AC189" i="1"/>
  <c r="AA189" i="1"/>
  <c r="AA169" i="1"/>
  <c r="AC169" i="1"/>
  <c r="AC129" i="1"/>
  <c r="AA129" i="1"/>
  <c r="AC109" i="1"/>
  <c r="AA109" i="1"/>
  <c r="AA69" i="1"/>
  <c r="AC69" i="1"/>
  <c r="AA49" i="1"/>
  <c r="AC49" i="1"/>
  <c r="AC29" i="1"/>
  <c r="AA29" i="1"/>
  <c r="AA9" i="1"/>
  <c r="AC9" i="1"/>
  <c r="AA982" i="1"/>
  <c r="AA873" i="1"/>
  <c r="AA716" i="1"/>
  <c r="AA556" i="1"/>
  <c r="AA388" i="1"/>
  <c r="AC999" i="1"/>
  <c r="AC664" i="1"/>
  <c r="AC220" i="1"/>
  <c r="AC215" i="1"/>
  <c r="AA215" i="1"/>
  <c r="AA1008" i="1"/>
  <c r="AC1008" i="1"/>
  <c r="AC988" i="1"/>
  <c r="AA988" i="1"/>
  <c r="AC968" i="1"/>
  <c r="AA968" i="1"/>
  <c r="AC928" i="1"/>
  <c r="AA928" i="1"/>
  <c r="AC908" i="1"/>
  <c r="AA908" i="1"/>
  <c r="AC888" i="1"/>
  <c r="AA888" i="1"/>
  <c r="AC868" i="1"/>
  <c r="AA868" i="1"/>
  <c r="AC848" i="1"/>
  <c r="AA848" i="1"/>
  <c r="AC828" i="1"/>
  <c r="AA828" i="1"/>
  <c r="AA788" i="1"/>
  <c r="AC788" i="1"/>
  <c r="AC768" i="1"/>
  <c r="AA768" i="1"/>
  <c r="AC748" i="1"/>
  <c r="AA748" i="1"/>
  <c r="AA728" i="1"/>
  <c r="AC728" i="1"/>
  <c r="AC708" i="1"/>
  <c r="AA708" i="1"/>
  <c r="AC688" i="1"/>
  <c r="AA688" i="1"/>
  <c r="AA668" i="1"/>
  <c r="AC668" i="1"/>
  <c r="AA648" i="1"/>
  <c r="AC648" i="1"/>
  <c r="AA628" i="1"/>
  <c r="AC628" i="1"/>
  <c r="AC548" i="1"/>
  <c r="AA548" i="1"/>
  <c r="AC528" i="1"/>
  <c r="AA528" i="1"/>
  <c r="AA508" i="1"/>
  <c r="AC508" i="1"/>
  <c r="AC468" i="1"/>
  <c r="AA468" i="1"/>
  <c r="AC448" i="1"/>
  <c r="AA448" i="1"/>
  <c r="AC428" i="1"/>
  <c r="AA428" i="1"/>
  <c r="AC408" i="1"/>
  <c r="AA408" i="1"/>
  <c r="AA368" i="1"/>
  <c r="AC368" i="1"/>
  <c r="AA328" i="1"/>
  <c r="AC328" i="1"/>
  <c r="AC308" i="1"/>
  <c r="AA308" i="1"/>
  <c r="AC288" i="1"/>
  <c r="AA288" i="1"/>
  <c r="AC248" i="1"/>
  <c r="AA248" i="1"/>
  <c r="AC208" i="1"/>
  <c r="AA208" i="1"/>
  <c r="AA188" i="1"/>
  <c r="AC188" i="1"/>
  <c r="AC168" i="1"/>
  <c r="AA168" i="1"/>
  <c r="AC128" i="1"/>
  <c r="AA128" i="1"/>
  <c r="AA68" i="1"/>
  <c r="AC68" i="1"/>
  <c r="AC48" i="1"/>
  <c r="AA48" i="1"/>
  <c r="AA28" i="1"/>
  <c r="AC28" i="1"/>
  <c r="AA981" i="1"/>
  <c r="AA843" i="1"/>
  <c r="AA715" i="1"/>
  <c r="AA555" i="1"/>
  <c r="AA354" i="1"/>
  <c r="AC963" i="1"/>
  <c r="AC608" i="1"/>
  <c r="AC131" i="1"/>
  <c r="AC675" i="1"/>
  <c r="AA675" i="1"/>
  <c r="AC587" i="1"/>
  <c r="AA587" i="1"/>
  <c r="AC547" i="1"/>
  <c r="AA547" i="1"/>
  <c r="AC527" i="1"/>
  <c r="AA527" i="1"/>
  <c r="AC507" i="1"/>
  <c r="AA507" i="1"/>
  <c r="AC447" i="1"/>
  <c r="AA447" i="1"/>
  <c r="AC427" i="1"/>
  <c r="AA427" i="1"/>
  <c r="AC387" i="1"/>
  <c r="AA387" i="1"/>
  <c r="AC367" i="1"/>
  <c r="AA367" i="1"/>
  <c r="AC307" i="1"/>
  <c r="AA307" i="1"/>
  <c r="AC247" i="1"/>
  <c r="AA247" i="1"/>
  <c r="AA187" i="1"/>
  <c r="AC187" i="1"/>
  <c r="AA107" i="1"/>
  <c r="AC107" i="1"/>
  <c r="AA67" i="1"/>
  <c r="AC67" i="1"/>
  <c r="AA47" i="1"/>
  <c r="AC47" i="1"/>
  <c r="AA980" i="1"/>
  <c r="AA842" i="1"/>
  <c r="AA713" i="1"/>
  <c r="AA553" i="1"/>
  <c r="AA353" i="1"/>
  <c r="AA167" i="1"/>
  <c r="AC962" i="1"/>
  <c r="AC130" i="1"/>
  <c r="AC266" i="1"/>
  <c r="AA266" i="1"/>
  <c r="AC246" i="1"/>
  <c r="AA246" i="1"/>
  <c r="AC186" i="1"/>
  <c r="AA186" i="1"/>
  <c r="AC146" i="1"/>
  <c r="AA146" i="1"/>
  <c r="AA106" i="1"/>
  <c r="AC106" i="1"/>
  <c r="AC86" i="1"/>
  <c r="AA86" i="1"/>
  <c r="AA46" i="1"/>
  <c r="AC46" i="1"/>
  <c r="AA6" i="1"/>
  <c r="AC6" i="1"/>
  <c r="AA958" i="1"/>
  <c r="AA841" i="1"/>
  <c r="AA712" i="1"/>
  <c r="AA346" i="1"/>
  <c r="AA166" i="1"/>
  <c r="AC948" i="1"/>
  <c r="AC118" i="1"/>
  <c r="AA526" i="1"/>
  <c r="AC526" i="1"/>
  <c r="AC506" i="1"/>
  <c r="AA506" i="1"/>
  <c r="AC446" i="1"/>
  <c r="AA446" i="1"/>
  <c r="AC426" i="1"/>
  <c r="AA426" i="1"/>
  <c r="AC386" i="1"/>
  <c r="AA386" i="1"/>
  <c r="AC366" i="1"/>
  <c r="AA366" i="1"/>
  <c r="AA306" i="1"/>
  <c r="AC306" i="1"/>
  <c r="AA525" i="1"/>
  <c r="AC525" i="1"/>
  <c r="AC505" i="1"/>
  <c r="AA505" i="1"/>
  <c r="AC485" i="1"/>
  <c r="AA485" i="1"/>
  <c r="AC445" i="1"/>
  <c r="AA445" i="1"/>
  <c r="AC425" i="1"/>
  <c r="AA425" i="1"/>
  <c r="AC365" i="1"/>
  <c r="AA365" i="1"/>
  <c r="AC345" i="1"/>
  <c r="AA345" i="1"/>
  <c r="AA305" i="1"/>
  <c r="AC305" i="1"/>
  <c r="AA245" i="1"/>
  <c r="AC245" i="1"/>
  <c r="AC225" i="1"/>
  <c r="AA225" i="1"/>
  <c r="AC165" i="1"/>
  <c r="AA165" i="1"/>
  <c r="AC145" i="1"/>
  <c r="AA145" i="1"/>
  <c r="AA105" i="1"/>
  <c r="AC105" i="1"/>
  <c r="AC85" i="1"/>
  <c r="AA85" i="1"/>
  <c r="AC45" i="1"/>
  <c r="AA45" i="1"/>
  <c r="AA25" i="1"/>
  <c r="AC25" i="1"/>
  <c r="AA839" i="1"/>
  <c r="AA519" i="1"/>
  <c r="AA333" i="1"/>
  <c r="AA158" i="1"/>
  <c r="AC580" i="1"/>
  <c r="AC108" i="1"/>
  <c r="AC1004" i="1"/>
  <c r="AA1004" i="1"/>
  <c r="AA964" i="1"/>
  <c r="AC964" i="1"/>
  <c r="AA924" i="1"/>
  <c r="AC924" i="1"/>
  <c r="AC904" i="1"/>
  <c r="AA904" i="1"/>
  <c r="AA864" i="1"/>
  <c r="AC864" i="1"/>
  <c r="AA844" i="1"/>
  <c r="AC844" i="1"/>
  <c r="AC824" i="1"/>
  <c r="AA824" i="1"/>
  <c r="AC804" i="1"/>
  <c r="AA804" i="1"/>
  <c r="AC784" i="1"/>
  <c r="AA784" i="1"/>
  <c r="AC764" i="1"/>
  <c r="AA764" i="1"/>
  <c r="AC744" i="1"/>
  <c r="AA744" i="1"/>
  <c r="AC724" i="1"/>
  <c r="AA724" i="1"/>
  <c r="AC704" i="1"/>
  <c r="AA704" i="1"/>
  <c r="AC684" i="1"/>
  <c r="AA684" i="1"/>
  <c r="AA644" i="1"/>
  <c r="AC644" i="1"/>
  <c r="AA604" i="1"/>
  <c r="AC604" i="1"/>
  <c r="AC504" i="1"/>
  <c r="AA504" i="1"/>
  <c r="AC484" i="1"/>
  <c r="AA484" i="1"/>
  <c r="AA464" i="1"/>
  <c r="AC464" i="1"/>
  <c r="AC444" i="1"/>
  <c r="AA444" i="1"/>
  <c r="AC424" i="1"/>
  <c r="AA424" i="1"/>
  <c r="AA404" i="1"/>
  <c r="AC404" i="1"/>
  <c r="AC364" i="1"/>
  <c r="AA364" i="1"/>
  <c r="AA344" i="1"/>
  <c r="AC344" i="1"/>
  <c r="AA324" i="1"/>
  <c r="AC324" i="1"/>
  <c r="AA304" i="1"/>
  <c r="AC304" i="1"/>
  <c r="AA284" i="1"/>
  <c r="AC284" i="1"/>
  <c r="AA244" i="1"/>
  <c r="AC244" i="1"/>
  <c r="AC204" i="1"/>
  <c r="AA204" i="1"/>
  <c r="AC164" i="1"/>
  <c r="AA164" i="1"/>
  <c r="AC144" i="1"/>
  <c r="AA144" i="1"/>
  <c r="AA104" i="1"/>
  <c r="AC104" i="1"/>
  <c r="AC84" i="1"/>
  <c r="AA84" i="1"/>
  <c r="AC44" i="1"/>
  <c r="AA44" i="1"/>
  <c r="AC24" i="1"/>
  <c r="AA24" i="1"/>
  <c r="AA838" i="1"/>
  <c r="AA682" i="1"/>
  <c r="AA332" i="1"/>
  <c r="AC896" i="1"/>
  <c r="AC524" i="1"/>
  <c r="AC8" i="1"/>
  <c r="AC1003" i="1"/>
  <c r="AA1003" i="1"/>
  <c r="AC983" i="1"/>
  <c r="AA983" i="1"/>
  <c r="AC943" i="1"/>
  <c r="AA943" i="1"/>
  <c r="AA923" i="1"/>
  <c r="AC923" i="1"/>
  <c r="AC903" i="1"/>
  <c r="AA903" i="1"/>
  <c r="AA863" i="1"/>
  <c r="AC863" i="1"/>
  <c r="AC823" i="1"/>
  <c r="AA823" i="1"/>
  <c r="AC783" i="1"/>
  <c r="AA783" i="1"/>
  <c r="AC763" i="1"/>
  <c r="AA763" i="1"/>
  <c r="AC743" i="1"/>
  <c r="AA743" i="1"/>
  <c r="AC723" i="1"/>
  <c r="AA723" i="1"/>
  <c r="AC703" i="1"/>
  <c r="AA703" i="1"/>
  <c r="AA683" i="1"/>
  <c r="AC683" i="1"/>
  <c r="AA663" i="1"/>
  <c r="AC663" i="1"/>
  <c r="AA643" i="1"/>
  <c r="AC643" i="1"/>
  <c r="AA623" i="1"/>
  <c r="AC623" i="1"/>
  <c r="AA603" i="1"/>
  <c r="AC603" i="1"/>
  <c r="AA583" i="1"/>
  <c r="AC583" i="1"/>
  <c r="AA543" i="1"/>
  <c r="AC543" i="1"/>
  <c r="AA503" i="1"/>
  <c r="AC503" i="1"/>
  <c r="AA483" i="1"/>
  <c r="AC483" i="1"/>
  <c r="AA443" i="1"/>
  <c r="AC443" i="1"/>
  <c r="AA423" i="1"/>
  <c r="AC423" i="1"/>
  <c r="AA403" i="1"/>
  <c r="AC403" i="1"/>
  <c r="AA363" i="1"/>
  <c r="AC363" i="1"/>
  <c r="AA343" i="1"/>
  <c r="AC343" i="1"/>
  <c r="AA303" i="1"/>
  <c r="AC303" i="1"/>
  <c r="AA283" i="1"/>
  <c r="AC283" i="1"/>
  <c r="AA223" i="1"/>
  <c r="AC223" i="1"/>
  <c r="AA203" i="1"/>
  <c r="AC203" i="1"/>
  <c r="AA163" i="1"/>
  <c r="AC163" i="1"/>
  <c r="AA143" i="1"/>
  <c r="AC143" i="1"/>
  <c r="AA103" i="1"/>
  <c r="AC103" i="1"/>
  <c r="AA83" i="1"/>
  <c r="AC83" i="1"/>
  <c r="AA63" i="1"/>
  <c r="AC63" i="1"/>
  <c r="AA43" i="1"/>
  <c r="AC43" i="1"/>
  <c r="AA23" i="1"/>
  <c r="AC23" i="1"/>
  <c r="AA837" i="1"/>
  <c r="AA499" i="1"/>
  <c r="AA331" i="1"/>
  <c r="AA124" i="1"/>
  <c r="AC894" i="1"/>
  <c r="AC523" i="1"/>
  <c r="AC7" i="1"/>
  <c r="AC1002" i="1"/>
  <c r="AA1002" i="1"/>
  <c r="AC942" i="1"/>
  <c r="AA942" i="1"/>
  <c r="AC922" i="1"/>
  <c r="AA922" i="1"/>
  <c r="AC902" i="1"/>
  <c r="AA902" i="1"/>
  <c r="AC882" i="1"/>
  <c r="AA882" i="1"/>
  <c r="AA862" i="1"/>
  <c r="AC862" i="1"/>
  <c r="AC802" i="1"/>
  <c r="AA802" i="1"/>
  <c r="AC782" i="1"/>
  <c r="AA782" i="1"/>
  <c r="AC742" i="1"/>
  <c r="AA742" i="1"/>
  <c r="AC722" i="1"/>
  <c r="AA722" i="1"/>
  <c r="AC702" i="1"/>
  <c r="AA702" i="1"/>
  <c r="AC642" i="1"/>
  <c r="AA642" i="1"/>
  <c r="AC602" i="1"/>
  <c r="AA602" i="1"/>
  <c r="AA582" i="1"/>
  <c r="AC582" i="1"/>
  <c r="AC502" i="1"/>
  <c r="AA502" i="1"/>
  <c r="AC482" i="1"/>
  <c r="AA482" i="1"/>
  <c r="AC422" i="1"/>
  <c r="AA422" i="1"/>
  <c r="AC402" i="1"/>
  <c r="AA402" i="1"/>
  <c r="AC382" i="1"/>
  <c r="AA382" i="1"/>
  <c r="AC362" i="1"/>
  <c r="AA362" i="1"/>
  <c r="AC342" i="1"/>
  <c r="AA342" i="1"/>
  <c r="AA302" i="1"/>
  <c r="AC302" i="1"/>
  <c r="AA282" i="1"/>
  <c r="AC282" i="1"/>
  <c r="AC262" i="1"/>
  <c r="AA262" i="1"/>
  <c r="AC202" i="1"/>
  <c r="AA202" i="1"/>
  <c r="AC182" i="1"/>
  <c r="AA182" i="1"/>
  <c r="AC162" i="1"/>
  <c r="AA162" i="1"/>
  <c r="AA142" i="1"/>
  <c r="AC142" i="1"/>
  <c r="AA102" i="1"/>
  <c r="AC102" i="1"/>
  <c r="AC82" i="1"/>
  <c r="AA82" i="1"/>
  <c r="AC42" i="1"/>
  <c r="AA42" i="1"/>
  <c r="AC22" i="1"/>
  <c r="AA22" i="1"/>
  <c r="AA812" i="1"/>
  <c r="AA498" i="1"/>
  <c r="AA961" i="1"/>
  <c r="AC961" i="1"/>
  <c r="AC941" i="1"/>
  <c r="AA941" i="1"/>
  <c r="AC921" i="1"/>
  <c r="AA921" i="1"/>
  <c r="AC901" i="1"/>
  <c r="AA901" i="1"/>
  <c r="AC881" i="1"/>
  <c r="AA881" i="1"/>
  <c r="AA861" i="1"/>
  <c r="AC861" i="1"/>
  <c r="AC801" i="1"/>
  <c r="AA801" i="1"/>
  <c r="AC781" i="1"/>
  <c r="AA781" i="1"/>
  <c r="AA761" i="1"/>
  <c r="AC761" i="1"/>
  <c r="AA741" i="1"/>
  <c r="AC741" i="1"/>
  <c r="AC721" i="1"/>
  <c r="AA721" i="1"/>
  <c r="AC701" i="1"/>
  <c r="AA701" i="1"/>
  <c r="AC681" i="1"/>
  <c r="AA681" i="1"/>
  <c r="AC641" i="1"/>
  <c r="AA641" i="1"/>
  <c r="AC601" i="1"/>
  <c r="AA601" i="1"/>
  <c r="AA581" i="1"/>
  <c r="AC581" i="1"/>
  <c r="AA561" i="1"/>
  <c r="AC561" i="1"/>
  <c r="AA501" i="1"/>
  <c r="AC501" i="1"/>
  <c r="AC481" i="1"/>
  <c r="AA481" i="1"/>
  <c r="AA421" i="1"/>
  <c r="AC421" i="1"/>
  <c r="AC401" i="1"/>
  <c r="AA401" i="1"/>
  <c r="AC361" i="1"/>
  <c r="AA361" i="1"/>
  <c r="AC341" i="1"/>
  <c r="AA341" i="1"/>
  <c r="AA281" i="1"/>
  <c r="AC281" i="1"/>
  <c r="AC261" i="1"/>
  <c r="AA261" i="1"/>
  <c r="AC201" i="1"/>
  <c r="AA201" i="1"/>
  <c r="AC161" i="1"/>
  <c r="AA161" i="1"/>
  <c r="AA141" i="1"/>
  <c r="AC141" i="1"/>
  <c r="AA101" i="1"/>
  <c r="AC101" i="1"/>
  <c r="AC81" i="1"/>
  <c r="AA81" i="1"/>
  <c r="AC41" i="1"/>
  <c r="AA41" i="1"/>
  <c r="AC21" i="1"/>
  <c r="AA21" i="1"/>
  <c r="AC34" i="1"/>
  <c r="AA34" i="1"/>
  <c r="AA944" i="1"/>
  <c r="AA808" i="1"/>
  <c r="AA497" i="1"/>
  <c r="AA120" i="1"/>
  <c r="AC960" i="1"/>
  <c r="AA960" i="1"/>
  <c r="AC940" i="1"/>
  <c r="AA940" i="1"/>
  <c r="AC900" i="1"/>
  <c r="AA900" i="1"/>
  <c r="AC880" i="1"/>
  <c r="AA880" i="1"/>
  <c r="AA860" i="1"/>
  <c r="AC860" i="1"/>
  <c r="AC840" i="1"/>
  <c r="AA840" i="1"/>
  <c r="AA820" i="1"/>
  <c r="AC820" i="1"/>
  <c r="AC800" i="1"/>
  <c r="AA800" i="1"/>
  <c r="AC780" i="1"/>
  <c r="AA780" i="1"/>
  <c r="AC740" i="1"/>
  <c r="AA740" i="1"/>
  <c r="AA720" i="1"/>
  <c r="AC720" i="1"/>
  <c r="AC700" i="1"/>
  <c r="AA700" i="1"/>
  <c r="AC680" i="1"/>
  <c r="AA680" i="1"/>
  <c r="AC660" i="1"/>
  <c r="AA660" i="1"/>
  <c r="AC640" i="1"/>
  <c r="AA640" i="1"/>
  <c r="AC620" i="1"/>
  <c r="AA620" i="1"/>
  <c r="AC600" i="1"/>
  <c r="AA600" i="1"/>
  <c r="AA560" i="1"/>
  <c r="AC560" i="1"/>
  <c r="AC500" i="1"/>
  <c r="AA500" i="1"/>
  <c r="AC480" i="1"/>
  <c r="AA480" i="1"/>
  <c r="AC460" i="1"/>
  <c r="AA460" i="1"/>
  <c r="AA420" i="1"/>
  <c r="AC420" i="1"/>
  <c r="AC360" i="1"/>
  <c r="AA360" i="1"/>
  <c r="AC340" i="1"/>
  <c r="AA340" i="1"/>
  <c r="AA320" i="1"/>
  <c r="AC320" i="1"/>
  <c r="AA280" i="1"/>
  <c r="AC280" i="1"/>
  <c r="AC260" i="1"/>
  <c r="AA260" i="1"/>
  <c r="AA240" i="1"/>
  <c r="AC240" i="1"/>
  <c r="AC200" i="1"/>
  <c r="AA200" i="1"/>
  <c r="AC160" i="1"/>
  <c r="AA160" i="1"/>
  <c r="AC140" i="1"/>
  <c r="AA140" i="1"/>
  <c r="AC80" i="1"/>
  <c r="AA80" i="1"/>
  <c r="AC40" i="1"/>
  <c r="AA40" i="1"/>
  <c r="AC20" i="1"/>
  <c r="AA20" i="1"/>
  <c r="AA920" i="1"/>
  <c r="AA662" i="1"/>
  <c r="AA457" i="1"/>
  <c r="AA119" i="1"/>
  <c r="AC822" i="1"/>
  <c r="AC439" i="1"/>
  <c r="AC979" i="1"/>
  <c r="AA979" i="1"/>
  <c r="AC959" i="1"/>
  <c r="AA959" i="1"/>
  <c r="AC939" i="1"/>
  <c r="AA939" i="1"/>
  <c r="AC899" i="1"/>
  <c r="AA899" i="1"/>
  <c r="AC879" i="1"/>
  <c r="AA879" i="1"/>
  <c r="AC859" i="1"/>
  <c r="AA859" i="1"/>
  <c r="AA819" i="1"/>
  <c r="AC819" i="1"/>
  <c r="AA799" i="1"/>
  <c r="AC799" i="1"/>
  <c r="AA779" i="1"/>
  <c r="AC779" i="1"/>
  <c r="AA759" i="1"/>
  <c r="AC759" i="1"/>
  <c r="AA739" i="1"/>
  <c r="AC739" i="1"/>
  <c r="AA719" i="1"/>
  <c r="AC719" i="1"/>
  <c r="AA699" i="1"/>
  <c r="AC699" i="1"/>
  <c r="AC679" i="1"/>
  <c r="AA679" i="1"/>
  <c r="AC659" i="1"/>
  <c r="AA659" i="1"/>
  <c r="AC639" i="1"/>
  <c r="AA639" i="1"/>
  <c r="AC599" i="1"/>
  <c r="AA599" i="1"/>
  <c r="AC579" i="1"/>
  <c r="AA579" i="1"/>
  <c r="AA559" i="1"/>
  <c r="AC559" i="1"/>
  <c r="AC539" i="1"/>
  <c r="AA539" i="1"/>
  <c r="AC479" i="1"/>
  <c r="AA479" i="1"/>
  <c r="AC459" i="1"/>
  <c r="AA459" i="1"/>
  <c r="AA419" i="1"/>
  <c r="AC419" i="1"/>
  <c r="AA339" i="1"/>
  <c r="AC339" i="1"/>
  <c r="AC319" i="1"/>
  <c r="AA319" i="1"/>
  <c r="AC279" i="1"/>
  <c r="AA279" i="1"/>
  <c r="AA259" i="1"/>
  <c r="AC259" i="1"/>
  <c r="AC219" i="1"/>
  <c r="AA219" i="1"/>
  <c r="AC199" i="1"/>
  <c r="AA199" i="1"/>
  <c r="AC139" i="1"/>
  <c r="AA139" i="1"/>
  <c r="AC79" i="1"/>
  <c r="AA79" i="1"/>
  <c r="AC19" i="1"/>
  <c r="AA19" i="1"/>
  <c r="AA919" i="1"/>
  <c r="AA803" i="1"/>
  <c r="AA661" i="1"/>
  <c r="AA456" i="1"/>
  <c r="AA287" i="1"/>
  <c r="AA111" i="1"/>
  <c r="AC821" i="1"/>
  <c r="AC998" i="1"/>
  <c r="AA998" i="1"/>
  <c r="AC978" i="1"/>
  <c r="AA978" i="1"/>
  <c r="AA938" i="1"/>
  <c r="AC938" i="1"/>
  <c r="AA898" i="1"/>
  <c r="AC898" i="1"/>
  <c r="AC878" i="1"/>
  <c r="AA878" i="1"/>
  <c r="AC858" i="1"/>
  <c r="AA858" i="1"/>
  <c r="AA818" i="1"/>
  <c r="AC818" i="1"/>
  <c r="AA798" i="1"/>
  <c r="AC798" i="1"/>
  <c r="AC778" i="1"/>
  <c r="AA778" i="1"/>
  <c r="AA738" i="1"/>
  <c r="AC738" i="1"/>
  <c r="AA718" i="1"/>
  <c r="AC718" i="1"/>
  <c r="AA698" i="1"/>
  <c r="AC698" i="1"/>
  <c r="AA678" i="1"/>
  <c r="AC678" i="1"/>
  <c r="AC658" i="1"/>
  <c r="AA658" i="1"/>
  <c r="AC638" i="1"/>
  <c r="AA638" i="1"/>
  <c r="AC598" i="1"/>
  <c r="AA598" i="1"/>
  <c r="AC578" i="1"/>
  <c r="AA578" i="1"/>
  <c r="AC558" i="1"/>
  <c r="AA558" i="1"/>
  <c r="AC538" i="1"/>
  <c r="AA538" i="1"/>
  <c r="AC478" i="1"/>
  <c r="AA478" i="1"/>
  <c r="AC458" i="1"/>
  <c r="AA458" i="1"/>
  <c r="AA418" i="1"/>
  <c r="AC418" i="1"/>
  <c r="AA398" i="1"/>
  <c r="AC398" i="1"/>
  <c r="AA378" i="1"/>
  <c r="AC378" i="1"/>
  <c r="AC358" i="1"/>
  <c r="AA358" i="1"/>
  <c r="AA338" i="1"/>
  <c r="AC338" i="1"/>
  <c r="AC318" i="1"/>
  <c r="AA318" i="1"/>
  <c r="AC298" i="1"/>
  <c r="AA298" i="1"/>
  <c r="AA278" i="1"/>
  <c r="AC278" i="1"/>
  <c r="AC258" i="1"/>
  <c r="AA258" i="1"/>
  <c r="AC218" i="1"/>
  <c r="AA218" i="1"/>
  <c r="AC198" i="1"/>
  <c r="AA198" i="1"/>
  <c r="AA178" i="1"/>
  <c r="AC178" i="1"/>
  <c r="AC138" i="1"/>
  <c r="AA138" i="1"/>
  <c r="AA78" i="1"/>
  <c r="AC78" i="1"/>
  <c r="AC18" i="1"/>
  <c r="AA18" i="1"/>
  <c r="AA918" i="1"/>
  <c r="AA795" i="1"/>
  <c r="AA624" i="1"/>
  <c r="AA455" i="1"/>
  <c r="AA286" i="1"/>
  <c r="AA59" i="1"/>
  <c r="AC817" i="1"/>
  <c r="AC433" i="1"/>
  <c r="AA997" i="1"/>
  <c r="AC997" i="1"/>
  <c r="AC977" i="1"/>
  <c r="AA977" i="1"/>
  <c r="AC957" i="1"/>
  <c r="AA957" i="1"/>
  <c r="AA937" i="1"/>
  <c r="AC937" i="1"/>
  <c r="AC917" i="1"/>
  <c r="AA917" i="1"/>
  <c r="AA897" i="1"/>
  <c r="AC897" i="1"/>
  <c r="AA877" i="1"/>
  <c r="AC877" i="1"/>
  <c r="AC857" i="1"/>
  <c r="AA857" i="1"/>
  <c r="AA797" i="1"/>
  <c r="AC797" i="1"/>
  <c r="AC777" i="1"/>
  <c r="AA777" i="1"/>
  <c r="AA697" i="1"/>
  <c r="AC697" i="1"/>
  <c r="AA677" i="1"/>
  <c r="AC677" i="1"/>
  <c r="AA657" i="1"/>
  <c r="AC657" i="1"/>
  <c r="AC637" i="1"/>
  <c r="AA637" i="1"/>
  <c r="AC617" i="1"/>
  <c r="AA617" i="1"/>
  <c r="AC597" i="1"/>
  <c r="AA597" i="1"/>
  <c r="AC577" i="1"/>
  <c r="AA577" i="1"/>
  <c r="AC557" i="1"/>
  <c r="AA557" i="1"/>
  <c r="AC537" i="1"/>
  <c r="AA537" i="1"/>
  <c r="AA517" i="1"/>
  <c r="AC517" i="1"/>
  <c r="AC477" i="1"/>
  <c r="AA477" i="1"/>
  <c r="AA437" i="1"/>
  <c r="AC437" i="1"/>
  <c r="AA417" i="1"/>
  <c r="AC417" i="1"/>
  <c r="AA397" i="1"/>
  <c r="AC397" i="1"/>
  <c r="AA377" i="1"/>
  <c r="AC377" i="1"/>
  <c r="AC357" i="1"/>
  <c r="AA357" i="1"/>
  <c r="AA337" i="1"/>
  <c r="AC337" i="1"/>
  <c r="AC317" i="1"/>
  <c r="AA317" i="1"/>
  <c r="AC297" i="1"/>
  <c r="AA297" i="1"/>
  <c r="AC277" i="1"/>
  <c r="AA277" i="1"/>
  <c r="AA257" i="1"/>
  <c r="AC257" i="1"/>
  <c r="AC237" i="1"/>
  <c r="AA237" i="1"/>
  <c r="AA217" i="1"/>
  <c r="AC217" i="1"/>
  <c r="AC197" i="1"/>
  <c r="AA197" i="1"/>
  <c r="AA177" i="1"/>
  <c r="AC177" i="1"/>
  <c r="AC157" i="1"/>
  <c r="AA157" i="1"/>
  <c r="AC137" i="1"/>
  <c r="AA137" i="1"/>
  <c r="AC117" i="1"/>
  <c r="AA117" i="1"/>
  <c r="AC97" i="1"/>
  <c r="AA97" i="1"/>
  <c r="AA77" i="1"/>
  <c r="AC77" i="1"/>
  <c r="AC57" i="1"/>
  <c r="AA57" i="1"/>
  <c r="AC17" i="1"/>
  <c r="AA17" i="1"/>
  <c r="AA916" i="1"/>
  <c r="AA794" i="1"/>
  <c r="AA622" i="1"/>
  <c r="AA453" i="1"/>
  <c r="AA285" i="1"/>
  <c r="AA58" i="1"/>
  <c r="AC816" i="1"/>
  <c r="AC996" i="1"/>
  <c r="AA996" i="1"/>
  <c r="AA976" i="1"/>
  <c r="AC976" i="1"/>
  <c r="AC956" i="1"/>
  <c r="AA956" i="1"/>
  <c r="AA936" i="1"/>
  <c r="AC936" i="1"/>
  <c r="AC876" i="1"/>
  <c r="AA876" i="1"/>
  <c r="AC856" i="1"/>
  <c r="AA856" i="1"/>
  <c r="AC836" i="1"/>
  <c r="AA836" i="1"/>
  <c r="AA796" i="1"/>
  <c r="AC796" i="1"/>
  <c r="AC776" i="1"/>
  <c r="AA776" i="1"/>
  <c r="AC756" i="1"/>
  <c r="AA756" i="1"/>
  <c r="AA696" i="1"/>
  <c r="AC696" i="1"/>
  <c r="AA676" i="1"/>
  <c r="AC676" i="1"/>
  <c r="AC656" i="1"/>
  <c r="AA656" i="1"/>
  <c r="AA636" i="1"/>
  <c r="AC636" i="1"/>
  <c r="AC596" i="1"/>
  <c r="AA596" i="1"/>
  <c r="AC576" i="1"/>
  <c r="AA576" i="1"/>
  <c r="AC536" i="1"/>
  <c r="AA536" i="1"/>
  <c r="AC516" i="1"/>
  <c r="AA516" i="1"/>
  <c r="AC496" i="1"/>
  <c r="AA496" i="1"/>
  <c r="AC476" i="1"/>
  <c r="AA476" i="1"/>
  <c r="AA436" i="1"/>
  <c r="AC436" i="1"/>
  <c r="AA416" i="1"/>
  <c r="AC416" i="1"/>
  <c r="AA396" i="1"/>
  <c r="AC396" i="1"/>
  <c r="AA376" i="1"/>
  <c r="AC376" i="1"/>
  <c r="AC356" i="1"/>
  <c r="AA356" i="1"/>
  <c r="AC316" i="1"/>
  <c r="AA316" i="1"/>
  <c r="AC296" i="1"/>
  <c r="AA296" i="1"/>
  <c r="AC276" i="1"/>
  <c r="AA276" i="1"/>
  <c r="AC256" i="1"/>
  <c r="AA256" i="1"/>
  <c r="AC236" i="1"/>
  <c r="AA236" i="1"/>
  <c r="AC216" i="1"/>
  <c r="AA216" i="1"/>
  <c r="AC196" i="1"/>
  <c r="AA196" i="1"/>
  <c r="AC176" i="1"/>
  <c r="AA176" i="1"/>
  <c r="AC156" i="1"/>
  <c r="AA156" i="1"/>
  <c r="AC136" i="1"/>
  <c r="AA136" i="1"/>
  <c r="AC116" i="1"/>
  <c r="AA116" i="1"/>
  <c r="AC96" i="1"/>
  <c r="AA96" i="1"/>
  <c r="AC76" i="1"/>
  <c r="AA76" i="1"/>
  <c r="AC56" i="1"/>
  <c r="AA56" i="1"/>
  <c r="AC36" i="1"/>
  <c r="AA36" i="1"/>
  <c r="AC16" i="1"/>
  <c r="AA16" i="1"/>
  <c r="AA915" i="1"/>
  <c r="AA760" i="1"/>
  <c r="AA621" i="1"/>
  <c r="AA452" i="1"/>
  <c r="AA228" i="1"/>
  <c r="AA55" i="1"/>
  <c r="AC35" i="1"/>
  <c r="AA35" i="1"/>
  <c r="AC15" i="1"/>
  <c r="AA15" i="1"/>
  <c r="AA914" i="1"/>
  <c r="AA758" i="1"/>
  <c r="AA619" i="1"/>
  <c r="AA451" i="1"/>
  <c r="AA227" i="1"/>
  <c r="AA54" i="1"/>
  <c r="AC762" i="1"/>
  <c r="AC955" i="1"/>
  <c r="AA955" i="1"/>
  <c r="AC815" i="1"/>
  <c r="AA815" i="1"/>
  <c r="AC635" i="1"/>
  <c r="AA635" i="1"/>
  <c r="AC535" i="1"/>
  <c r="AA535" i="1"/>
  <c r="AC415" i="1"/>
  <c r="AA415" i="1"/>
  <c r="AC295" i="1"/>
  <c r="AA295" i="1"/>
  <c r="AC115" i="1"/>
  <c r="AA115" i="1"/>
  <c r="AC994" i="1"/>
  <c r="AA994" i="1"/>
  <c r="AC974" i="1"/>
  <c r="AA974" i="1"/>
  <c r="AC954" i="1"/>
  <c r="AA954" i="1"/>
  <c r="AC934" i="1"/>
  <c r="AA934" i="1"/>
  <c r="AC854" i="1"/>
  <c r="AA854" i="1"/>
  <c r="AC834" i="1"/>
  <c r="AA834" i="1"/>
  <c r="AC814" i="1"/>
  <c r="AA814" i="1"/>
  <c r="AC774" i="1"/>
  <c r="AA774" i="1"/>
  <c r="AA734" i="1"/>
  <c r="AC734" i="1"/>
  <c r="AC714" i="1"/>
  <c r="AA714" i="1"/>
  <c r="AA694" i="1"/>
  <c r="AC694" i="1"/>
  <c r="AA674" i="1"/>
  <c r="AC674" i="1"/>
  <c r="AC654" i="1"/>
  <c r="AA654" i="1"/>
  <c r="AC634" i="1"/>
  <c r="AA634" i="1"/>
  <c r="AC614" i="1"/>
  <c r="AA614" i="1"/>
  <c r="AC594" i="1"/>
  <c r="AA594" i="1"/>
  <c r="AC574" i="1"/>
  <c r="AA574" i="1"/>
  <c r="AC554" i="1"/>
  <c r="AA554" i="1"/>
  <c r="AC534" i="1"/>
  <c r="AA534" i="1"/>
  <c r="AC514" i="1"/>
  <c r="AA514" i="1"/>
  <c r="AC494" i="1"/>
  <c r="AA494" i="1"/>
  <c r="AC474" i="1"/>
  <c r="AA474" i="1"/>
  <c r="AC454" i="1"/>
  <c r="AA454" i="1"/>
  <c r="AA434" i="1"/>
  <c r="AC434" i="1"/>
  <c r="AC414" i="1"/>
  <c r="AA414" i="1"/>
  <c r="AA394" i="1"/>
  <c r="AC394" i="1"/>
  <c r="AA374" i="1"/>
  <c r="AC374" i="1"/>
  <c r="AC314" i="1"/>
  <c r="AA314" i="1"/>
  <c r="AC294" i="1"/>
  <c r="AA294" i="1"/>
  <c r="AC274" i="1"/>
  <c r="AA274" i="1"/>
  <c r="AC254" i="1"/>
  <c r="AA254" i="1"/>
  <c r="AA234" i="1"/>
  <c r="AC234" i="1"/>
  <c r="AC214" i="1"/>
  <c r="AA214" i="1"/>
  <c r="AA194" i="1"/>
  <c r="AC194" i="1"/>
  <c r="AA174" i="1"/>
  <c r="AC174" i="1"/>
  <c r="AA154" i="1"/>
  <c r="AC154" i="1"/>
  <c r="AC134" i="1"/>
  <c r="AA134" i="1"/>
  <c r="AC114" i="1"/>
  <c r="AA114" i="1"/>
  <c r="AC94" i="1"/>
  <c r="AA94" i="1"/>
  <c r="AA74" i="1"/>
  <c r="AC74" i="1"/>
  <c r="AC14" i="1"/>
  <c r="AA14" i="1"/>
  <c r="AA757" i="1"/>
  <c r="AA618" i="1"/>
  <c r="AA400" i="1"/>
  <c r="AA226" i="1"/>
  <c r="AA53" i="1"/>
  <c r="AC737" i="1"/>
  <c r="AC336" i="1"/>
  <c r="AC975" i="1"/>
  <c r="AA975" i="1"/>
  <c r="AC835" i="1"/>
  <c r="AA835" i="1"/>
  <c r="AC695" i="1"/>
  <c r="AA695" i="1"/>
  <c r="AC435" i="1"/>
  <c r="AA435" i="1"/>
  <c r="AC315" i="1"/>
  <c r="AA315" i="1"/>
  <c r="AC75" i="1"/>
  <c r="AA75" i="1"/>
  <c r="AC2" i="1"/>
  <c r="AA2" i="1"/>
  <c r="AA993" i="1"/>
  <c r="AC993" i="1"/>
  <c r="AC973" i="1"/>
  <c r="AA973" i="1"/>
  <c r="AC953" i="1"/>
  <c r="AA953" i="1"/>
  <c r="AC933" i="1"/>
  <c r="AA933" i="1"/>
  <c r="AC913" i="1"/>
  <c r="AA913" i="1"/>
  <c r="AA893" i="1"/>
  <c r="AC893" i="1"/>
  <c r="AC853" i="1"/>
  <c r="AA853" i="1"/>
  <c r="AC833" i="1"/>
  <c r="AA833" i="1"/>
  <c r="AC813" i="1"/>
  <c r="AA813" i="1"/>
  <c r="AC793" i="1"/>
  <c r="AA793" i="1"/>
  <c r="AC773" i="1"/>
  <c r="AA773" i="1"/>
  <c r="AA733" i="1"/>
  <c r="AC733" i="1"/>
  <c r="AA693" i="1"/>
  <c r="AC693" i="1"/>
  <c r="AA673" i="1"/>
  <c r="AC673" i="1"/>
  <c r="AC653" i="1"/>
  <c r="AA653" i="1"/>
  <c r="AC633" i="1"/>
  <c r="AA633" i="1"/>
  <c r="AA613" i="1"/>
  <c r="AC613" i="1"/>
  <c r="AC593" i="1"/>
  <c r="AA593" i="1"/>
  <c r="AC573" i="1"/>
  <c r="AA573" i="1"/>
  <c r="AC533" i="1"/>
  <c r="AA533" i="1"/>
  <c r="AC513" i="1"/>
  <c r="AA513" i="1"/>
  <c r="AC493" i="1"/>
  <c r="AA493" i="1"/>
  <c r="AC473" i="1"/>
  <c r="AA473" i="1"/>
  <c r="AC413" i="1"/>
  <c r="AA413" i="1"/>
  <c r="AA393" i="1"/>
  <c r="AC393" i="1"/>
  <c r="AA373" i="1"/>
  <c r="AC373" i="1"/>
  <c r="AC313" i="1"/>
  <c r="AA313" i="1"/>
  <c r="AC293" i="1"/>
  <c r="AA293" i="1"/>
  <c r="AC273" i="1"/>
  <c r="AA273" i="1"/>
  <c r="AC253" i="1"/>
  <c r="AA253" i="1"/>
  <c r="AC233" i="1"/>
  <c r="AA233" i="1"/>
  <c r="AC213" i="1"/>
  <c r="AA213" i="1"/>
  <c r="AC193" i="1"/>
  <c r="AA193" i="1"/>
  <c r="AA173" i="1"/>
  <c r="AC173" i="1"/>
  <c r="AC153" i="1"/>
  <c r="AA153" i="1"/>
  <c r="AC133" i="1"/>
  <c r="AA133" i="1"/>
  <c r="AC113" i="1"/>
  <c r="AA113" i="1"/>
  <c r="AC93" i="1"/>
  <c r="AA93" i="1"/>
  <c r="AA73" i="1"/>
  <c r="AC73" i="1"/>
  <c r="AA33" i="1"/>
  <c r="AC33" i="1"/>
  <c r="AC13" i="1"/>
  <c r="AA13" i="1"/>
  <c r="AA884" i="1"/>
  <c r="AA755" i="1"/>
  <c r="AA616" i="1"/>
  <c r="AA399" i="1"/>
  <c r="AA224" i="1"/>
  <c r="AA11" i="1"/>
  <c r="AC736" i="1"/>
  <c r="AC334" i="1"/>
  <c r="AC935" i="1"/>
  <c r="AA935" i="1"/>
  <c r="AC655" i="1"/>
  <c r="AA655" i="1"/>
  <c r="AC515" i="1"/>
  <c r="AA515" i="1"/>
  <c r="AC395" i="1"/>
  <c r="AA395" i="1"/>
  <c r="AC275" i="1"/>
  <c r="AA275" i="1"/>
  <c r="AC95" i="1"/>
  <c r="AA95" i="1"/>
  <c r="AC1012" i="1"/>
  <c r="AA1012" i="1"/>
  <c r="AA992" i="1"/>
  <c r="AC992" i="1"/>
  <c r="AC972" i="1"/>
  <c r="AA972" i="1"/>
  <c r="AC952" i="1"/>
  <c r="AA952" i="1"/>
  <c r="AC932" i="1"/>
  <c r="AA932" i="1"/>
  <c r="AC912" i="1"/>
  <c r="AA912" i="1"/>
  <c r="AC892" i="1"/>
  <c r="AA892" i="1"/>
  <c r="AC872" i="1"/>
  <c r="AA872" i="1"/>
  <c r="AA852" i="1"/>
  <c r="AC852" i="1"/>
  <c r="AC832" i="1"/>
  <c r="AA832" i="1"/>
  <c r="AC792" i="1"/>
  <c r="AA792" i="1"/>
  <c r="AA772" i="1"/>
  <c r="AC772" i="1"/>
  <c r="AA752" i="1"/>
  <c r="AC752" i="1"/>
  <c r="AA732" i="1"/>
  <c r="AC732" i="1"/>
  <c r="AA672" i="1"/>
  <c r="AC672" i="1"/>
  <c r="AC652" i="1"/>
  <c r="AA652" i="1"/>
  <c r="AA632" i="1"/>
  <c r="AC632" i="1"/>
  <c r="AA612" i="1"/>
  <c r="AC612" i="1"/>
  <c r="AC592" i="1"/>
  <c r="AA592" i="1"/>
  <c r="AA572" i="1"/>
  <c r="AC572" i="1"/>
  <c r="AC552" i="1"/>
  <c r="AA552" i="1"/>
  <c r="AC532" i="1"/>
  <c r="AA532" i="1"/>
  <c r="AC472" i="1"/>
  <c r="AA472" i="1"/>
  <c r="AC412" i="1"/>
  <c r="AA412" i="1"/>
  <c r="AC372" i="1"/>
  <c r="AA372" i="1"/>
  <c r="AC312" i="1"/>
  <c r="AA312" i="1"/>
  <c r="AC292" i="1"/>
  <c r="AA292" i="1"/>
  <c r="AC272" i="1"/>
  <c r="AA272" i="1"/>
  <c r="AC252" i="1"/>
  <c r="AA252" i="1"/>
  <c r="AC212" i="1"/>
  <c r="AA212" i="1"/>
  <c r="AC192" i="1"/>
  <c r="AA192" i="1"/>
  <c r="AC172" i="1"/>
  <c r="AA172" i="1"/>
  <c r="AC132" i="1"/>
  <c r="AA132" i="1"/>
  <c r="AC112" i="1"/>
  <c r="AA112" i="1"/>
  <c r="AC92" i="1"/>
  <c r="AA92" i="1"/>
  <c r="AC72" i="1"/>
  <c r="AA72" i="1"/>
  <c r="AC52" i="1"/>
  <c r="AA52" i="1"/>
  <c r="AC32" i="1"/>
  <c r="AA32" i="1"/>
  <c r="AC12" i="1"/>
  <c r="AA12" i="1"/>
  <c r="AA883" i="1"/>
  <c r="AA754" i="1"/>
  <c r="AA392" i="1"/>
  <c r="AA222" i="1"/>
  <c r="AA10" i="1"/>
  <c r="AC692" i="1"/>
  <c r="AC775" i="1"/>
  <c r="AA775" i="1"/>
  <c r="AC575" i="1"/>
  <c r="AA575" i="1"/>
  <c r="AC335" i="1"/>
  <c r="AA335" i="1"/>
  <c r="AC235" i="1"/>
  <c r="AA235" i="1"/>
  <c r="AC155" i="1"/>
  <c r="AA155" i="1"/>
  <c r="AC591" i="1"/>
  <c r="AA591" i="1"/>
  <c r="AA571" i="1"/>
  <c r="AC571" i="1"/>
  <c r="AC551" i="1"/>
  <c r="AA551" i="1"/>
  <c r="AC531" i="1"/>
  <c r="AA531" i="1"/>
  <c r="AC471" i="1"/>
  <c r="AA471" i="1"/>
  <c r="AC391" i="1"/>
  <c r="AA391" i="1"/>
  <c r="AA371" i="1"/>
  <c r="AC371" i="1"/>
  <c r="AC311" i="1"/>
  <c r="AA311" i="1"/>
  <c r="AA271" i="1"/>
  <c r="AC271" i="1"/>
  <c r="AC251" i="1"/>
  <c r="AA251" i="1"/>
  <c r="AC191" i="1"/>
  <c r="AA191" i="1"/>
  <c r="AA171" i="1"/>
  <c r="AC171" i="1"/>
  <c r="AA91" i="1"/>
  <c r="AC91" i="1"/>
  <c r="AA71" i="1"/>
  <c r="AC71" i="1"/>
  <c r="AC51" i="1"/>
  <c r="AA51" i="1"/>
  <c r="AA31" i="1"/>
  <c r="AC31" i="1"/>
  <c r="AA875" i="1"/>
  <c r="AA753" i="1"/>
  <c r="AA390" i="1"/>
  <c r="AA221" i="1"/>
  <c r="AC1001" i="1"/>
  <c r="AC995" i="1"/>
  <c r="AA995" i="1"/>
  <c r="AC855" i="1"/>
  <c r="AA855" i="1"/>
  <c r="AC735" i="1"/>
  <c r="AA735" i="1"/>
  <c r="AC595" i="1"/>
  <c r="AA595" i="1"/>
  <c r="AC475" i="1"/>
  <c r="AA475" i="1"/>
  <c r="AC355" i="1"/>
  <c r="AA355" i="1"/>
  <c r="AC195" i="1"/>
  <c r="AA195" i="1"/>
  <c r="AC175" i="1"/>
  <c r="AA175" i="1"/>
  <c r="AA570" i="1"/>
  <c r="AC570" i="1"/>
  <c r="AC550" i="1"/>
  <c r="AA550" i="1"/>
  <c r="AC530" i="1"/>
  <c r="AA530" i="1"/>
  <c r="AC510" i="1"/>
  <c r="AA510" i="1"/>
  <c r="AC470" i="1"/>
  <c r="AA470" i="1"/>
  <c r="AC450" i="1"/>
  <c r="AA450" i="1"/>
  <c r="AC430" i="1"/>
  <c r="AA430" i="1"/>
  <c r="AA370" i="1"/>
  <c r="AC370" i="1"/>
  <c r="AC350" i="1"/>
  <c r="AA350" i="1"/>
  <c r="AC330" i="1"/>
  <c r="AA330" i="1"/>
  <c r="AC310" i="1"/>
  <c r="AA310" i="1"/>
  <c r="AA270" i="1"/>
  <c r="AC270" i="1"/>
  <c r="AC250" i="1"/>
  <c r="AA250" i="1"/>
  <c r="AC230" i="1"/>
  <c r="AA230" i="1"/>
  <c r="AC190" i="1"/>
  <c r="AA190" i="1"/>
  <c r="AA170" i="1"/>
  <c r="AC170" i="1"/>
  <c r="AC150" i="1"/>
  <c r="AA150" i="1"/>
  <c r="AC110" i="1"/>
  <c r="AA110" i="1"/>
  <c r="AC90" i="1"/>
  <c r="AA90" i="1"/>
  <c r="AA70" i="1"/>
  <c r="AC70" i="1"/>
  <c r="AC50" i="1"/>
  <c r="AA50" i="1"/>
  <c r="AC30" i="1"/>
  <c r="AA30" i="1"/>
  <c r="AA984" i="1"/>
  <c r="AA874" i="1"/>
  <c r="AA717" i="1"/>
  <c r="AA565" i="1"/>
  <c r="AA389" i="1"/>
  <c r="AC1000" i="1"/>
  <c r="AC238" i="1"/>
  <c r="M1014" i="1"/>
</calcChain>
</file>

<file path=xl/sharedStrings.xml><?xml version="1.0" encoding="utf-8"?>
<sst xmlns="http://schemas.openxmlformats.org/spreadsheetml/2006/main" count="12225" uniqueCount="1110">
  <si>
    <t>Order_ID</t>
  </si>
  <si>
    <t>Order_Date</t>
  </si>
  <si>
    <t>Dispatch_Date</t>
  </si>
  <si>
    <t>Delivery_Date</t>
  </si>
  <si>
    <t>Order_Priority</t>
  </si>
  <si>
    <t>Product_ID</t>
  </si>
  <si>
    <t>Product_Name</t>
  </si>
  <si>
    <t>Product_Category</t>
  </si>
  <si>
    <t>Quantity</t>
  </si>
  <si>
    <t>Supplier_ID</t>
  </si>
  <si>
    <t>Supplier_Name</t>
  </si>
  <si>
    <t>Supplier_Rating</t>
  </si>
  <si>
    <t>Warehouse_ID</t>
  </si>
  <si>
    <t>Warehouse_City</t>
  </si>
  <si>
    <t>Destination_City</t>
  </si>
  <si>
    <t>Region</t>
  </si>
  <si>
    <t>Transport_Mode</t>
  </si>
  <si>
    <t>Distance_KM</t>
  </si>
  <si>
    <t>Route_Type</t>
  </si>
  <si>
    <t>Delivery_Time</t>
  </si>
  <si>
    <t>Shipping_Cost</t>
  </si>
  <si>
    <t>Cost_per_KM</t>
  </si>
  <si>
    <t>Payment_Mode</t>
  </si>
  <si>
    <t>Payment_Status</t>
  </si>
  <si>
    <t>COD_Amount</t>
  </si>
  <si>
    <t>Delay_Status</t>
  </si>
  <si>
    <t>Risk_Level</t>
  </si>
  <si>
    <t>Damage_Status</t>
  </si>
  <si>
    <t>On_Time_Delivery</t>
  </si>
  <si>
    <t>Customer_Rating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</si>
  <si>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</si>
  <si>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</si>
  <si>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</si>
  <si>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</si>
  <si>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</si>
  <si>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</si>
  <si>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</si>
  <si>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</si>
  <si>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</si>
  <si>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</si>
  <si>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</si>
  <si>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</si>
  <si>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</si>
  <si>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</si>
  <si>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</si>
  <si>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</si>
  <si>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</si>
  <si>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</si>
  <si>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</si>
  <si>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</si>
  <si>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</si>
  <si>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</si>
  <si>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</si>
  <si>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</si>
  <si>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</si>
  <si>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</si>
  <si>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</si>
  <si>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</si>
  <si>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</si>
  <si>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</si>
  <si>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</si>
  <si>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</si>
  <si>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</si>
  <si>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</si>
  <si>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</si>
  <si>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</si>
  <si>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</si>
  <si>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</si>
  <si>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</si>
  <si>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</si>
  <si>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</si>
  <si>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</si>
  <si>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</si>
  <si>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</si>
  <si>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</si>
  <si>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</si>
  <si>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</si>
  <si>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</si>
  <si>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</si>
  <si>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</si>
  <si>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</si>
  <si>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</si>
  <si>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</si>
  <si>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</si>
  <si>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</si>
  <si>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</si>
  <si>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</si>
  <si>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</si>
  <si>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</si>
  <si>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</si>
  <si>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</si>
  <si>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</si>
  <si>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</si>
  <si>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</si>
  <si>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</si>
  <si>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</si>
  <si>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</si>
  <si>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</si>
  <si>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</si>
  <si>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</si>
  <si>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</si>
  <si>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</si>
  <si>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</si>
  <si>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</si>
  <si>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</si>
  <si>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</si>
  <si>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</si>
  <si>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</si>
  <si>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</si>
  <si>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</si>
  <si>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</si>
  <si>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</si>
  <si>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</si>
  <si>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</si>
  <si>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</si>
  <si>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</si>
  <si>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</si>
  <si>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</si>
  <si>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</si>
  <si>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</si>
  <si>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</si>
  <si>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</si>
  <si>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</si>
  <si>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</si>
  <si>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</si>
  <si>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</si>
  <si>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</si>
  <si>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</si>
  <si>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</si>
  <si>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</si>
  <si>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</si>
  <si>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</si>
  <si>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</si>
  <si>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</si>
  <si>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</si>
  <si>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</si>
  <si>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</si>
  <si>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</si>
  <si>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</si>
  <si>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</si>
  <si>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</si>
  <si>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</si>
  <si>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</si>
  <si>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</si>
  <si>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</si>
  <si>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</si>
  <si>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</si>
  <si>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</si>
  <si>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</si>
  <si>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</si>
  <si>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</si>
  <si>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</si>
  <si>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</si>
  <si>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</si>
  <si>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</si>
  <si>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</si>
  <si>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</si>
  <si>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</si>
  <si>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</si>
  <si>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</si>
  <si>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</si>
  <si>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</si>
  <si>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</si>
  <si>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</si>
  <si>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</si>
  <si>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</si>
  <si>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</si>
  <si>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</si>
  <si>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</si>
  <si>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</si>
  <si>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</si>
  <si>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</si>
  <si>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</si>
  <si>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</si>
  <si>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</si>
  <si>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</si>
  <si>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</si>
  <si>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</si>
  <si>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</si>
  <si>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</si>
  <si>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</si>
  <si>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</si>
  <si>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</si>
  <si>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</si>
  <si>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</si>
  <si>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</si>
  <si>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</si>
  <si>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</si>
  <si>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</si>
  <si>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</si>
  <si>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</si>
  <si>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</si>
  <si>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</si>
  <si>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</si>
  <si>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</si>
  <si>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</si>
  <si>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</si>
  <si>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</si>
  <si>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</si>
  <si>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</si>
  <si>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</si>
  <si>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</si>
  <si>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</si>
  <si>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</si>
  <si>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</si>
  <si>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</si>
  <si>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</si>
  <si>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</si>
  <si>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</si>
  <si>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</si>
  <si>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</si>
  <si>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</si>
  <si>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</si>
  <si>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</si>
  <si>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</si>
  <si>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</si>
  <si>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</si>
  <si>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</si>
  <si>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</si>
  <si>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</si>
  <si>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</si>
  <si>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</si>
  <si>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</si>
  <si>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</si>
  <si>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</si>
  <si>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</si>
  <si>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</si>
  <si>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</si>
  <si>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</si>
  <si>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</si>
  <si>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</si>
  <si>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</si>
  <si>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</si>
  <si>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</si>
  <si>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</si>
  <si>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</si>
  <si>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</si>
  <si>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</si>
  <si>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</si>
  <si>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</si>
  <si>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</si>
  <si>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</si>
  <si>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</si>
  <si>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</si>
  <si>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</si>
  <si>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</si>
  <si>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</si>
  <si>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</si>
  <si>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</si>
  <si>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</si>
  <si>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</si>
  <si>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</si>
  <si>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</si>
  <si>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</si>
  <si>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</si>
  <si>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</si>
  <si>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</si>
  <si>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</si>
  <si>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</si>
  <si>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</si>
  <si>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</si>
  <si>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</si>
  <si>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</si>
  <si>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</si>
  <si>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</si>
  <si>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</si>
  <si>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</si>
  <si>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</si>
  <si>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</si>
  <si>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</si>
  <si>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</si>
  <si>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</si>
  <si>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</si>
  <si>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</si>
  <si>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</si>
  <si>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</si>
  <si>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</si>
  <si>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</si>
  <si>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</si>
  <si>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</si>
  <si>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</si>
  <si>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</si>
  <si>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</si>
  <si>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</si>
  <si>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</si>
  <si>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</si>
  <si>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</si>
  <si>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</si>
  <si>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</si>
  <si>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</si>
  <si>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</si>
  <si>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</si>
  <si>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</si>
  <si>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</si>
  <si>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</si>
  <si>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</si>
  <si>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</si>
  <si>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</si>
  <si>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</si>
  <si>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</si>
  <si>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</si>
  <si>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</si>
  <si>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</si>
  <si>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</si>
  <si>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</si>
  <si>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</si>
  <si>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</si>
  <si>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</si>
  <si>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</si>
  <si>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</si>
  <si>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</si>
  <si>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</si>
  <si>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</si>
  <si>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</si>
  <si>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</si>
  <si>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</si>
  <si>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</si>
  <si>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</si>
  <si>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</si>
  <si>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</si>
  <si>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</si>
  <si>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</si>
  <si>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</si>
  <si>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</si>
  <si>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</si>
  <si>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</si>
  <si>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</si>
  <si>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</si>
  <si>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</si>
  <si>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</si>
  <si>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</si>
  <si>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</si>
  <si>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</si>
  <si>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</si>
  <si>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</si>
  <si>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</si>
  <si>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</si>
  <si>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</si>
  <si>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</si>
  <si>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</si>
  <si>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</si>
  <si>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</si>
  <si>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</si>
  <si>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</si>
  <si>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</si>
  <si>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</si>
  <si>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</si>
  <si>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</si>
  <si>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</si>
  <si>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</si>
  <si>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</si>
  <si>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</si>
  <si>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</si>
  <si>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</si>
  <si>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</si>
  <si>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</si>
  <si>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</si>
  <si>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</si>
  <si>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</si>
  <si>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</si>
  <si>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</si>
  <si>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</si>
  <si>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</si>
  <si>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</si>
  <si>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</si>
  <si>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</si>
  <si>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</si>
  <si>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</si>
  <si>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</si>
  <si>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</si>
  <si>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</si>
  <si>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</si>
  <si>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</si>
  <si>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</si>
  <si>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</si>
  <si>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</si>
  <si>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</si>
  <si>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</si>
  <si>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</si>
  <si>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</si>
  <si>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</si>
  <si>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</si>
  <si>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</si>
  <si>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</si>
  <si>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</si>
  <si>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</si>
  <si>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</si>
  <si>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</si>
  <si>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</si>
  <si>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</si>
  <si>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</si>
  <si>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</si>
  <si>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</si>
  <si>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</si>
  <si>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</si>
  <si>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</si>
  <si>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</si>
  <si>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</si>
  <si>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</si>
  <si>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</si>
  <si>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</si>
  <si>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</si>
  <si>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</si>
  <si>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</si>
  <si>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</si>
  <si>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</si>
  <si>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</si>
  <si>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</si>
  <si>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</si>
  <si>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</si>
  <si>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</si>
  <si>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</si>
  <si>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</si>
  <si>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</si>
  <si>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</si>
  <si>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</si>
  <si>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</si>
  <si>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</si>
  <si>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</si>
  <si>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</si>
  <si>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</si>
  <si>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</si>
  <si>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</si>
  <si>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</si>
  <si>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</si>
  <si>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</si>
  <si>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</si>
  <si>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</si>
  <si>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</si>
  <si>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</si>
  <si>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</si>
  <si>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</si>
  <si>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</si>
  <si>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</si>
  <si>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</si>
  <si>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</si>
  <si>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</si>
  <si>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</si>
  <si>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</si>
  <si>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</si>
  <si>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</si>
  <si>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</si>
  <si>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</si>
  <si>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</si>
  <si>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</si>
  <si>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</si>
  <si>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</si>
  <si>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</si>
  <si>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</si>
  <si>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</si>
  <si>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</si>
  <si>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</si>
  <si>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</si>
  <si>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</si>
  <si>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</si>
  <si>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</si>
  <si>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</si>
  <si>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</si>
  <si>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</si>
  <si>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</si>
  <si>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</si>
  <si>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</si>
  <si>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</si>
  <si>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</si>
  <si>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</si>
  <si>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</si>
  <si>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</si>
  <si>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</si>
  <si>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</si>
  <si>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</si>
  <si>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</si>
  <si>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</si>
  <si>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</si>
  <si>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</si>
  <si>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</si>
  <si>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</si>
  <si>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</si>
  <si>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</si>
  <si>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</si>
  <si>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</si>
  <si>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</si>
  <si>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</si>
  <si>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</si>
  <si>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</si>
  <si>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</si>
  <si>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</si>
  <si>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</si>
  <si>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</si>
  <si>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</si>
  <si>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</si>
  <si>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</si>
  <si>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</si>
  <si>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</si>
  <si>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</si>
  <si>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</si>
  <si>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</si>
  <si>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</si>
  <si>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</si>
  <si>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</si>
  <si>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</si>
  <si>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</si>
  <si>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</si>
  <si>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</si>
  <si>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</si>
  <si>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</si>
  <si>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</si>
  <si>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</si>
  <si>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</si>
  <si>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</si>
  <si>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</si>
  <si>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</si>
  <si>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</si>
  <si>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</si>
  <si>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</si>
  <si>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</si>
  <si>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</si>
  <si>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</si>
  <si>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</si>
  <si>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</si>
  <si>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</si>
  <si>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</si>
  <si>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</si>
  <si>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</si>
  <si>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</si>
  <si>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</si>
  <si>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</si>
  <si>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</si>
  <si>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</si>
  <si>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</si>
  <si>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</si>
  <si>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</si>
  <si>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</si>
  <si>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</si>
  <si>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</si>
  <si>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</si>
  <si>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</si>
  <si>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</si>
  <si>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</si>
  <si>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</si>
  <si>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</si>
  <si>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</si>
  <si>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</si>
  <si>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</si>
  <si>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</si>
  <si>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</si>
  <si>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</si>
  <si>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</si>
  <si>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</si>
  <si>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</si>
  <si>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</si>
  <si>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</si>
  <si>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</si>
  <si>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</si>
  <si>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</si>
  <si>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</si>
  <si>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</si>
  <si>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</si>
  <si>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</si>
  <si>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</si>
  <si>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</si>
  <si>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</si>
  <si>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</si>
  <si>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</si>
  <si>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</si>
  <si>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</si>
  <si>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</si>
  <si>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</si>
  <si>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</si>
  <si>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</si>
  <si>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</si>
  <si>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</si>
  <si>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</si>
  <si>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</si>
  <si>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</si>
  <si>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</si>
  <si>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</si>
  <si>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</si>
  <si>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</si>
  <si>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</si>
  <si>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</si>
  <si>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</si>
  <si>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</si>
  <si>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</si>
  <si>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</si>
  <si>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</si>
  <si>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</si>
  <si>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</si>
  <si>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</si>
  <si>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</si>
  <si>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</si>
  <si>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</si>
  <si>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</si>
  <si>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</si>
  <si>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</si>
  <si>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</si>
  <si>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</si>
  <si>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</si>
  <si>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</si>
  <si>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</si>
  <si>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</si>
  <si>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</si>
  <si>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</si>
  <si>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</si>
  <si>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</si>
  <si>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</si>
  <si>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</si>
  <si>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</si>
  <si>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</si>
  <si>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</si>
  <si>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</si>
  <si>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</si>
  <si>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</si>
  <si>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</si>
  <si>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</si>
  <si>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</si>
  <si>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</si>
  <si>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</si>
  <si>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</si>
  <si>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</si>
  <si>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</si>
  <si>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</si>
  <si>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</si>
  <si>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</si>
  <si>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</si>
  <si>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</si>
  <si>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</si>
  <si>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</si>
  <si>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</si>
  <si>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</si>
  <si>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</si>
  <si>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</si>
  <si>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</si>
  <si>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</si>
  <si>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</si>
  <si>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</si>
  <si>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</si>
  <si>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</si>
  <si>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</si>
  <si>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</si>
  <si>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</si>
  <si>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</si>
  <si>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</si>
  <si>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</si>
  <si>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</si>
  <si>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</si>
  <si>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</si>
  <si>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</si>
  <si>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</si>
  <si>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</si>
  <si>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</si>
  <si>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</si>
  <si>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</si>
  <si>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</si>
  <si>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</si>
  <si>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</si>
  <si>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</si>
  <si>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</si>
  <si>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</si>
  <si>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</si>
  <si>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</si>
  <si>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</si>
  <si>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</si>
  <si>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</si>
  <si>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</si>
  <si>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</si>
  <si>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</si>
  <si>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</si>
  <si>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</si>
  <si>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</si>
  <si>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</si>
  <si>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</si>
  <si>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</si>
  <si>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</si>
  <si>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</si>
  <si>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</si>
  <si>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</si>
  <si>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</si>
  <si>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</si>
  <si>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</si>
  <si>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</si>
  <si>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</si>
  <si>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</si>
  <si>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</si>
  <si>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</si>
  <si>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</si>
  <si>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</si>
  <si>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</si>
  <si>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</si>
  <si>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</si>
  <si>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</si>
  <si>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</si>
  <si>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</si>
  <si>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</si>
  <si>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</si>
  <si>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</si>
  <si>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</si>
  <si>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</si>
  <si>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</si>
  <si>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</si>
  <si>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</si>
  <si>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</si>
  <si>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</si>
  <si>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</si>
  <si>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</si>
  <si>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</si>
  <si>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</si>
  <si>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</si>
  <si>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</si>
  <si>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</si>
  <si>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</si>
  <si>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</si>
  <si>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</si>
  <si>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</si>
  <si>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</si>
  <si>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</si>
  <si>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</si>
  <si>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</si>
  <si>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</si>
  <si>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</si>
  <si>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</si>
  <si>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</si>
  <si>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</si>
  <si>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</si>
  <si>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</si>
  <si>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</si>
  <si>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</si>
  <si>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</si>
  <si>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</si>
  <si>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</si>
  <si>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</si>
  <si>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</si>
  <si>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</si>
  <si>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</si>
  <si>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</si>
  <si>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</si>
  <si>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</si>
  <si>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</si>
  <si>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</si>
  <si>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</si>
  <si>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</si>
  <si>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</si>
  <si>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</si>
  <si>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</si>
  <si>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</si>
  <si>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</si>
  <si>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</si>
  <si>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</si>
  <si>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</si>
  <si>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</si>
  <si>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</si>
  <si>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</si>
  <si>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</si>
  <si>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</si>
  <si>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</si>
  <si>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</si>
  <si>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</si>
  <si>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</si>
  <si>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</si>
  <si>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</si>
  <si>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</si>
  <si>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</si>
  <si>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</si>
  <si>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</si>
  <si>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</si>
  <si>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</si>
  <si>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</si>
  <si>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</si>
  <si>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</si>
  <si>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</si>
  <si>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</si>
  <si>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</si>
  <si>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</si>
  <si>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</si>
  <si>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</si>
  <si>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</si>
  <si>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</si>
  <si>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</si>
  <si>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</si>
  <si>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</si>
  <si>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</si>
  <si>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</si>
  <si>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</si>
  <si>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</si>
  <si>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</si>
  <si>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</si>
  <si>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</si>
  <si>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</si>
  <si>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</si>
  <si>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</si>
  <si>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</si>
  <si>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</si>
  <si>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</si>
  <si>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</si>
  <si>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</si>
  <si>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</si>
  <si>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</si>
  <si>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</si>
  <si>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</si>
  <si>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</si>
  <si>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</si>
  <si>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</si>
  <si>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</si>
  <si>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</si>
  <si>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</si>
  <si>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</si>
  <si>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</si>
  <si>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</si>
  <si>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</si>
  <si>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</si>
  <si>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</si>
  <si>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</si>
  <si>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</si>
  <si>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</si>
  <si>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</si>
  <si>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</si>
  <si>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</si>
  <si>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</si>
  <si>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</si>
  <si>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</si>
  <si>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</si>
  <si>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</si>
  <si>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</si>
  <si>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</si>
  <si>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</si>
  <si>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</si>
  <si>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</si>
  <si>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</si>
  <si>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</si>
  <si>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</si>
  <si>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</si>
  <si>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</si>
  <si>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</si>
  <si>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</si>
  <si>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</si>
  <si>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</si>
  <si>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</si>
  <si>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</si>
  <si>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</si>
  <si>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</si>
  <si>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</si>
  <si>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</si>
  <si>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</si>
  <si>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</si>
  <si>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</si>
  <si>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</si>
  <si>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</si>
  <si>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</si>
  <si>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</si>
  <si>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</si>
  <si>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</si>
  <si>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</si>
  <si>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</si>
  <si>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</si>
  <si>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</si>
  <si>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</si>
  <si>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</si>
  <si>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</si>
  <si>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</si>
  <si>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</si>
  <si>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</si>
  <si>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</si>
  <si>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</si>
  <si>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</si>
  <si>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</si>
  <si>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</si>
  <si>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</si>
  <si>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</si>
  <si>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</si>
  <si>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</si>
  <si>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</si>
  <si>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</si>
  <si>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</si>
  <si>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</si>
  <si>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</si>
  <si>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</si>
  <si>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</si>
  <si>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</si>
  <si>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</si>
  <si>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</si>
  <si>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</si>
  <si>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</si>
  <si>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</si>
  <si>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</si>
  <si>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</si>
  <si>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</si>
  <si>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</si>
  <si>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</si>
  <si>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</si>
  <si>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</si>
  <si>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</si>
  <si>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</si>
  <si>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</si>
  <si>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</si>
  <si>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</si>
  <si>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</si>
  <si>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</si>
  <si>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</si>
  <si>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</si>
  <si>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</si>
  <si>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</si>
  <si>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</si>
  <si>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</si>
  <si>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</si>
  <si>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</si>
  <si>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</si>
  <si>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</si>
  <si>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</si>
  <si>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</si>
  <si>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</si>
  <si>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</si>
  <si>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</si>
  <si>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</si>
  <si>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</si>
  <si>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</si>
  <si>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</si>
  <si>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</si>
  <si>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</si>
  <si>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</si>
  <si>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</si>
  <si>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</si>
  <si>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</si>
  <si>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</si>
  <si>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</si>
  <si>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</si>
  <si>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</si>
  <si>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</si>
  <si>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</si>
  <si>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</si>
  <si>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</si>
  <si>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</si>
  <si>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</si>
  <si>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</si>
  <si>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</si>
  <si>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</si>
  <si>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</si>
  <si>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</si>
  <si>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</si>
  <si>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</si>
  <si>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</si>
  <si>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</si>
  <si>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</si>
  <si>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</si>
  <si>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</si>
  <si>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</si>
  <si>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</si>
  <si>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</si>
  <si>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</si>
  <si>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</si>
  <si>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</si>
  <si>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</si>
  <si>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</si>
  <si>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</si>
  <si>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</si>
  <si>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</si>
  <si>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</si>
  <si>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</si>
  <si>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</si>
  <si>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</si>
  <si>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</si>
  <si>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</si>
  <si>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</si>
  <si>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</si>
  <si>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</si>
  <si>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</si>
  <si>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</si>
  <si>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</si>
  <si>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</si>
  <si>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</si>
  <si>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</si>
  <si>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</si>
  <si>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</si>
  <si>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</si>
  <si>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</si>
  <si>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</si>
  <si>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</si>
  <si>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</si>
  <si>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</si>
  <si>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</si>
  <si>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</si>
  <si>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</si>
  <si>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</si>
  <si>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</si>
  <si>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</si>
  <si>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</si>
  <si>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</si>
  <si>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</si>
  <si>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</si>
  <si>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</si>
  <si>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</si>
  <si>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</si>
  <si>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</si>
  <si>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</si>
  <si>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</si>
  <si>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</si>
  <si>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</si>
  <si>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</si>
  <si>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</si>
  <si>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</si>
  <si>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</si>
  <si>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</si>
  <si>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</si>
  <si>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</si>
  <si>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</si>
  <si>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</si>
  <si>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</si>
  <si>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</si>
  <si>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</si>
  <si>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</si>
  <si>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</si>
  <si>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</si>
  <si>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</si>
  <si>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</si>
  <si>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</si>
  <si>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</si>
  <si>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</si>
  <si>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</si>
  <si>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</si>
  <si>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</si>
  <si>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</si>
  <si>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</si>
  <si>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</si>
  <si>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</si>
  <si>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</si>
  <si>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</si>
  <si>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</si>
  <si>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</si>
  <si>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</si>
  <si>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</si>
  <si>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</si>
  <si>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</si>
  <si>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</si>
  <si>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</si>
  <si>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</si>
  <si>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</si>
  <si>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</si>
  <si>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</si>
  <si>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</si>
  <si>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</si>
  <si>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</si>
  <si>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</si>
  <si>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</si>
  <si>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S001</t>
  </si>
  <si>
    <t>S002</t>
  </si>
  <si>
    <t>S003</t>
  </si>
  <si>
    <t>S004</t>
  </si>
  <si>
    <t>S005</t>
  </si>
  <si>
    <t>S006</t>
  </si>
  <si>
    <t>Mumbai</t>
  </si>
  <si>
    <t>W001</t>
  </si>
  <si>
    <t>Delhi</t>
  </si>
  <si>
    <t>W002</t>
  </si>
  <si>
    <t>Pune</t>
  </si>
  <si>
    <t>W003</t>
  </si>
  <si>
    <t>Bangalore</t>
  </si>
  <si>
    <t>W004</t>
  </si>
  <si>
    <t>Chennai</t>
  </si>
  <si>
    <t>W005</t>
  </si>
  <si>
    <t>Hyderabad</t>
  </si>
  <si>
    <t>W006</t>
  </si>
  <si>
    <t>Amritsar</t>
  </si>
  <si>
    <t>Lucknow</t>
  </si>
  <si>
    <t>Ahmedabad</t>
  </si>
  <si>
    <t>Jaipur</t>
  </si>
  <si>
    <t>Kolkata</t>
  </si>
  <si>
    <t>High</t>
  </si>
  <si>
    <t>Low</t>
  </si>
  <si>
    <t>Medium</t>
  </si>
  <si>
    <t>T-Shirt</t>
  </si>
  <si>
    <t>Laptop</t>
  </si>
  <si>
    <t>Table</t>
  </si>
  <si>
    <t>Chair</t>
  </si>
  <si>
    <t>Jeans</t>
  </si>
  <si>
    <t>Mobile</t>
  </si>
  <si>
    <t>West</t>
  </si>
  <si>
    <t>North</t>
  </si>
  <si>
    <t>South</t>
  </si>
  <si>
    <t>AH</t>
  </si>
  <si>
    <t>AI</t>
  </si>
  <si>
    <t>Long</t>
  </si>
  <si>
    <t>Short</t>
  </si>
  <si>
    <t>Rail</t>
  </si>
  <si>
    <t>Road</t>
  </si>
  <si>
    <t>Express</t>
  </si>
  <si>
    <t>Air</t>
  </si>
  <si>
    <t>Courier</t>
  </si>
  <si>
    <t>Ship</t>
  </si>
  <si>
    <t>COD</t>
  </si>
  <si>
    <t>Prepaid</t>
  </si>
  <si>
    <t>Online</t>
  </si>
  <si>
    <t>Pending</t>
  </si>
  <si>
    <t>Failed</t>
  </si>
  <si>
    <t>Paid</t>
  </si>
  <si>
    <t>W007</t>
  </si>
  <si>
    <t>W008</t>
  </si>
  <si>
    <t>W009</t>
  </si>
  <si>
    <t>W010</t>
  </si>
  <si>
    <t>W011</t>
  </si>
  <si>
    <t>Delhivery</t>
  </si>
  <si>
    <t>Shadowfax</t>
  </si>
  <si>
    <t>Blue Dart</t>
  </si>
  <si>
    <t>Ecom Express</t>
  </si>
  <si>
    <t>XpressBees</t>
  </si>
  <si>
    <t>DTDC</t>
  </si>
  <si>
    <t>Safe</t>
  </si>
  <si>
    <t>Damaged</t>
  </si>
  <si>
    <t>Order_Value</t>
  </si>
  <si>
    <t>Supplier_Earning</t>
  </si>
  <si>
    <t>Profit</t>
  </si>
  <si>
    <t>On Time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</si>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</sst>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B1FB-C15C-4B57-9320-D7C31AEE8A59}">
  <dimension ref="A1:AQ1014"/>
  <sheetViews>
    <sheetView tabSelected="1" zoomScale="85" zoomScaleNormal="85" workbookViewId="0">
      <selection activeCell="AI14" sqref="AI14"/>
    </sheetView>
  </sheetViews>
  <sheetFormatPr defaultRowHeight="15" x14ac:dyDescent="0.25"/>
  <cols>
    <col min="1" max="1" width="9.28515625" bestFit="1" customWidth="1"/>
    <col min="2" max="2" width="11.5703125" bestFit="1" customWidth="1"/>
    <col min="3" max="3" width="14.7109375" bestFit="1" customWidth="1"/>
    <col min="4" max="4" width="14.140625" bestFit="1" customWidth="1"/>
    <col min="5" max="5" width="13.85546875" bestFit="1" customWidth="1"/>
    <col min="6" max="6" width="12" bestFit="1" customWidth="1"/>
    <col min="7" max="7" width="14.28515625" bestFit="1" customWidth="1"/>
    <col min="8" max="8" width="16.85546875" bestFit="1" customWidth="1"/>
    <col min="9" max="9" width="8.85546875" bestFit="1" customWidth="1"/>
    <col min="10" max="10" width="11.85546875" bestFit="1" customWidth="1"/>
    <col min="11" max="11" width="15.42578125" bestFit="1" customWidth="1"/>
    <col min="12" max="12" width="16" bestFit="1" customWidth="1"/>
    <col min="13" max="13" width="15" bestFit="1" customWidth="1"/>
    <col min="14" max="14" width="16.140625" bestFit="1" customWidth="1"/>
    <col min="15" max="15" width="16.42578125" bestFit="1" customWidth="1"/>
    <col min="16" max="16" width="7.5703125" bestFit="1" customWidth="1"/>
    <col min="17" max="17" width="16.28515625" bestFit="1" customWidth="1"/>
    <col min="18" max="18" width="12.85546875" bestFit="1" customWidth="1"/>
    <col min="19" max="19" width="11.7109375" bestFit="1" customWidth="1"/>
    <col min="20" max="21" width="14.28515625" bestFit="1" customWidth="1"/>
    <col min="22" max="22" width="12.7109375" bestFit="1" customWidth="1"/>
    <col min="23" max="23" width="15.28515625" bestFit="1" customWidth="1"/>
    <col min="24" max="24" width="15.7109375" bestFit="1" customWidth="1"/>
    <col min="25" max="26" width="13.140625" bestFit="1" customWidth="1"/>
    <col min="27" max="27" width="10.7109375" bestFit="1" customWidth="1"/>
    <col min="28" max="28" width="15.5703125" bestFit="1" customWidth="1"/>
    <col min="29" max="29" width="18" bestFit="1" customWidth="1"/>
    <col min="30" max="30" width="16.7109375" bestFit="1" customWidth="1"/>
    <col min="31" max="31" width="16.7109375" customWidth="1"/>
    <col min="32" max="32" width="17" bestFit="1" customWidth="1"/>
    <col min="36" max="36" width="17.5703125" bestFit="1" customWidth="1"/>
    <col min="37" max="37" width="11.28515625" bestFit="1" customWidth="1"/>
    <col min="38" max="38" width="18.5703125" customWidth="1"/>
    <col min="39" max="39" width="12" customWidth="1"/>
    <col min="42" max="42" width="18.28515625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1105</v>
      </c>
      <c r="AF1" t="s">
        <v>1106</v>
      </c>
      <c r="AG1" t="s">
        <v>1107</v>
      </c>
      <c r="AJ1" t="s">
        <v>10</v>
      </c>
      <c r="AK1" t="s">
        <v>9</v>
      </c>
      <c r="AL1" s="2" t="s">
        <v>1076</v>
      </c>
      <c r="AM1" s="2" t="s">
        <v>1077</v>
      </c>
      <c r="AP1" s="4" t="s">
        <v>1047</v>
      </c>
      <c r="AQ1" s="4" t="s">
        <v>1048</v>
      </c>
    </row>
    <row r="2" spans="1:43" x14ac:dyDescent="0.25">
      <c r="A2">
        <v>1001</v>
      </c>
      <c r="B2" s="1">
        <v>45683</v>
      </c>
      <c r="C2" s="1">
        <v>45686</v>
      </c>
      <c r="D2" s="1">
        <v>45691</v>
      </c>
      <c r="E2" t="s">
        <v>1064</v>
      </c>
      <c r="F2" t="s">
        <v>30</v>
      </c>
      <c r="G2" t="s">
        <v>1071</v>
      </c>
      <c r="H2" t="str">
        <f>IF(OR(G2="Laptop",G2="Mobile"),"Electronics",
IF(OR(G2="T-Shirt",G2="Jeans"),"Clothing",
IF(OR(G2="Table",G2="Chair"),"Furniture","")))</f>
        <v>Clothing</v>
      </c>
      <c r="I2">
        <v>2</v>
      </c>
      <c r="J2" t="str">
        <f>VLOOKUP(K2,$AJ$2:$AK$7,2,FALSE)</f>
        <v>S002</v>
      </c>
      <c r="K2" t="s">
        <v>1098</v>
      </c>
      <c r="L2">
        <v>4.2</v>
      </c>
      <c r="M2" t="str">
        <f>IFERROR(VLOOKUP(TRIM(N2),$AP$2:$AQ$12,2,FALSE),"W001")</f>
        <v>W005</v>
      </c>
      <c r="N2" t="s">
        <v>1055</v>
      </c>
      <c r="O2" t="s">
        <v>1049</v>
      </c>
      <c r="P2" t="str">
        <f>VLOOKUP(O2,$AL$2:$AM$12,2,FALSE)</f>
        <v>North</v>
      </c>
      <c r="Q2" t="s">
        <v>1080</v>
      </c>
      <c r="R2">
        <v>1468</v>
      </c>
      <c r="S2" t="s">
        <v>1078</v>
      </c>
      <c r="T2">
        <f>IF(Q2="Air",ROUND(R2/700,0)+1,
IF(Q2="Express",ROUND(R2/500,0)+1,
IF(Q2="Courier",ROUND(R2/350,0)+1,
IF(Q2="Road",ROUND(R2/250,0)+1,
IF(Q2="Rail",ROUND(R2/300,0)+2,
IF(Q2="Ship",ROUND(R2/200,0)+3,""))))))</f>
        <v>7</v>
      </c>
      <c r="U2">
        <v>220.2</v>
      </c>
      <c r="V2">
        <f>IF(Q2="Road",5,
IF(Q2="Rail",4,
IF(Q2="Air",10,
IF(Q2="Ship",3,
IF(Q2="Courier",6,
IF(Q2="Express",8))))))</f>
        <v>4</v>
      </c>
      <c r="W2" t="s">
        <v>1086</v>
      </c>
      <c r="X2" t="s">
        <v>1091</v>
      </c>
      <c r="Y2">
        <f>IF(W2="COD",U2,0)</f>
        <v>220.2</v>
      </c>
      <c r="Z2" t="s">
        <v>1108</v>
      </c>
      <c r="AA2" t="str">
        <f>IF(Z2="Delayed","High",
IF(OR(Q2="Air",Q2="Express"),"Medium","Low"))</f>
        <v>Low</v>
      </c>
      <c r="AB2" t="s">
        <v>1103</v>
      </c>
      <c r="AC2" t="str">
        <f>IF(Z2="Delayed","No","Yes")</f>
        <v>Yes</v>
      </c>
      <c r="AD2">
        <v>5</v>
      </c>
      <c r="AE2">
        <v>2500</v>
      </c>
      <c r="AF2">
        <v>1000</v>
      </c>
      <c r="AG2">
        <f>AE2 - AF2-U2</f>
        <v>1279.8</v>
      </c>
      <c r="AJ2" t="s">
        <v>1097</v>
      </c>
      <c r="AK2" s="3" t="s">
        <v>1041</v>
      </c>
      <c r="AL2" s="3" t="s">
        <v>1047</v>
      </c>
      <c r="AM2" s="3" t="s">
        <v>1073</v>
      </c>
      <c r="AP2" s="4" t="s">
        <v>1049</v>
      </c>
      <c r="AQ2" s="4" t="s">
        <v>1050</v>
      </c>
    </row>
    <row r="3" spans="1:43" x14ac:dyDescent="0.25">
      <c r="A3">
        <v>1002</v>
      </c>
      <c r="B3" s="1">
        <v>45517</v>
      </c>
      <c r="C3" s="1">
        <v>45518</v>
      </c>
      <c r="D3" s="1">
        <v>45523</v>
      </c>
      <c r="E3" t="s">
        <v>1065</v>
      </c>
      <c r="F3" t="s">
        <v>31</v>
      </c>
      <c r="G3" t="s">
        <v>1069</v>
      </c>
      <c r="H3" t="str">
        <f t="shared" ref="H3:H66" si="0">IF(OR(G3="Laptop",G3="Mobile"),"Electronics",
IF(OR(G3="T-Shirt",G3="Jeans"),"Clothing",
IF(OR(G3="Table",G3="Chair"),"Furniture","")))</f>
        <v>Furniture</v>
      </c>
      <c r="I3">
        <v>1</v>
      </c>
      <c r="J3" t="str">
        <f>VLOOKUP(K3,$AJ$2:$AK$7,2,FALSE)</f>
        <v>S004</v>
      </c>
      <c r="K3" t="s">
        <v>1100</v>
      </c>
      <c r="L3">
        <v>3.4</v>
      </c>
      <c r="M3" t="str">
        <f>IFERROR(VLOOKUP(TRIM(N3),$AP$2:$AQ$12,2,FALSE),"W001")</f>
        <v>W006</v>
      </c>
      <c r="N3" t="s">
        <v>1057</v>
      </c>
      <c r="O3" t="s">
        <v>1047</v>
      </c>
      <c r="P3" t="str">
        <f>VLOOKUP(O3,$AL$2:$AM$12,2,FALSE)</f>
        <v>West</v>
      </c>
      <c r="Q3" t="s">
        <v>1081</v>
      </c>
      <c r="R3">
        <v>1093</v>
      </c>
      <c r="S3" t="s">
        <v>1078</v>
      </c>
      <c r="T3">
        <f t="shared" ref="T3:T66" si="1">IF(Q3="Air",ROUND(R3/700,0)+1,
IF(Q3="Express",ROUND(R3/500,0)+1,
IF(Q3="Courier",ROUND(R3/350,0)+1,
IF(Q3="Road",ROUND(R3/250,0)+1,
IF(Q3="Rail",ROUND(R3/300,0)+2,
IF(Q3="Ship",ROUND(R3/200,0)+3,""))))))</f>
        <v>5</v>
      </c>
      <c r="U3">
        <v>218.6</v>
      </c>
      <c r="V3">
        <f t="shared" ref="V3:V66" si="2">IF(Q3="Road",5,
IF(Q3="Rail",4,
IF(Q3="Air",10,
IF(Q3="Ship",3,
IF(Q3="Courier",6,
IF(Q3="Express",8))))))</f>
        <v>5</v>
      </c>
      <c r="W3" t="s">
        <v>1087</v>
      </c>
      <c r="X3" t="s">
        <v>1090</v>
      </c>
      <c r="Y3">
        <f t="shared" ref="Y3:Y66" si="3">IF(W3="COD",U3,0)</f>
        <v>0</v>
      </c>
      <c r="Z3" t="s">
        <v>1108</v>
      </c>
      <c r="AA3" t="str">
        <f t="shared" ref="AA3:AA66" si="4">IF(Z3="Delayed","High",
IF(OR(Q3="Air",Q3="Express"),"Medium","Low"))</f>
        <v>Low</v>
      </c>
      <c r="AB3" t="s">
        <v>1103</v>
      </c>
      <c r="AC3" t="str">
        <f t="shared" ref="AC3:AC66" si="5">IF(Z3="Delayed","No","Yes")</f>
        <v>Yes</v>
      </c>
      <c r="AD3">
        <v>4</v>
      </c>
      <c r="AE3">
        <v>11061</v>
      </c>
      <c r="AF3">
        <v>4424.4000000000005</v>
      </c>
      <c r="AG3">
        <f t="shared" ref="AG3:AG66" si="6">AE3 - AF3-U3</f>
        <v>6417.9999999999991</v>
      </c>
      <c r="AJ3" t="s">
        <v>1098</v>
      </c>
      <c r="AK3" s="3" t="s">
        <v>1042</v>
      </c>
      <c r="AL3" s="3" t="s">
        <v>1051</v>
      </c>
      <c r="AM3" s="3" t="s">
        <v>1073</v>
      </c>
      <c r="AP3" s="4" t="s">
        <v>1051</v>
      </c>
      <c r="AQ3" s="4" t="s">
        <v>1052</v>
      </c>
    </row>
    <row r="4" spans="1:43" x14ac:dyDescent="0.25">
      <c r="A4">
        <v>1003</v>
      </c>
      <c r="B4" s="1">
        <v>45749</v>
      </c>
      <c r="C4" s="1">
        <v>45750</v>
      </c>
      <c r="D4" s="1">
        <v>45752</v>
      </c>
      <c r="E4" t="s">
        <v>1066</v>
      </c>
      <c r="F4" t="s">
        <v>32</v>
      </c>
      <c r="G4" t="s">
        <v>1071</v>
      </c>
      <c r="H4" t="str">
        <f t="shared" si="0"/>
        <v>Clothing</v>
      </c>
      <c r="I4">
        <v>5</v>
      </c>
      <c r="J4" t="str">
        <f>VLOOKUP(K4,$AJ$2:$AK$7,2,FALSE)</f>
        <v>S005</v>
      </c>
      <c r="K4" t="s">
        <v>1101</v>
      </c>
      <c r="L4">
        <v>4.4000000000000004</v>
      </c>
      <c r="M4" t="str">
        <f>IFERROR(VLOOKUP(TRIM(N4),$AP$2:$AQ$12,2,FALSE),"W001")</f>
        <v>W002</v>
      </c>
      <c r="N4" t="s">
        <v>1049</v>
      </c>
      <c r="O4" t="s">
        <v>1051</v>
      </c>
      <c r="P4" t="str">
        <f>VLOOKUP(O4,$AL$2:$AM$12,2,FALSE)</f>
        <v>West</v>
      </c>
      <c r="Q4" t="s">
        <v>1080</v>
      </c>
      <c r="R4">
        <v>1086</v>
      </c>
      <c r="S4" t="s">
        <v>1078</v>
      </c>
      <c r="T4">
        <f t="shared" si="1"/>
        <v>6</v>
      </c>
      <c r="U4">
        <v>162.9</v>
      </c>
      <c r="V4">
        <f t="shared" si="2"/>
        <v>4</v>
      </c>
      <c r="W4" t="s">
        <v>1087</v>
      </c>
      <c r="X4" t="s">
        <v>1091</v>
      </c>
      <c r="Y4">
        <f t="shared" si="3"/>
        <v>0</v>
      </c>
      <c r="Z4" t="s">
        <v>1108</v>
      </c>
      <c r="AA4" t="str">
        <f t="shared" si="4"/>
        <v>Low</v>
      </c>
      <c r="AB4" t="s">
        <v>1103</v>
      </c>
      <c r="AC4" t="str">
        <f t="shared" si="5"/>
        <v>Yes</v>
      </c>
      <c r="AD4">
        <v>5</v>
      </c>
      <c r="AE4">
        <v>12765</v>
      </c>
      <c r="AF4">
        <v>5106</v>
      </c>
      <c r="AG4">
        <f t="shared" si="6"/>
        <v>7496.1</v>
      </c>
      <c r="AJ4" t="s">
        <v>1099</v>
      </c>
      <c r="AK4" s="3" t="s">
        <v>1043</v>
      </c>
      <c r="AL4" s="3" t="s">
        <v>1061</v>
      </c>
      <c r="AM4" s="3" t="s">
        <v>1073</v>
      </c>
      <c r="AP4" s="4" t="s">
        <v>1053</v>
      </c>
      <c r="AQ4" s="4" t="s">
        <v>1054</v>
      </c>
    </row>
    <row r="5" spans="1:43" x14ac:dyDescent="0.25">
      <c r="A5">
        <v>1004</v>
      </c>
      <c r="B5" s="1">
        <v>45557</v>
      </c>
      <c r="C5" s="1">
        <v>45559</v>
      </c>
      <c r="D5" s="1">
        <v>45562</v>
      </c>
      <c r="E5" t="s">
        <v>1064</v>
      </c>
      <c r="F5" t="s">
        <v>33</v>
      </c>
      <c r="G5" t="s">
        <v>1072</v>
      </c>
      <c r="H5" t="str">
        <f t="shared" si="0"/>
        <v>Electronics</v>
      </c>
      <c r="I5">
        <v>3</v>
      </c>
      <c r="J5" t="str">
        <f>VLOOKUP(K5,$AJ$2:$AK$7,2,FALSE)</f>
        <v>S004</v>
      </c>
      <c r="K5" t="s">
        <v>1100</v>
      </c>
      <c r="L5">
        <v>3</v>
      </c>
      <c r="M5" t="str">
        <f>IFERROR(VLOOKUP(TRIM(N5),$AP$2:$AQ$12,2,FALSE),"W001")</f>
        <v>W005</v>
      </c>
      <c r="N5" t="s">
        <v>1055</v>
      </c>
      <c r="O5" t="s">
        <v>1047</v>
      </c>
      <c r="P5" t="str">
        <f>VLOOKUP(O5,$AL$2:$AM$12,2,FALSE)</f>
        <v>West</v>
      </c>
      <c r="Q5" t="s">
        <v>1082</v>
      </c>
      <c r="R5">
        <v>643</v>
      </c>
      <c r="S5" t="s">
        <v>1066</v>
      </c>
      <c r="T5">
        <f t="shared" si="1"/>
        <v>2</v>
      </c>
      <c r="U5">
        <v>257.2</v>
      </c>
      <c r="V5">
        <f t="shared" si="2"/>
        <v>8</v>
      </c>
      <c r="W5" t="s">
        <v>1086</v>
      </c>
      <c r="X5" t="s">
        <v>1091</v>
      </c>
      <c r="Y5">
        <f t="shared" si="3"/>
        <v>257.2</v>
      </c>
      <c r="Z5" t="s">
        <v>1108</v>
      </c>
      <c r="AA5" t="str">
        <f t="shared" si="4"/>
        <v>Medium</v>
      </c>
      <c r="AB5" t="s">
        <v>1103</v>
      </c>
      <c r="AC5" t="str">
        <f t="shared" si="5"/>
        <v>Yes</v>
      </c>
      <c r="AD5">
        <v>5</v>
      </c>
      <c r="AE5">
        <v>69498</v>
      </c>
      <c r="AF5">
        <v>27799.200000000001</v>
      </c>
      <c r="AG5">
        <f t="shared" si="6"/>
        <v>41441.600000000006</v>
      </c>
      <c r="AJ5" t="s">
        <v>1100</v>
      </c>
      <c r="AK5" s="3" t="s">
        <v>1044</v>
      </c>
      <c r="AL5" s="3" t="s">
        <v>1049</v>
      </c>
      <c r="AM5" s="3" t="s">
        <v>1074</v>
      </c>
      <c r="AP5" s="4" t="s">
        <v>1055</v>
      </c>
      <c r="AQ5" s="4" t="s">
        <v>1056</v>
      </c>
    </row>
    <row r="6" spans="1:43" x14ac:dyDescent="0.25">
      <c r="A6">
        <v>1005</v>
      </c>
      <c r="B6" s="1">
        <v>44443</v>
      </c>
      <c r="C6" s="1">
        <v>44444</v>
      </c>
      <c r="D6" s="1">
        <v>44451</v>
      </c>
      <c r="E6" t="s">
        <v>1066</v>
      </c>
      <c r="F6" t="s">
        <v>34</v>
      </c>
      <c r="G6" t="s">
        <v>1072</v>
      </c>
      <c r="H6" t="str">
        <f t="shared" si="0"/>
        <v>Electronics</v>
      </c>
      <c r="I6">
        <v>7</v>
      </c>
      <c r="J6" t="str">
        <f>VLOOKUP(K6,$AJ$2:$AK$7,2,FALSE)</f>
        <v>S003</v>
      </c>
      <c r="K6" t="s">
        <v>1099</v>
      </c>
      <c r="L6">
        <v>4.8</v>
      </c>
      <c r="M6" t="str">
        <f>IFERROR(VLOOKUP(TRIM(N6),$AP$2:$AQ$12,2,FALSE),"W001")</f>
        <v>W003</v>
      </c>
      <c r="N6" t="s">
        <v>1051</v>
      </c>
      <c r="O6" t="s">
        <v>1057</v>
      </c>
      <c r="P6" t="str">
        <f>VLOOKUP(O6,$AL$2:$AM$12,2,FALSE)</f>
        <v>South</v>
      </c>
      <c r="Q6" t="s">
        <v>1080</v>
      </c>
      <c r="R6">
        <v>815</v>
      </c>
      <c r="S6" t="s">
        <v>1078</v>
      </c>
      <c r="T6">
        <f t="shared" si="1"/>
        <v>5</v>
      </c>
      <c r="U6">
        <v>122.25</v>
      </c>
      <c r="V6">
        <f t="shared" si="2"/>
        <v>4</v>
      </c>
      <c r="W6" t="s">
        <v>1087</v>
      </c>
      <c r="X6" t="s">
        <v>1090</v>
      </c>
      <c r="Y6">
        <f t="shared" si="3"/>
        <v>0</v>
      </c>
      <c r="Z6" t="s">
        <v>1108</v>
      </c>
      <c r="AA6" t="str">
        <f t="shared" si="4"/>
        <v>Low</v>
      </c>
      <c r="AB6" t="s">
        <v>1103</v>
      </c>
      <c r="AC6" t="str">
        <f t="shared" si="5"/>
        <v>Yes</v>
      </c>
      <c r="AD6">
        <v>5</v>
      </c>
      <c r="AE6">
        <v>84616</v>
      </c>
      <c r="AF6">
        <v>33846.400000000001</v>
      </c>
      <c r="AG6">
        <f t="shared" si="6"/>
        <v>50647.35</v>
      </c>
      <c r="AJ6" t="s">
        <v>1101</v>
      </c>
      <c r="AK6" s="3" t="s">
        <v>1045</v>
      </c>
      <c r="AL6" s="3" t="s">
        <v>1062</v>
      </c>
      <c r="AM6" s="3" t="s">
        <v>1074</v>
      </c>
      <c r="AP6" s="4" t="s">
        <v>1057</v>
      </c>
      <c r="AQ6" s="4" t="s">
        <v>1058</v>
      </c>
    </row>
    <row r="7" spans="1:43" x14ac:dyDescent="0.25">
      <c r="A7">
        <v>1006</v>
      </c>
      <c r="B7" s="1">
        <v>45283</v>
      </c>
      <c r="C7" s="1">
        <v>45286</v>
      </c>
      <c r="D7" s="1">
        <v>45289</v>
      </c>
      <c r="E7" t="s">
        <v>1066</v>
      </c>
      <c r="F7" t="s">
        <v>35</v>
      </c>
      <c r="G7" t="s">
        <v>1072</v>
      </c>
      <c r="H7" t="str">
        <f t="shared" si="0"/>
        <v>Electronics</v>
      </c>
      <c r="I7">
        <v>5</v>
      </c>
      <c r="J7" t="str">
        <f>VLOOKUP(K7,$AJ$2:$AK$7,2,FALSE)</f>
        <v>S005</v>
      </c>
      <c r="K7" t="s">
        <v>1101</v>
      </c>
      <c r="L7">
        <v>3.7</v>
      </c>
      <c r="M7" t="str">
        <f>IFERROR(VLOOKUP(TRIM(N7),$AP$2:$AQ$12,2,FALSE),"W001")</f>
        <v>W006</v>
      </c>
      <c r="N7" t="s">
        <v>1057</v>
      </c>
      <c r="O7" t="s">
        <v>1053</v>
      </c>
      <c r="P7" t="str">
        <f>VLOOKUP(O7,$AL$2:$AM$12,2,FALSE)</f>
        <v>South</v>
      </c>
      <c r="Q7" t="s">
        <v>1080</v>
      </c>
      <c r="R7">
        <v>1357</v>
      </c>
      <c r="S7" t="s">
        <v>1078</v>
      </c>
      <c r="T7">
        <f t="shared" si="1"/>
        <v>7</v>
      </c>
      <c r="U7">
        <v>203.55</v>
      </c>
      <c r="V7">
        <f t="shared" si="2"/>
        <v>4</v>
      </c>
      <c r="W7" t="s">
        <v>1087</v>
      </c>
      <c r="X7" t="s">
        <v>1091</v>
      </c>
      <c r="Y7">
        <f t="shared" si="3"/>
        <v>0</v>
      </c>
      <c r="Z7" t="s">
        <v>1108</v>
      </c>
      <c r="AA7" t="str">
        <f t="shared" si="4"/>
        <v>Low</v>
      </c>
      <c r="AB7" t="s">
        <v>1103</v>
      </c>
      <c r="AC7" t="str">
        <f t="shared" si="5"/>
        <v>Yes</v>
      </c>
      <c r="AD7">
        <v>4</v>
      </c>
      <c r="AE7">
        <v>94110</v>
      </c>
      <c r="AF7">
        <v>37644</v>
      </c>
      <c r="AG7">
        <f t="shared" si="6"/>
        <v>56262.45</v>
      </c>
      <c r="AJ7" t="s">
        <v>1102</v>
      </c>
      <c r="AK7" s="3" t="s">
        <v>1046</v>
      </c>
      <c r="AL7" s="3" t="s">
        <v>1060</v>
      </c>
      <c r="AM7" s="3" t="s">
        <v>1074</v>
      </c>
      <c r="AP7" s="4" t="s">
        <v>1062</v>
      </c>
      <c r="AQ7" s="4" t="s">
        <v>1092</v>
      </c>
    </row>
    <row r="8" spans="1:43" x14ac:dyDescent="0.25">
      <c r="A8">
        <v>1007</v>
      </c>
      <c r="B8" s="1">
        <v>45631</v>
      </c>
      <c r="C8" s="1">
        <v>45634</v>
      </c>
      <c r="D8" s="1">
        <v>45641</v>
      </c>
      <c r="E8" t="s">
        <v>1064</v>
      </c>
      <c r="F8" t="s">
        <v>36</v>
      </c>
      <c r="G8" t="s">
        <v>1072</v>
      </c>
      <c r="H8" t="str">
        <f t="shared" si="0"/>
        <v>Electronics</v>
      </c>
      <c r="I8">
        <v>10</v>
      </c>
      <c r="J8" t="str">
        <f>VLOOKUP(K8,$AJ$2:$AK$7,2,FALSE)</f>
        <v>S003</v>
      </c>
      <c r="K8" t="s">
        <v>1099</v>
      </c>
      <c r="L8">
        <v>3.4</v>
      </c>
      <c r="M8" t="str">
        <f>IFERROR(VLOOKUP(TRIM(N8),$AP$2:$AQ$12,2,FALSE),"W001")</f>
        <v>W011</v>
      </c>
      <c r="N8" t="s">
        <v>1059</v>
      </c>
      <c r="O8" t="s">
        <v>1055</v>
      </c>
      <c r="P8" t="str">
        <f>VLOOKUP(O8,$AL$2:$AM$12,2,FALSE)</f>
        <v>South</v>
      </c>
      <c r="Q8" t="s">
        <v>1083</v>
      </c>
      <c r="R8">
        <v>1091</v>
      </c>
      <c r="S8" t="s">
        <v>1078</v>
      </c>
      <c r="T8">
        <f t="shared" si="1"/>
        <v>3</v>
      </c>
      <c r="U8">
        <v>545.5</v>
      </c>
      <c r="V8">
        <f t="shared" si="2"/>
        <v>10</v>
      </c>
      <c r="W8" t="s">
        <v>1087</v>
      </c>
      <c r="X8" t="s">
        <v>1090</v>
      </c>
      <c r="Y8">
        <f t="shared" si="3"/>
        <v>0</v>
      </c>
      <c r="Z8" t="s">
        <v>1108</v>
      </c>
      <c r="AA8" t="str">
        <f t="shared" si="4"/>
        <v>Medium</v>
      </c>
      <c r="AB8" t="s">
        <v>1103</v>
      </c>
      <c r="AC8" t="str">
        <f t="shared" si="5"/>
        <v>Yes</v>
      </c>
      <c r="AD8">
        <v>4</v>
      </c>
      <c r="AE8">
        <v>218490</v>
      </c>
      <c r="AF8">
        <v>87396</v>
      </c>
      <c r="AG8">
        <f t="shared" si="6"/>
        <v>130548.5</v>
      </c>
      <c r="AJ8" s="3"/>
      <c r="AK8" s="3"/>
      <c r="AL8" s="3" t="s">
        <v>1059</v>
      </c>
      <c r="AM8" s="3" t="s">
        <v>1074</v>
      </c>
      <c r="AP8" s="4" t="s">
        <v>1061</v>
      </c>
      <c r="AQ8" s="4" t="s">
        <v>1093</v>
      </c>
    </row>
    <row r="9" spans="1:43" x14ac:dyDescent="0.25">
      <c r="A9">
        <v>1008</v>
      </c>
      <c r="B9" s="1">
        <v>45692</v>
      </c>
      <c r="C9" s="1">
        <v>45694</v>
      </c>
      <c r="D9" s="1">
        <v>45696</v>
      </c>
      <c r="E9" t="s">
        <v>1065</v>
      </c>
      <c r="F9" t="s">
        <v>37</v>
      </c>
      <c r="G9" t="s">
        <v>1072</v>
      </c>
      <c r="H9" t="str">
        <f t="shared" si="0"/>
        <v>Electronics</v>
      </c>
      <c r="I9">
        <v>9</v>
      </c>
      <c r="J9" t="str">
        <f>VLOOKUP(K9,$AJ$2:$AK$7,2,FALSE)</f>
        <v>S001</v>
      </c>
      <c r="K9" t="s">
        <v>1097</v>
      </c>
      <c r="L9">
        <v>4.0999999999999996</v>
      </c>
      <c r="M9" t="str">
        <f>IFERROR(VLOOKUP(TRIM(N9),$AP$2:$AQ$12,2,FALSE),"W001")</f>
        <v>W009</v>
      </c>
      <c r="N9" t="s">
        <v>1060</v>
      </c>
      <c r="O9" t="s">
        <v>1062</v>
      </c>
      <c r="P9" t="str">
        <f>VLOOKUP(O9,$AL$2:$AM$12,2,FALSE)</f>
        <v>North</v>
      </c>
      <c r="Q9" t="s">
        <v>1084</v>
      </c>
      <c r="R9">
        <v>1988</v>
      </c>
      <c r="S9" t="s">
        <v>1078</v>
      </c>
      <c r="T9">
        <f t="shared" si="1"/>
        <v>7</v>
      </c>
      <c r="U9">
        <v>596.4</v>
      </c>
      <c r="V9">
        <f t="shared" si="2"/>
        <v>6</v>
      </c>
      <c r="W9" t="s">
        <v>1086</v>
      </c>
      <c r="X9" t="s">
        <v>1089</v>
      </c>
      <c r="Y9">
        <f t="shared" si="3"/>
        <v>596.4</v>
      </c>
      <c r="Z9" t="s">
        <v>1109</v>
      </c>
      <c r="AA9" t="str">
        <f t="shared" si="4"/>
        <v>High</v>
      </c>
      <c r="AB9" t="s">
        <v>1104</v>
      </c>
      <c r="AC9" t="str">
        <f t="shared" si="5"/>
        <v>No</v>
      </c>
      <c r="AD9">
        <v>2</v>
      </c>
      <c r="AE9">
        <v>190710</v>
      </c>
      <c r="AF9">
        <v>76284</v>
      </c>
      <c r="AG9">
        <f t="shared" si="6"/>
        <v>113829.6</v>
      </c>
      <c r="AJ9" s="3"/>
      <c r="AK9" s="3"/>
      <c r="AL9" s="3" t="s">
        <v>1053</v>
      </c>
      <c r="AM9" s="3" t="s">
        <v>1075</v>
      </c>
      <c r="AP9" s="4" t="s">
        <v>1060</v>
      </c>
      <c r="AQ9" s="4" t="s">
        <v>1094</v>
      </c>
    </row>
    <row r="10" spans="1:43" x14ac:dyDescent="0.25">
      <c r="A10">
        <v>1009</v>
      </c>
      <c r="B10" s="1">
        <v>45948</v>
      </c>
      <c r="C10" s="1">
        <v>45950</v>
      </c>
      <c r="D10" s="1">
        <v>45952</v>
      </c>
      <c r="E10" t="s">
        <v>1064</v>
      </c>
      <c r="F10" t="s">
        <v>38</v>
      </c>
      <c r="G10" t="s">
        <v>1071</v>
      </c>
      <c r="H10" t="str">
        <f t="shared" si="0"/>
        <v>Clothing</v>
      </c>
      <c r="I10">
        <v>5</v>
      </c>
      <c r="J10" t="str">
        <f>VLOOKUP(K10,$AJ$2:$AK$7,2,FALSE)</f>
        <v>S001</v>
      </c>
      <c r="K10" t="s">
        <v>1097</v>
      </c>
      <c r="L10">
        <v>4.8</v>
      </c>
      <c r="M10" t="str">
        <f>IFERROR(VLOOKUP(TRIM(N10),$AP$2:$AQ$12,2,FALSE),"W001")</f>
        <v>W001</v>
      </c>
      <c r="N10" t="s">
        <v>1047</v>
      </c>
      <c r="O10" t="s">
        <v>1051</v>
      </c>
      <c r="P10" t="str">
        <f>VLOOKUP(O10,$AL$2:$AM$12,2,FALSE)</f>
        <v>West</v>
      </c>
      <c r="Q10" t="s">
        <v>1085</v>
      </c>
      <c r="R10">
        <v>487</v>
      </c>
      <c r="S10" t="s">
        <v>1066</v>
      </c>
      <c r="T10">
        <f t="shared" si="1"/>
        <v>5</v>
      </c>
      <c r="U10">
        <v>48.7</v>
      </c>
      <c r="V10">
        <f t="shared" si="2"/>
        <v>3</v>
      </c>
      <c r="W10" t="s">
        <v>1086</v>
      </c>
      <c r="X10" t="s">
        <v>1089</v>
      </c>
      <c r="Y10">
        <f t="shared" si="3"/>
        <v>48.7</v>
      </c>
      <c r="Z10" t="s">
        <v>1108</v>
      </c>
      <c r="AA10" t="str">
        <f t="shared" si="4"/>
        <v>Low</v>
      </c>
      <c r="AB10" t="s">
        <v>1103</v>
      </c>
      <c r="AC10" t="str">
        <f t="shared" si="5"/>
        <v>Yes</v>
      </c>
      <c r="AD10">
        <v>4</v>
      </c>
      <c r="AE10">
        <v>6520</v>
      </c>
      <c r="AF10">
        <v>2608</v>
      </c>
      <c r="AG10">
        <f t="shared" si="6"/>
        <v>3863.3</v>
      </c>
      <c r="AL10" s="3" t="s">
        <v>1055</v>
      </c>
      <c r="AM10" s="3" t="s">
        <v>1075</v>
      </c>
      <c r="AP10" s="4" t="s">
        <v>1063</v>
      </c>
      <c r="AQ10" s="4" t="s">
        <v>1095</v>
      </c>
    </row>
    <row r="11" spans="1:43" x14ac:dyDescent="0.25">
      <c r="A11">
        <v>1010</v>
      </c>
      <c r="B11" s="1">
        <v>45615</v>
      </c>
      <c r="C11" s="1">
        <v>45618</v>
      </c>
      <c r="D11" s="1">
        <v>45624</v>
      </c>
      <c r="E11" t="s">
        <v>1066</v>
      </c>
      <c r="F11" t="s">
        <v>39</v>
      </c>
      <c r="G11" t="s">
        <v>1068</v>
      </c>
      <c r="H11" t="str">
        <f t="shared" si="0"/>
        <v>Electronics</v>
      </c>
      <c r="I11">
        <v>2</v>
      </c>
      <c r="J11" t="str">
        <f>VLOOKUP(K11,$AJ$2:$AK$7,2,FALSE)</f>
        <v>S005</v>
      </c>
      <c r="K11" t="s">
        <v>1101</v>
      </c>
      <c r="L11">
        <v>5</v>
      </c>
      <c r="M11" t="str">
        <f>IFERROR(VLOOKUP(TRIM(N11),$AP$2:$AQ$12,2,FALSE),"W001")</f>
        <v>W002</v>
      </c>
      <c r="N11" t="s">
        <v>1049</v>
      </c>
      <c r="O11" t="s">
        <v>1049</v>
      </c>
      <c r="P11" t="str">
        <f>VLOOKUP(O11,$AL$2:$AM$12,2,FALSE)</f>
        <v>North</v>
      </c>
      <c r="Q11" t="s">
        <v>1080</v>
      </c>
      <c r="R11">
        <v>13</v>
      </c>
      <c r="S11" t="s">
        <v>1079</v>
      </c>
      <c r="T11">
        <f t="shared" si="1"/>
        <v>2</v>
      </c>
      <c r="U11">
        <v>1.95</v>
      </c>
      <c r="V11">
        <f t="shared" si="2"/>
        <v>4</v>
      </c>
      <c r="W11" t="s">
        <v>1086</v>
      </c>
      <c r="X11" t="s">
        <v>1089</v>
      </c>
      <c r="Y11">
        <f t="shared" si="3"/>
        <v>1.95</v>
      </c>
      <c r="Z11" t="s">
        <v>1108</v>
      </c>
      <c r="AA11" t="str">
        <f t="shared" si="4"/>
        <v>Low</v>
      </c>
      <c r="AB11" t="s">
        <v>1103</v>
      </c>
      <c r="AC11" t="str">
        <f t="shared" si="5"/>
        <v>Yes</v>
      </c>
      <c r="AD11">
        <v>5</v>
      </c>
      <c r="AE11">
        <v>80040</v>
      </c>
      <c r="AF11">
        <v>32016</v>
      </c>
      <c r="AG11">
        <f t="shared" si="6"/>
        <v>48022.05</v>
      </c>
      <c r="AL11" s="3" t="s">
        <v>1057</v>
      </c>
      <c r="AM11" s="3" t="s">
        <v>1075</v>
      </c>
      <c r="AP11" s="4" t="s">
        <v>1059</v>
      </c>
      <c r="AQ11" s="4" t="s">
        <v>1096</v>
      </c>
    </row>
    <row r="12" spans="1:43" x14ac:dyDescent="0.25">
      <c r="A12">
        <v>1011</v>
      </c>
      <c r="B12" s="1">
        <v>45461</v>
      </c>
      <c r="C12" s="1">
        <v>45462</v>
      </c>
      <c r="D12" s="1">
        <v>45467</v>
      </c>
      <c r="E12" t="s">
        <v>1064</v>
      </c>
      <c r="F12" t="s">
        <v>40</v>
      </c>
      <c r="G12" t="s">
        <v>1071</v>
      </c>
      <c r="H12" t="str">
        <f t="shared" si="0"/>
        <v>Clothing</v>
      </c>
      <c r="I12">
        <v>2</v>
      </c>
      <c r="J12" t="str">
        <f>VLOOKUP(K12,$AJ$2:$AK$7,2,FALSE)</f>
        <v>S004</v>
      </c>
      <c r="K12" t="s">
        <v>1100</v>
      </c>
      <c r="L12">
        <v>4</v>
      </c>
      <c r="M12" t="str">
        <f>IFERROR(VLOOKUP(TRIM(N12),$AP$2:$AQ$12,2,FALSE),"W001")</f>
        <v>W002</v>
      </c>
      <c r="N12" t="s">
        <v>1049</v>
      </c>
      <c r="O12" t="s">
        <v>1062</v>
      </c>
      <c r="P12" t="str">
        <f>VLOOKUP(O12,$AL$2:$AM$12,2,FALSE)</f>
        <v>North</v>
      </c>
      <c r="Q12" t="s">
        <v>1085</v>
      </c>
      <c r="R12">
        <v>550</v>
      </c>
      <c r="S12" t="s">
        <v>1066</v>
      </c>
      <c r="T12">
        <f t="shared" si="1"/>
        <v>6</v>
      </c>
      <c r="U12">
        <v>55</v>
      </c>
      <c r="V12">
        <f t="shared" si="2"/>
        <v>3</v>
      </c>
      <c r="W12" t="s">
        <v>1086</v>
      </c>
      <c r="X12" t="s">
        <v>1091</v>
      </c>
      <c r="Y12">
        <f t="shared" si="3"/>
        <v>55</v>
      </c>
      <c r="Z12" t="s">
        <v>1108</v>
      </c>
      <c r="AA12" t="str">
        <f t="shared" si="4"/>
        <v>Low</v>
      </c>
      <c r="AB12" t="s">
        <v>1103</v>
      </c>
      <c r="AC12" t="str">
        <f t="shared" si="5"/>
        <v>Yes</v>
      </c>
      <c r="AD12">
        <v>4</v>
      </c>
      <c r="AE12">
        <v>5824</v>
      </c>
      <c r="AF12">
        <v>2329.6</v>
      </c>
      <c r="AG12">
        <f t="shared" si="6"/>
        <v>3439.4</v>
      </c>
      <c r="AL12" s="3" t="s">
        <v>1063</v>
      </c>
      <c r="AM12" s="3" t="s">
        <v>1075</v>
      </c>
      <c r="AP12" s="4"/>
      <c r="AQ12" s="4"/>
    </row>
    <row r="13" spans="1:43" x14ac:dyDescent="0.25">
      <c r="A13">
        <v>1012</v>
      </c>
      <c r="B13" s="1">
        <v>45401</v>
      </c>
      <c r="C13" s="1">
        <v>45403</v>
      </c>
      <c r="D13" s="1">
        <v>45409</v>
      </c>
      <c r="E13" t="s">
        <v>1065</v>
      </c>
      <c r="F13" t="s">
        <v>41</v>
      </c>
      <c r="G13" t="s">
        <v>1069</v>
      </c>
      <c r="H13" t="str">
        <f t="shared" si="0"/>
        <v>Furniture</v>
      </c>
      <c r="I13">
        <v>10</v>
      </c>
      <c r="J13" t="str">
        <f>VLOOKUP(K13,$AJ$2:$AK$7,2,FALSE)</f>
        <v>S004</v>
      </c>
      <c r="K13" t="s">
        <v>1100</v>
      </c>
      <c r="L13">
        <v>3.6</v>
      </c>
      <c r="M13" t="str">
        <f>IFERROR(VLOOKUP(TRIM(N13),$AP$2:$AQ$12,2,FALSE),"W001")</f>
        <v>W003</v>
      </c>
      <c r="N13" t="s">
        <v>1051</v>
      </c>
      <c r="O13" t="s">
        <v>1059</v>
      </c>
      <c r="P13" t="str">
        <f>VLOOKUP(O13,$AL$2:$AM$12,2,FALSE)</f>
        <v>North</v>
      </c>
      <c r="Q13" t="s">
        <v>1080</v>
      </c>
      <c r="R13">
        <v>1875</v>
      </c>
      <c r="S13" t="s">
        <v>1078</v>
      </c>
      <c r="T13">
        <f t="shared" si="1"/>
        <v>8</v>
      </c>
      <c r="U13">
        <v>281.25</v>
      </c>
      <c r="V13">
        <f t="shared" si="2"/>
        <v>4</v>
      </c>
      <c r="W13" t="s">
        <v>1087</v>
      </c>
      <c r="X13" t="s">
        <v>1089</v>
      </c>
      <c r="Y13">
        <f t="shared" si="3"/>
        <v>0</v>
      </c>
      <c r="Z13" t="s">
        <v>1108</v>
      </c>
      <c r="AA13" t="str">
        <f t="shared" si="4"/>
        <v>Low</v>
      </c>
      <c r="AB13" t="s">
        <v>1103</v>
      </c>
      <c r="AC13" t="str">
        <f t="shared" si="5"/>
        <v>Yes</v>
      </c>
      <c r="AD13">
        <v>5</v>
      </c>
      <c r="AE13">
        <v>98810</v>
      </c>
      <c r="AF13">
        <v>39524</v>
      </c>
      <c r="AG13">
        <f t="shared" si="6"/>
        <v>59004.75</v>
      </c>
      <c r="AL13" s="3"/>
      <c r="AM13" s="3"/>
      <c r="AP13" s="4"/>
      <c r="AQ13" s="4"/>
    </row>
    <row r="14" spans="1:43" x14ac:dyDescent="0.25">
      <c r="A14">
        <v>1013</v>
      </c>
      <c r="B14" s="1">
        <v>45651</v>
      </c>
      <c r="C14" s="1">
        <v>45652</v>
      </c>
      <c r="D14" s="1">
        <v>45654</v>
      </c>
      <c r="E14" t="s">
        <v>1066</v>
      </c>
      <c r="F14" t="s">
        <v>42</v>
      </c>
      <c r="G14" t="s">
        <v>1069</v>
      </c>
      <c r="H14" t="str">
        <f t="shared" si="0"/>
        <v>Furniture</v>
      </c>
      <c r="I14">
        <v>7</v>
      </c>
      <c r="J14" t="str">
        <f>VLOOKUP(K14,$AJ$2:$AK$7,2,FALSE)</f>
        <v>S005</v>
      </c>
      <c r="K14" t="s">
        <v>1101</v>
      </c>
      <c r="L14">
        <v>4.5999999999999996</v>
      </c>
      <c r="M14" t="str">
        <f>IFERROR(VLOOKUP(TRIM(N14),$AP$2:$AQ$12,2,FALSE),"W001")</f>
        <v>W005</v>
      </c>
      <c r="N14" t="s">
        <v>1055</v>
      </c>
      <c r="O14" t="s">
        <v>1063</v>
      </c>
      <c r="P14" t="str">
        <f>VLOOKUP(O14,$AL$2:$AM$12,2,FALSE)</f>
        <v>South</v>
      </c>
      <c r="Q14" t="s">
        <v>1084</v>
      </c>
      <c r="R14">
        <v>122</v>
      </c>
      <c r="S14" t="s">
        <v>1079</v>
      </c>
      <c r="T14">
        <f t="shared" si="1"/>
        <v>1</v>
      </c>
      <c r="U14">
        <v>36.6</v>
      </c>
      <c r="V14">
        <f t="shared" si="2"/>
        <v>6</v>
      </c>
      <c r="W14" t="s">
        <v>1088</v>
      </c>
      <c r="X14" t="s">
        <v>1091</v>
      </c>
      <c r="Y14">
        <f t="shared" si="3"/>
        <v>0</v>
      </c>
      <c r="Z14" t="s">
        <v>1108</v>
      </c>
      <c r="AA14" t="str">
        <f t="shared" si="4"/>
        <v>Low</v>
      </c>
      <c r="AB14" t="s">
        <v>1103</v>
      </c>
      <c r="AC14" t="str">
        <f t="shared" si="5"/>
        <v>Yes</v>
      </c>
      <c r="AD14">
        <v>5</v>
      </c>
      <c r="AE14">
        <v>43617</v>
      </c>
      <c r="AF14">
        <v>17446.8</v>
      </c>
      <c r="AG14">
        <f t="shared" si="6"/>
        <v>26133.600000000002</v>
      </c>
      <c r="AP14" s="4"/>
      <c r="AQ14" s="4"/>
    </row>
    <row r="15" spans="1:43" x14ac:dyDescent="0.25">
      <c r="A15">
        <v>1014</v>
      </c>
      <c r="B15" s="1">
        <v>46331</v>
      </c>
      <c r="C15" s="1">
        <v>46333</v>
      </c>
      <c r="D15" s="1">
        <v>46336</v>
      </c>
      <c r="E15" t="s">
        <v>1064</v>
      </c>
      <c r="F15" t="s">
        <v>43</v>
      </c>
      <c r="G15" t="s">
        <v>1071</v>
      </c>
      <c r="H15" t="str">
        <f t="shared" si="0"/>
        <v>Clothing</v>
      </c>
      <c r="I15">
        <v>4</v>
      </c>
      <c r="J15" t="str">
        <f>VLOOKUP(K15,$AJ$2:$AK$7,2,FALSE)</f>
        <v>S004</v>
      </c>
      <c r="K15" t="s">
        <v>1100</v>
      </c>
      <c r="L15">
        <v>3.9</v>
      </c>
      <c r="M15" t="str">
        <f>IFERROR(VLOOKUP(TRIM(N15),$AP$2:$AQ$12,2,FALSE),"W001")</f>
        <v>W011</v>
      </c>
      <c r="N15" t="s">
        <v>1059</v>
      </c>
      <c r="O15" t="s">
        <v>1060</v>
      </c>
      <c r="P15" t="str">
        <f>VLOOKUP(O15,$AL$2:$AM$12,2,FALSE)</f>
        <v>North</v>
      </c>
      <c r="Q15" t="s">
        <v>1082</v>
      </c>
      <c r="R15">
        <v>925</v>
      </c>
      <c r="S15" t="s">
        <v>1078</v>
      </c>
      <c r="T15">
        <f t="shared" si="1"/>
        <v>3</v>
      </c>
      <c r="U15">
        <v>370</v>
      </c>
      <c r="V15">
        <f t="shared" si="2"/>
        <v>8</v>
      </c>
      <c r="W15" t="s">
        <v>1088</v>
      </c>
      <c r="X15" t="s">
        <v>1090</v>
      </c>
      <c r="Y15">
        <f t="shared" si="3"/>
        <v>0</v>
      </c>
      <c r="Z15" t="s">
        <v>1109</v>
      </c>
      <c r="AA15" t="str">
        <f t="shared" si="4"/>
        <v>High</v>
      </c>
      <c r="AB15" t="s">
        <v>1104</v>
      </c>
      <c r="AC15" t="str">
        <f t="shared" si="5"/>
        <v>No</v>
      </c>
      <c r="AD15">
        <v>1</v>
      </c>
      <c r="AE15">
        <v>11764</v>
      </c>
      <c r="AF15">
        <v>4705.6000000000004</v>
      </c>
      <c r="AG15">
        <f t="shared" si="6"/>
        <v>6688.4</v>
      </c>
      <c r="AP15" s="4"/>
      <c r="AQ15" s="4"/>
    </row>
    <row r="16" spans="1:43" x14ac:dyDescent="0.25">
      <c r="A16">
        <v>1015</v>
      </c>
      <c r="B16" s="1">
        <v>44414</v>
      </c>
      <c r="C16" s="1">
        <v>44416</v>
      </c>
      <c r="D16" s="1">
        <v>44418</v>
      </c>
      <c r="E16" t="s">
        <v>1065</v>
      </c>
      <c r="F16" t="s">
        <v>44</v>
      </c>
      <c r="G16" t="s">
        <v>1070</v>
      </c>
      <c r="H16" t="str">
        <f t="shared" si="0"/>
        <v>Furniture</v>
      </c>
      <c r="I16">
        <v>3</v>
      </c>
      <c r="J16" t="str">
        <f>VLOOKUP(K16,$AJ$2:$AK$7,2,FALSE)</f>
        <v>S005</v>
      </c>
      <c r="K16" t="s">
        <v>1101</v>
      </c>
      <c r="L16">
        <v>3.7</v>
      </c>
      <c r="M16" t="str">
        <f>IFERROR(VLOOKUP(TRIM(N16),$AP$2:$AQ$12,2,FALSE),"W001")</f>
        <v>W011</v>
      </c>
      <c r="N16" t="s">
        <v>1059</v>
      </c>
      <c r="O16" t="s">
        <v>1047</v>
      </c>
      <c r="P16" t="str">
        <f>VLOOKUP(O16,$AL$2:$AM$12,2,FALSE)</f>
        <v>West</v>
      </c>
      <c r="Q16" t="s">
        <v>1080</v>
      </c>
      <c r="R16">
        <v>327</v>
      </c>
      <c r="S16" t="s">
        <v>1066</v>
      </c>
      <c r="T16">
        <f t="shared" si="1"/>
        <v>3</v>
      </c>
      <c r="U16">
        <v>49.05</v>
      </c>
      <c r="V16">
        <f t="shared" si="2"/>
        <v>4</v>
      </c>
      <c r="W16" t="s">
        <v>1087</v>
      </c>
      <c r="X16" t="s">
        <v>1090</v>
      </c>
      <c r="Y16">
        <f t="shared" si="3"/>
        <v>0</v>
      </c>
      <c r="Z16" t="s">
        <v>1108</v>
      </c>
      <c r="AA16" t="str">
        <f t="shared" si="4"/>
        <v>Low</v>
      </c>
      <c r="AB16" t="s">
        <v>1103</v>
      </c>
      <c r="AC16" t="str">
        <f t="shared" si="5"/>
        <v>Yes</v>
      </c>
      <c r="AD16">
        <v>5</v>
      </c>
      <c r="AE16">
        <v>23532</v>
      </c>
      <c r="AF16">
        <v>9412.8000000000011</v>
      </c>
      <c r="AG16">
        <f t="shared" si="6"/>
        <v>14070.15</v>
      </c>
    </row>
    <row r="17" spans="1:33" x14ac:dyDescent="0.25">
      <c r="A17">
        <v>1016</v>
      </c>
      <c r="B17" s="1">
        <v>46035</v>
      </c>
      <c r="C17" s="1">
        <v>46036</v>
      </c>
      <c r="D17" s="1">
        <v>46041</v>
      </c>
      <c r="E17" t="s">
        <v>1066</v>
      </c>
      <c r="F17" t="s">
        <v>45</v>
      </c>
      <c r="G17" t="s">
        <v>1067</v>
      </c>
      <c r="H17" t="str">
        <f t="shared" si="0"/>
        <v>Clothing</v>
      </c>
      <c r="I17">
        <v>4</v>
      </c>
      <c r="J17" t="str">
        <f>VLOOKUP(K17,$AJ$2:$AK$7,2,FALSE)</f>
        <v>S006</v>
      </c>
      <c r="K17" t="s">
        <v>1102</v>
      </c>
      <c r="L17">
        <v>4.5999999999999996</v>
      </c>
      <c r="M17" t="str">
        <f>IFERROR(VLOOKUP(TRIM(N17),$AP$2:$AQ$12,2,FALSE),"W001")</f>
        <v>W009</v>
      </c>
      <c r="N17" t="s">
        <v>1060</v>
      </c>
      <c r="O17" t="s">
        <v>1057</v>
      </c>
      <c r="P17" t="str">
        <f>VLOOKUP(O17,$AL$2:$AM$12,2,FALSE)</f>
        <v>South</v>
      </c>
      <c r="Q17" t="s">
        <v>1082</v>
      </c>
      <c r="R17">
        <v>630</v>
      </c>
      <c r="S17" t="s">
        <v>1066</v>
      </c>
      <c r="T17">
        <f t="shared" si="1"/>
        <v>2</v>
      </c>
      <c r="U17">
        <v>252</v>
      </c>
      <c r="V17">
        <f t="shared" si="2"/>
        <v>8</v>
      </c>
      <c r="W17" t="s">
        <v>1086</v>
      </c>
      <c r="X17" t="s">
        <v>1090</v>
      </c>
      <c r="Y17">
        <f t="shared" si="3"/>
        <v>252</v>
      </c>
      <c r="Z17" t="s">
        <v>1108</v>
      </c>
      <c r="AA17" t="str">
        <f t="shared" si="4"/>
        <v>Medium</v>
      </c>
      <c r="AB17" t="s">
        <v>1103</v>
      </c>
      <c r="AC17" t="str">
        <f t="shared" si="5"/>
        <v>Yes</v>
      </c>
      <c r="AD17">
        <v>4</v>
      </c>
      <c r="AE17">
        <v>5380</v>
      </c>
      <c r="AF17">
        <v>2152</v>
      </c>
      <c r="AG17">
        <f t="shared" si="6"/>
        <v>2976</v>
      </c>
    </row>
    <row r="18" spans="1:33" x14ac:dyDescent="0.25">
      <c r="A18">
        <v>1017</v>
      </c>
      <c r="B18" s="1">
        <v>44620</v>
      </c>
      <c r="C18" s="1">
        <v>44622</v>
      </c>
      <c r="D18" s="1">
        <v>44624</v>
      </c>
      <c r="E18" t="s">
        <v>1065</v>
      </c>
      <c r="F18" t="s">
        <v>46</v>
      </c>
      <c r="G18" t="s">
        <v>1067</v>
      </c>
      <c r="H18" t="str">
        <f t="shared" si="0"/>
        <v>Clothing</v>
      </c>
      <c r="I18">
        <v>6</v>
      </c>
      <c r="J18" t="str">
        <f>VLOOKUP(K18,$AJ$2:$AK$7,2,FALSE)</f>
        <v>S004</v>
      </c>
      <c r="K18" t="s">
        <v>1100</v>
      </c>
      <c r="L18">
        <v>4</v>
      </c>
      <c r="M18" t="str">
        <f>IFERROR(VLOOKUP(TRIM(N18),$AP$2:$AQ$12,2,FALSE),"W001")</f>
        <v>W002</v>
      </c>
      <c r="N18" t="s">
        <v>1049</v>
      </c>
      <c r="O18" t="s">
        <v>1051</v>
      </c>
      <c r="P18" t="str">
        <f>VLOOKUP(O18,$AL$2:$AM$12,2,FALSE)</f>
        <v>West</v>
      </c>
      <c r="Q18" t="s">
        <v>1083</v>
      </c>
      <c r="R18">
        <v>1051</v>
      </c>
      <c r="S18" t="s">
        <v>1078</v>
      </c>
      <c r="T18">
        <f t="shared" si="1"/>
        <v>3</v>
      </c>
      <c r="U18">
        <v>525.5</v>
      </c>
      <c r="V18">
        <f t="shared" si="2"/>
        <v>10</v>
      </c>
      <c r="W18" t="s">
        <v>1086</v>
      </c>
      <c r="X18" t="s">
        <v>1091</v>
      </c>
      <c r="Y18">
        <f t="shared" si="3"/>
        <v>525.5</v>
      </c>
      <c r="Z18" t="s">
        <v>1108</v>
      </c>
      <c r="AA18" t="str">
        <f t="shared" si="4"/>
        <v>Medium</v>
      </c>
      <c r="AB18" t="s">
        <v>1103</v>
      </c>
      <c r="AC18" t="str">
        <f t="shared" si="5"/>
        <v>Yes</v>
      </c>
      <c r="AD18">
        <v>5</v>
      </c>
      <c r="AE18">
        <v>5574</v>
      </c>
      <c r="AF18">
        <v>2229.6</v>
      </c>
      <c r="AG18">
        <f t="shared" si="6"/>
        <v>2818.9</v>
      </c>
    </row>
    <row r="19" spans="1:33" x14ac:dyDescent="0.25">
      <c r="A19">
        <v>1018</v>
      </c>
      <c r="B19" s="1">
        <v>45336</v>
      </c>
      <c r="C19" s="1">
        <v>45337</v>
      </c>
      <c r="D19" s="1">
        <v>45344</v>
      </c>
      <c r="E19" t="s">
        <v>1064</v>
      </c>
      <c r="F19" t="s">
        <v>47</v>
      </c>
      <c r="G19" t="s">
        <v>1072</v>
      </c>
      <c r="H19" t="str">
        <f t="shared" si="0"/>
        <v>Electronics</v>
      </c>
      <c r="I19">
        <v>4</v>
      </c>
      <c r="J19" t="str">
        <f>VLOOKUP(K19,$AJ$2:$AK$7,2,FALSE)</f>
        <v>S005</v>
      </c>
      <c r="K19" t="s">
        <v>1101</v>
      </c>
      <c r="L19">
        <v>4.3</v>
      </c>
      <c r="M19" t="str">
        <f>IFERROR(VLOOKUP(TRIM(N19),$AP$2:$AQ$12,2,FALSE),"W001")</f>
        <v>W001</v>
      </c>
      <c r="N19" t="s">
        <v>1047</v>
      </c>
      <c r="O19" t="s">
        <v>1055</v>
      </c>
      <c r="P19" t="str">
        <f>VLOOKUP(O19,$AL$2:$AM$12,2,FALSE)</f>
        <v>South</v>
      </c>
      <c r="Q19" t="s">
        <v>1083</v>
      </c>
      <c r="R19">
        <v>1069</v>
      </c>
      <c r="S19" t="s">
        <v>1078</v>
      </c>
      <c r="T19">
        <f t="shared" si="1"/>
        <v>3</v>
      </c>
      <c r="U19">
        <v>534.5</v>
      </c>
      <c r="V19">
        <f t="shared" si="2"/>
        <v>10</v>
      </c>
      <c r="W19" t="s">
        <v>1086</v>
      </c>
      <c r="X19" t="s">
        <v>1091</v>
      </c>
      <c r="Y19">
        <f t="shared" si="3"/>
        <v>534.5</v>
      </c>
      <c r="Z19" t="s">
        <v>1108</v>
      </c>
      <c r="AA19" t="str">
        <f t="shared" si="4"/>
        <v>Medium</v>
      </c>
      <c r="AB19" t="s">
        <v>1103</v>
      </c>
      <c r="AC19" t="str">
        <f t="shared" si="5"/>
        <v>Yes</v>
      </c>
      <c r="AD19">
        <v>5</v>
      </c>
      <c r="AE19">
        <v>73140</v>
      </c>
      <c r="AF19">
        <v>29256</v>
      </c>
      <c r="AG19">
        <f t="shared" si="6"/>
        <v>43349.5</v>
      </c>
    </row>
    <row r="20" spans="1:33" x14ac:dyDescent="0.25">
      <c r="A20">
        <v>1019</v>
      </c>
      <c r="B20" s="1">
        <v>45801</v>
      </c>
      <c r="C20" s="1">
        <v>45802</v>
      </c>
      <c r="D20" s="1">
        <v>45805</v>
      </c>
      <c r="E20" t="s">
        <v>1066</v>
      </c>
      <c r="F20" t="s">
        <v>48</v>
      </c>
      <c r="G20" t="s">
        <v>1069</v>
      </c>
      <c r="H20" t="str">
        <f t="shared" si="0"/>
        <v>Furniture</v>
      </c>
      <c r="I20">
        <v>5</v>
      </c>
      <c r="J20" t="str">
        <f>VLOOKUP(K20,$AJ$2:$AK$7,2,FALSE)</f>
        <v>S003</v>
      </c>
      <c r="K20" t="s">
        <v>1099</v>
      </c>
      <c r="L20">
        <v>3.9</v>
      </c>
      <c r="M20" t="str">
        <f>IFERROR(VLOOKUP(TRIM(N20),$AP$2:$AQ$12,2,FALSE),"W001")</f>
        <v>W003</v>
      </c>
      <c r="N20" t="s">
        <v>1051</v>
      </c>
      <c r="O20" t="s">
        <v>1061</v>
      </c>
      <c r="P20" t="str">
        <f>VLOOKUP(O20,$AL$2:$AM$12,2,FALSE)</f>
        <v>West</v>
      </c>
      <c r="Q20" t="s">
        <v>1080</v>
      </c>
      <c r="R20">
        <v>983</v>
      </c>
      <c r="S20" t="s">
        <v>1078</v>
      </c>
      <c r="T20">
        <f t="shared" si="1"/>
        <v>5</v>
      </c>
      <c r="U20">
        <v>147.44999999999999</v>
      </c>
      <c r="V20">
        <f t="shared" si="2"/>
        <v>4</v>
      </c>
      <c r="W20" t="s">
        <v>1088</v>
      </c>
      <c r="X20" t="s">
        <v>1090</v>
      </c>
      <c r="Y20">
        <f t="shared" si="3"/>
        <v>0</v>
      </c>
      <c r="Z20" t="s">
        <v>1108</v>
      </c>
      <c r="AA20" t="str">
        <f t="shared" si="4"/>
        <v>Low</v>
      </c>
      <c r="AB20" t="s">
        <v>1103</v>
      </c>
      <c r="AC20" t="str">
        <f t="shared" si="5"/>
        <v>Yes</v>
      </c>
      <c r="AD20">
        <v>5</v>
      </c>
      <c r="AE20">
        <v>64800</v>
      </c>
      <c r="AF20">
        <v>25920</v>
      </c>
      <c r="AG20">
        <f t="shared" si="6"/>
        <v>38732.550000000003</v>
      </c>
    </row>
    <row r="21" spans="1:33" x14ac:dyDescent="0.25">
      <c r="A21">
        <v>1020</v>
      </c>
      <c r="B21" s="1">
        <v>44815</v>
      </c>
      <c r="C21" s="1">
        <v>44817</v>
      </c>
      <c r="D21" s="1">
        <v>44819</v>
      </c>
      <c r="E21" t="s">
        <v>1066</v>
      </c>
      <c r="F21" t="s">
        <v>49</v>
      </c>
      <c r="G21" t="s">
        <v>1068</v>
      </c>
      <c r="H21" t="str">
        <f t="shared" si="0"/>
        <v>Electronics</v>
      </c>
      <c r="I21">
        <v>7</v>
      </c>
      <c r="J21" t="str">
        <f>VLOOKUP(K21,$AJ$2:$AK$7,2,FALSE)</f>
        <v>S006</v>
      </c>
      <c r="K21" t="s">
        <v>1102</v>
      </c>
      <c r="L21">
        <v>4.2</v>
      </c>
      <c r="M21" t="str">
        <f>IFERROR(VLOOKUP(TRIM(N21),$AP$2:$AQ$12,2,FALSE),"W001")</f>
        <v>W011</v>
      </c>
      <c r="N21" t="s">
        <v>1059</v>
      </c>
      <c r="O21" t="s">
        <v>1053</v>
      </c>
      <c r="P21" t="str">
        <f>VLOOKUP(O21,$AL$2:$AM$12,2,FALSE)</f>
        <v>South</v>
      </c>
      <c r="Q21" t="s">
        <v>1080</v>
      </c>
      <c r="R21">
        <v>1759</v>
      </c>
      <c r="S21" t="s">
        <v>1078</v>
      </c>
      <c r="T21">
        <f t="shared" si="1"/>
        <v>8</v>
      </c>
      <c r="U21">
        <v>263.85000000000002</v>
      </c>
      <c r="V21">
        <f t="shared" si="2"/>
        <v>4</v>
      </c>
      <c r="W21" t="s">
        <v>1087</v>
      </c>
      <c r="X21" t="s">
        <v>1091</v>
      </c>
      <c r="Y21">
        <f t="shared" si="3"/>
        <v>0</v>
      </c>
      <c r="Z21" t="s">
        <v>1108</v>
      </c>
      <c r="AA21" t="str">
        <f t="shared" si="4"/>
        <v>Low</v>
      </c>
      <c r="AB21" t="s">
        <v>1103</v>
      </c>
      <c r="AC21" t="str">
        <f t="shared" si="5"/>
        <v>Yes</v>
      </c>
      <c r="AD21">
        <v>5</v>
      </c>
      <c r="AE21">
        <v>325773</v>
      </c>
      <c r="AF21">
        <v>130309.20000000001</v>
      </c>
      <c r="AG21">
        <f t="shared" si="6"/>
        <v>195199.94999999998</v>
      </c>
    </row>
    <row r="22" spans="1:33" x14ac:dyDescent="0.25">
      <c r="A22">
        <v>1021</v>
      </c>
      <c r="B22" s="1">
        <v>44299</v>
      </c>
      <c r="C22" s="1">
        <v>44300</v>
      </c>
      <c r="D22" s="1">
        <v>44304</v>
      </c>
      <c r="E22" t="s">
        <v>1065</v>
      </c>
      <c r="F22" t="s">
        <v>50</v>
      </c>
      <c r="G22" t="s">
        <v>1072</v>
      </c>
      <c r="H22" t="str">
        <f t="shared" si="0"/>
        <v>Electronics</v>
      </c>
      <c r="I22">
        <v>1</v>
      </c>
      <c r="J22" t="str">
        <f>VLOOKUP(K22,$AJ$2:$AK$7,2,FALSE)</f>
        <v>S002</v>
      </c>
      <c r="K22" t="s">
        <v>1098</v>
      </c>
      <c r="L22">
        <v>4.0999999999999996</v>
      </c>
      <c r="M22" t="str">
        <f>IFERROR(VLOOKUP(TRIM(N22),$AP$2:$AQ$12,2,FALSE),"W001")</f>
        <v>W005</v>
      </c>
      <c r="N22" t="s">
        <v>1055</v>
      </c>
      <c r="O22" t="s">
        <v>1055</v>
      </c>
      <c r="P22" t="str">
        <f>VLOOKUP(O22,$AL$2:$AM$12,2,FALSE)</f>
        <v>South</v>
      </c>
      <c r="Q22" t="s">
        <v>1080</v>
      </c>
      <c r="R22">
        <v>39</v>
      </c>
      <c r="S22" t="s">
        <v>1079</v>
      </c>
      <c r="T22">
        <f t="shared" si="1"/>
        <v>2</v>
      </c>
      <c r="U22">
        <v>5.85</v>
      </c>
      <c r="V22">
        <f t="shared" si="2"/>
        <v>4</v>
      </c>
      <c r="W22" t="s">
        <v>1086</v>
      </c>
      <c r="X22" t="s">
        <v>1091</v>
      </c>
      <c r="Y22">
        <f t="shared" si="3"/>
        <v>5.85</v>
      </c>
      <c r="Z22" t="s">
        <v>1108</v>
      </c>
      <c r="AA22" t="str">
        <f t="shared" si="4"/>
        <v>Low</v>
      </c>
      <c r="AB22" t="s">
        <v>1103</v>
      </c>
      <c r="AC22" t="str">
        <f t="shared" si="5"/>
        <v>Yes</v>
      </c>
      <c r="AD22">
        <v>4</v>
      </c>
      <c r="AE22">
        <v>28393</v>
      </c>
      <c r="AF22">
        <v>11357.2</v>
      </c>
      <c r="AG22">
        <f t="shared" si="6"/>
        <v>17029.95</v>
      </c>
    </row>
    <row r="23" spans="1:33" x14ac:dyDescent="0.25">
      <c r="A23">
        <v>1022</v>
      </c>
      <c r="B23" s="1">
        <v>44467</v>
      </c>
      <c r="C23" s="1">
        <v>44468</v>
      </c>
      <c r="D23" s="1">
        <v>44470</v>
      </c>
      <c r="E23" t="s">
        <v>1066</v>
      </c>
      <c r="F23" t="s">
        <v>51</v>
      </c>
      <c r="G23" t="s">
        <v>1072</v>
      </c>
      <c r="H23" t="str">
        <f t="shared" si="0"/>
        <v>Electronics</v>
      </c>
      <c r="I23">
        <v>6</v>
      </c>
      <c r="J23" t="str">
        <f>VLOOKUP(K23,$AJ$2:$AK$7,2,FALSE)</f>
        <v>S002</v>
      </c>
      <c r="K23" t="s">
        <v>1098</v>
      </c>
      <c r="L23">
        <v>3.6</v>
      </c>
      <c r="M23" t="str">
        <f>IFERROR(VLOOKUP(TRIM(N23),$AP$2:$AQ$12,2,FALSE),"W001")</f>
        <v>W003</v>
      </c>
      <c r="N23" t="s">
        <v>1051</v>
      </c>
      <c r="O23" t="s">
        <v>1055</v>
      </c>
      <c r="P23" t="str">
        <f>VLOOKUP(O23,$AL$2:$AM$12,2,FALSE)</f>
        <v>South</v>
      </c>
      <c r="Q23" t="s">
        <v>1084</v>
      </c>
      <c r="R23">
        <v>1325</v>
      </c>
      <c r="S23" t="s">
        <v>1078</v>
      </c>
      <c r="T23">
        <f t="shared" si="1"/>
        <v>5</v>
      </c>
      <c r="U23">
        <v>397.5</v>
      </c>
      <c r="V23">
        <f t="shared" si="2"/>
        <v>6</v>
      </c>
      <c r="W23" t="s">
        <v>1086</v>
      </c>
      <c r="X23" t="s">
        <v>1090</v>
      </c>
      <c r="Y23">
        <f t="shared" si="3"/>
        <v>397.5</v>
      </c>
      <c r="Z23" t="s">
        <v>1108</v>
      </c>
      <c r="AA23" t="str">
        <f t="shared" si="4"/>
        <v>Low</v>
      </c>
      <c r="AB23" t="s">
        <v>1103</v>
      </c>
      <c r="AC23" t="str">
        <f t="shared" si="5"/>
        <v>Yes</v>
      </c>
      <c r="AD23">
        <v>5</v>
      </c>
      <c r="AE23">
        <v>106968</v>
      </c>
      <c r="AF23">
        <v>42787.200000000004</v>
      </c>
      <c r="AG23">
        <f t="shared" si="6"/>
        <v>63783.299999999996</v>
      </c>
    </row>
    <row r="24" spans="1:33" x14ac:dyDescent="0.25">
      <c r="A24">
        <v>1023</v>
      </c>
      <c r="B24" s="1">
        <v>44244</v>
      </c>
      <c r="C24" s="1">
        <v>44245</v>
      </c>
      <c r="D24" s="1">
        <v>44247</v>
      </c>
      <c r="E24" t="s">
        <v>1065</v>
      </c>
      <c r="F24" t="s">
        <v>52</v>
      </c>
      <c r="G24" t="s">
        <v>1071</v>
      </c>
      <c r="H24" t="str">
        <f t="shared" si="0"/>
        <v>Clothing</v>
      </c>
      <c r="I24">
        <v>1</v>
      </c>
      <c r="J24" t="str">
        <f>VLOOKUP(K24,$AJ$2:$AK$7,2,FALSE)</f>
        <v>S006</v>
      </c>
      <c r="K24" t="s">
        <v>1102</v>
      </c>
      <c r="L24">
        <v>3.5</v>
      </c>
      <c r="M24" t="str">
        <f>IFERROR(VLOOKUP(TRIM(N24),$AP$2:$AQ$12,2,FALSE),"W001")</f>
        <v>W005</v>
      </c>
      <c r="N24" t="s">
        <v>1055</v>
      </c>
      <c r="O24" t="s">
        <v>1063</v>
      </c>
      <c r="P24" t="str">
        <f>VLOOKUP(O24,$AL$2:$AM$12,2,FALSE)</f>
        <v>South</v>
      </c>
      <c r="Q24" t="s">
        <v>1081</v>
      </c>
      <c r="R24">
        <v>1120</v>
      </c>
      <c r="S24" t="s">
        <v>1078</v>
      </c>
      <c r="T24">
        <f t="shared" si="1"/>
        <v>5</v>
      </c>
      <c r="U24">
        <v>224</v>
      </c>
      <c r="V24">
        <f t="shared" si="2"/>
        <v>5</v>
      </c>
      <c r="W24" t="s">
        <v>1086</v>
      </c>
      <c r="X24" t="s">
        <v>1091</v>
      </c>
      <c r="Y24">
        <f t="shared" si="3"/>
        <v>224</v>
      </c>
      <c r="Z24" t="s">
        <v>1108</v>
      </c>
      <c r="AA24" t="str">
        <f t="shared" si="4"/>
        <v>Low</v>
      </c>
      <c r="AB24" t="s">
        <v>1103</v>
      </c>
      <c r="AC24" t="str">
        <f t="shared" si="5"/>
        <v>Yes</v>
      </c>
      <c r="AD24">
        <v>5</v>
      </c>
      <c r="AE24">
        <v>1725</v>
      </c>
      <c r="AF24">
        <v>690</v>
      </c>
      <c r="AG24">
        <f t="shared" si="6"/>
        <v>811</v>
      </c>
    </row>
    <row r="25" spans="1:33" x14ac:dyDescent="0.25">
      <c r="A25">
        <v>1024</v>
      </c>
      <c r="B25" s="1">
        <v>46025</v>
      </c>
      <c r="C25" s="1">
        <v>46027</v>
      </c>
      <c r="D25" s="1">
        <v>46032</v>
      </c>
      <c r="E25" t="s">
        <v>1066</v>
      </c>
      <c r="F25" t="s">
        <v>53</v>
      </c>
      <c r="G25" t="s">
        <v>1067</v>
      </c>
      <c r="H25" t="str">
        <f t="shared" si="0"/>
        <v>Clothing</v>
      </c>
      <c r="I25">
        <v>7</v>
      </c>
      <c r="J25" t="str">
        <f>VLOOKUP(K25,$AJ$2:$AK$7,2,FALSE)</f>
        <v>S006</v>
      </c>
      <c r="K25" t="s">
        <v>1102</v>
      </c>
      <c r="L25">
        <v>4</v>
      </c>
      <c r="M25" t="str">
        <f>IFERROR(VLOOKUP(TRIM(N25),$AP$2:$AQ$12,2,FALSE),"W001")</f>
        <v>W002</v>
      </c>
      <c r="N25" t="s">
        <v>1049</v>
      </c>
      <c r="O25" t="s">
        <v>1055</v>
      </c>
      <c r="P25" t="str">
        <f>VLOOKUP(O25,$AL$2:$AM$12,2,FALSE)</f>
        <v>South</v>
      </c>
      <c r="Q25" t="s">
        <v>1085</v>
      </c>
      <c r="R25">
        <v>1645</v>
      </c>
      <c r="S25" t="s">
        <v>1078</v>
      </c>
      <c r="T25">
        <f t="shared" si="1"/>
        <v>11</v>
      </c>
      <c r="U25">
        <v>164.5</v>
      </c>
      <c r="V25">
        <f t="shared" si="2"/>
        <v>3</v>
      </c>
      <c r="W25" t="s">
        <v>1088</v>
      </c>
      <c r="X25" t="s">
        <v>1091</v>
      </c>
      <c r="Y25">
        <f t="shared" si="3"/>
        <v>0</v>
      </c>
      <c r="Z25" t="s">
        <v>1108</v>
      </c>
      <c r="AA25" t="str">
        <f t="shared" si="4"/>
        <v>Low</v>
      </c>
      <c r="AB25" t="s">
        <v>1103</v>
      </c>
      <c r="AC25" t="str">
        <f t="shared" si="5"/>
        <v>Yes</v>
      </c>
      <c r="AD25">
        <v>5</v>
      </c>
      <c r="AE25">
        <v>4704</v>
      </c>
      <c r="AF25">
        <v>1881.6000000000001</v>
      </c>
      <c r="AG25">
        <f t="shared" si="6"/>
        <v>2657.8999999999996</v>
      </c>
    </row>
    <row r="26" spans="1:33" x14ac:dyDescent="0.25">
      <c r="A26">
        <v>1025</v>
      </c>
      <c r="B26" s="1">
        <v>44465</v>
      </c>
      <c r="C26" s="1">
        <v>44466</v>
      </c>
      <c r="D26" s="1">
        <v>44469</v>
      </c>
      <c r="E26" t="s">
        <v>1066</v>
      </c>
      <c r="F26" t="s">
        <v>54</v>
      </c>
      <c r="G26" t="s">
        <v>1067</v>
      </c>
      <c r="H26" t="str">
        <f t="shared" si="0"/>
        <v>Clothing</v>
      </c>
      <c r="I26">
        <v>2</v>
      </c>
      <c r="J26" t="str">
        <f>VLOOKUP(K26,$AJ$2:$AK$7,2,FALSE)</f>
        <v>S006</v>
      </c>
      <c r="K26" t="s">
        <v>1102</v>
      </c>
      <c r="L26">
        <v>3.7</v>
      </c>
      <c r="M26" t="str">
        <f>IFERROR(VLOOKUP(TRIM(N26),$AP$2:$AQ$12,2,FALSE),"W001")</f>
        <v>W001</v>
      </c>
      <c r="N26" t="s">
        <v>1047</v>
      </c>
      <c r="O26" t="s">
        <v>1061</v>
      </c>
      <c r="P26" t="str">
        <f>VLOOKUP(O26,$AL$2:$AM$12,2,FALSE)</f>
        <v>West</v>
      </c>
      <c r="Q26" t="s">
        <v>1083</v>
      </c>
      <c r="R26">
        <v>1726</v>
      </c>
      <c r="S26" t="s">
        <v>1078</v>
      </c>
      <c r="T26">
        <f t="shared" si="1"/>
        <v>3</v>
      </c>
      <c r="U26">
        <v>863</v>
      </c>
      <c r="V26">
        <f t="shared" si="2"/>
        <v>10</v>
      </c>
      <c r="W26" t="s">
        <v>1088</v>
      </c>
      <c r="X26" t="s">
        <v>1091</v>
      </c>
      <c r="Y26">
        <f t="shared" si="3"/>
        <v>0</v>
      </c>
      <c r="Z26" t="s">
        <v>1108</v>
      </c>
      <c r="AA26" t="str">
        <f t="shared" si="4"/>
        <v>Medium</v>
      </c>
      <c r="AB26" t="s">
        <v>1103</v>
      </c>
      <c r="AC26" t="str">
        <f t="shared" si="5"/>
        <v>Yes</v>
      </c>
      <c r="AD26">
        <v>5</v>
      </c>
      <c r="AE26">
        <v>1110</v>
      </c>
      <c r="AF26">
        <v>444</v>
      </c>
      <c r="AG26">
        <f t="shared" si="6"/>
        <v>-197</v>
      </c>
    </row>
    <row r="27" spans="1:33" x14ac:dyDescent="0.25">
      <c r="A27">
        <v>1026</v>
      </c>
      <c r="B27" s="1">
        <v>45254</v>
      </c>
      <c r="C27" s="1">
        <v>45256</v>
      </c>
      <c r="D27" s="1">
        <v>45263</v>
      </c>
      <c r="E27" t="s">
        <v>1066</v>
      </c>
      <c r="F27" t="s">
        <v>55</v>
      </c>
      <c r="G27" t="s">
        <v>1070</v>
      </c>
      <c r="H27" t="str">
        <f t="shared" si="0"/>
        <v>Furniture</v>
      </c>
      <c r="I27">
        <v>1</v>
      </c>
      <c r="J27" t="str">
        <f>VLOOKUP(K27,$AJ$2:$AK$7,2,FALSE)</f>
        <v>S003</v>
      </c>
      <c r="K27" t="s">
        <v>1099</v>
      </c>
      <c r="L27">
        <v>3.3</v>
      </c>
      <c r="M27" t="str">
        <f>IFERROR(VLOOKUP(TRIM(N27),$AP$2:$AQ$12,2,FALSE),"W001")</f>
        <v>W008</v>
      </c>
      <c r="N27" t="s">
        <v>1061</v>
      </c>
      <c r="O27" t="s">
        <v>1053</v>
      </c>
      <c r="P27" t="str">
        <f>VLOOKUP(O27,$AL$2:$AM$12,2,FALSE)</f>
        <v>South</v>
      </c>
      <c r="Q27" t="s">
        <v>1083</v>
      </c>
      <c r="R27">
        <v>974</v>
      </c>
      <c r="S27" t="s">
        <v>1078</v>
      </c>
      <c r="T27">
        <f t="shared" si="1"/>
        <v>2</v>
      </c>
      <c r="U27">
        <v>487</v>
      </c>
      <c r="V27">
        <f t="shared" si="2"/>
        <v>10</v>
      </c>
      <c r="W27" t="s">
        <v>1086</v>
      </c>
      <c r="X27" t="s">
        <v>1091</v>
      </c>
      <c r="Y27">
        <f t="shared" si="3"/>
        <v>487</v>
      </c>
      <c r="Z27" t="s">
        <v>1108</v>
      </c>
      <c r="AA27" t="str">
        <f t="shared" si="4"/>
        <v>Medium</v>
      </c>
      <c r="AB27" t="s">
        <v>1103</v>
      </c>
      <c r="AC27" t="str">
        <f t="shared" si="5"/>
        <v>Yes</v>
      </c>
      <c r="AD27">
        <v>5</v>
      </c>
      <c r="AE27">
        <v>4833</v>
      </c>
      <c r="AF27">
        <v>1933.2</v>
      </c>
      <c r="AG27">
        <f t="shared" si="6"/>
        <v>2412.8000000000002</v>
      </c>
    </row>
    <row r="28" spans="1:33" x14ac:dyDescent="0.25">
      <c r="A28">
        <v>1027</v>
      </c>
      <c r="B28" s="1">
        <v>45378</v>
      </c>
      <c r="C28" s="1">
        <v>45380</v>
      </c>
      <c r="D28" s="1">
        <v>45384</v>
      </c>
      <c r="E28" t="s">
        <v>1065</v>
      </c>
      <c r="F28" t="s">
        <v>56</v>
      </c>
      <c r="G28" t="s">
        <v>1069</v>
      </c>
      <c r="H28" t="str">
        <f t="shared" si="0"/>
        <v>Furniture</v>
      </c>
      <c r="I28">
        <v>5</v>
      </c>
      <c r="J28" t="str">
        <f>VLOOKUP(K28,$AJ$2:$AK$7,2,FALSE)</f>
        <v>S004</v>
      </c>
      <c r="K28" t="s">
        <v>1100</v>
      </c>
      <c r="L28">
        <v>3.2</v>
      </c>
      <c r="M28" t="str">
        <f>IFERROR(VLOOKUP(TRIM(N28),$AP$2:$AQ$12,2,FALSE),"W001")</f>
        <v>W002</v>
      </c>
      <c r="N28" t="s">
        <v>1049</v>
      </c>
      <c r="O28" t="s">
        <v>1063</v>
      </c>
      <c r="P28" t="str">
        <f>VLOOKUP(O28,$AL$2:$AM$12,2,FALSE)</f>
        <v>South</v>
      </c>
      <c r="Q28" t="s">
        <v>1083</v>
      </c>
      <c r="R28">
        <v>1587</v>
      </c>
      <c r="S28" t="s">
        <v>1078</v>
      </c>
      <c r="T28">
        <f t="shared" si="1"/>
        <v>3</v>
      </c>
      <c r="U28">
        <v>793.5</v>
      </c>
      <c r="V28">
        <f t="shared" si="2"/>
        <v>10</v>
      </c>
      <c r="W28" t="s">
        <v>1088</v>
      </c>
      <c r="X28" t="s">
        <v>1091</v>
      </c>
      <c r="Y28">
        <f t="shared" si="3"/>
        <v>0</v>
      </c>
      <c r="Z28" t="s">
        <v>1108</v>
      </c>
      <c r="AA28" t="str">
        <f t="shared" si="4"/>
        <v>Medium</v>
      </c>
      <c r="AB28" t="s">
        <v>1104</v>
      </c>
      <c r="AC28" t="str">
        <f t="shared" si="5"/>
        <v>Yes</v>
      </c>
      <c r="AD28">
        <v>2</v>
      </c>
      <c r="AE28">
        <v>73375</v>
      </c>
      <c r="AF28">
        <v>29350</v>
      </c>
      <c r="AG28">
        <f t="shared" si="6"/>
        <v>43231.5</v>
      </c>
    </row>
    <row r="29" spans="1:33" x14ac:dyDescent="0.25">
      <c r="A29">
        <v>1028</v>
      </c>
      <c r="B29" s="1">
        <v>45692</v>
      </c>
      <c r="C29" s="1">
        <v>45695</v>
      </c>
      <c r="D29" s="1">
        <v>45697</v>
      </c>
      <c r="E29" t="s">
        <v>1064</v>
      </c>
      <c r="F29" t="s">
        <v>57</v>
      </c>
      <c r="G29" t="s">
        <v>1068</v>
      </c>
      <c r="H29" t="str">
        <f t="shared" si="0"/>
        <v>Electronics</v>
      </c>
      <c r="I29">
        <v>7</v>
      </c>
      <c r="J29" t="str">
        <f>VLOOKUP(K29,$AJ$2:$AK$7,2,FALSE)</f>
        <v>S003</v>
      </c>
      <c r="K29" t="s">
        <v>1099</v>
      </c>
      <c r="L29">
        <v>4.5</v>
      </c>
      <c r="M29" t="str">
        <f>IFERROR(VLOOKUP(TRIM(N29),$AP$2:$AQ$12,2,FALSE),"W001")</f>
        <v>W005</v>
      </c>
      <c r="N29" t="s">
        <v>1055</v>
      </c>
      <c r="O29" t="s">
        <v>1053</v>
      </c>
      <c r="P29" t="str">
        <f>VLOOKUP(O29,$AL$2:$AM$12,2,FALSE)</f>
        <v>South</v>
      </c>
      <c r="Q29" t="s">
        <v>1084</v>
      </c>
      <c r="R29">
        <v>1463</v>
      </c>
      <c r="S29" t="s">
        <v>1078</v>
      </c>
      <c r="T29">
        <f t="shared" si="1"/>
        <v>5</v>
      </c>
      <c r="U29">
        <v>438.9</v>
      </c>
      <c r="V29">
        <f t="shared" si="2"/>
        <v>6</v>
      </c>
      <c r="W29" t="s">
        <v>1088</v>
      </c>
      <c r="X29" t="s">
        <v>1091</v>
      </c>
      <c r="Y29">
        <f t="shared" si="3"/>
        <v>0</v>
      </c>
      <c r="Z29" t="s">
        <v>1108</v>
      </c>
      <c r="AA29" t="str">
        <f t="shared" si="4"/>
        <v>Low</v>
      </c>
      <c r="AB29" t="s">
        <v>1103</v>
      </c>
      <c r="AC29" t="str">
        <f t="shared" si="5"/>
        <v>Yes</v>
      </c>
      <c r="AD29">
        <v>5</v>
      </c>
      <c r="AE29">
        <v>442260</v>
      </c>
      <c r="AF29">
        <v>176904</v>
      </c>
      <c r="AG29">
        <f t="shared" si="6"/>
        <v>264917.09999999998</v>
      </c>
    </row>
    <row r="30" spans="1:33" x14ac:dyDescent="0.25">
      <c r="A30">
        <v>1029</v>
      </c>
      <c r="B30" s="1">
        <v>45177</v>
      </c>
      <c r="C30" s="1">
        <v>45180</v>
      </c>
      <c r="D30" s="1">
        <v>45185</v>
      </c>
      <c r="E30" t="s">
        <v>1064</v>
      </c>
      <c r="F30" t="s">
        <v>58</v>
      </c>
      <c r="G30" t="s">
        <v>1070</v>
      </c>
      <c r="H30" t="str">
        <f t="shared" si="0"/>
        <v>Furniture</v>
      </c>
      <c r="I30">
        <v>6</v>
      </c>
      <c r="J30" t="str">
        <f>VLOOKUP(K30,$AJ$2:$AK$7,2,FALSE)</f>
        <v>S002</v>
      </c>
      <c r="K30" t="s">
        <v>1098</v>
      </c>
      <c r="L30">
        <v>3.2</v>
      </c>
      <c r="M30" t="str">
        <f>IFERROR(VLOOKUP(TRIM(N30),$AP$2:$AQ$12,2,FALSE),"W001")</f>
        <v>W011</v>
      </c>
      <c r="N30" t="s">
        <v>1059</v>
      </c>
      <c r="O30" t="s">
        <v>1051</v>
      </c>
      <c r="P30" t="str">
        <f>VLOOKUP(O30,$AL$2:$AM$12,2,FALSE)</f>
        <v>West</v>
      </c>
      <c r="Q30" t="s">
        <v>1083</v>
      </c>
      <c r="R30">
        <v>995</v>
      </c>
      <c r="S30" t="s">
        <v>1078</v>
      </c>
      <c r="T30">
        <f t="shared" si="1"/>
        <v>2</v>
      </c>
      <c r="U30">
        <v>497.5</v>
      </c>
      <c r="V30">
        <f t="shared" si="2"/>
        <v>10</v>
      </c>
      <c r="W30" t="s">
        <v>1088</v>
      </c>
      <c r="X30" t="s">
        <v>1091</v>
      </c>
      <c r="Y30">
        <f t="shared" si="3"/>
        <v>0</v>
      </c>
      <c r="Z30" t="s">
        <v>1108</v>
      </c>
      <c r="AA30" t="str">
        <f t="shared" si="4"/>
        <v>Medium</v>
      </c>
      <c r="AB30" t="s">
        <v>1103</v>
      </c>
      <c r="AC30" t="str">
        <f t="shared" si="5"/>
        <v>Yes</v>
      </c>
      <c r="AD30">
        <v>5</v>
      </c>
      <c r="AE30">
        <v>17208</v>
      </c>
      <c r="AF30">
        <v>6883.2000000000007</v>
      </c>
      <c r="AG30">
        <f t="shared" si="6"/>
        <v>9827.2999999999993</v>
      </c>
    </row>
    <row r="31" spans="1:33" x14ac:dyDescent="0.25">
      <c r="A31">
        <v>1030</v>
      </c>
      <c r="B31" s="1">
        <v>45141</v>
      </c>
      <c r="C31" s="1">
        <v>45144</v>
      </c>
      <c r="D31" s="1">
        <v>45150</v>
      </c>
      <c r="E31" t="s">
        <v>1065</v>
      </c>
      <c r="F31" t="s">
        <v>59</v>
      </c>
      <c r="G31" t="s">
        <v>1072</v>
      </c>
      <c r="H31" t="str">
        <f t="shared" si="0"/>
        <v>Electronics</v>
      </c>
      <c r="I31">
        <v>10</v>
      </c>
      <c r="J31" t="str">
        <f>VLOOKUP(K31,$AJ$2:$AK$7,2,FALSE)</f>
        <v>S004</v>
      </c>
      <c r="K31" t="s">
        <v>1100</v>
      </c>
      <c r="L31">
        <v>3</v>
      </c>
      <c r="M31" t="str">
        <f>IFERROR(VLOOKUP(TRIM(N31),$AP$2:$AQ$12,2,FALSE),"W001")</f>
        <v>W009</v>
      </c>
      <c r="N31" t="s">
        <v>1060</v>
      </c>
      <c r="O31" t="s">
        <v>1059</v>
      </c>
      <c r="P31" t="str">
        <f>VLOOKUP(O31,$AL$2:$AM$12,2,FALSE)</f>
        <v>North</v>
      </c>
      <c r="Q31" t="s">
        <v>1083</v>
      </c>
      <c r="R31">
        <v>1476</v>
      </c>
      <c r="S31" t="s">
        <v>1078</v>
      </c>
      <c r="T31">
        <f t="shared" si="1"/>
        <v>3</v>
      </c>
      <c r="U31">
        <v>738</v>
      </c>
      <c r="V31">
        <f t="shared" si="2"/>
        <v>10</v>
      </c>
      <c r="W31" t="s">
        <v>1088</v>
      </c>
      <c r="X31" t="s">
        <v>1090</v>
      </c>
      <c r="Y31">
        <f t="shared" si="3"/>
        <v>0</v>
      </c>
      <c r="Z31" t="s">
        <v>1108</v>
      </c>
      <c r="AA31" t="str">
        <f t="shared" si="4"/>
        <v>Medium</v>
      </c>
      <c r="AB31" t="s">
        <v>1104</v>
      </c>
      <c r="AC31" t="str">
        <f t="shared" si="5"/>
        <v>Yes</v>
      </c>
      <c r="AD31">
        <v>2</v>
      </c>
      <c r="AE31">
        <v>110190</v>
      </c>
      <c r="AF31">
        <v>44076</v>
      </c>
      <c r="AG31">
        <f t="shared" si="6"/>
        <v>65376</v>
      </c>
    </row>
    <row r="32" spans="1:33" x14ac:dyDescent="0.25">
      <c r="A32">
        <v>1031</v>
      </c>
      <c r="B32" s="1">
        <v>46356</v>
      </c>
      <c r="C32" s="1">
        <v>46357</v>
      </c>
      <c r="D32" s="1">
        <v>46359</v>
      </c>
      <c r="E32" t="s">
        <v>1065</v>
      </c>
      <c r="F32" t="s">
        <v>60</v>
      </c>
      <c r="G32" t="s">
        <v>1068</v>
      </c>
      <c r="H32" t="str">
        <f t="shared" si="0"/>
        <v>Electronics</v>
      </c>
      <c r="I32">
        <v>6</v>
      </c>
      <c r="J32" t="str">
        <f>VLOOKUP(K32,$AJ$2:$AK$7,2,FALSE)</f>
        <v>S004</v>
      </c>
      <c r="K32" t="s">
        <v>1100</v>
      </c>
      <c r="L32">
        <v>4.3</v>
      </c>
      <c r="M32" t="str">
        <f>IFERROR(VLOOKUP(TRIM(N32),$AP$2:$AQ$12,2,FALSE),"W001")</f>
        <v>W001</v>
      </c>
      <c r="N32" t="s">
        <v>1047</v>
      </c>
      <c r="O32" t="s">
        <v>1047</v>
      </c>
      <c r="P32" t="str">
        <f>VLOOKUP(O32,$AL$2:$AM$12,2,FALSE)</f>
        <v>West</v>
      </c>
      <c r="Q32" t="s">
        <v>1084</v>
      </c>
      <c r="R32">
        <v>25</v>
      </c>
      <c r="S32" t="s">
        <v>1079</v>
      </c>
      <c r="T32">
        <f t="shared" si="1"/>
        <v>1</v>
      </c>
      <c r="U32">
        <v>7.5</v>
      </c>
      <c r="V32">
        <f t="shared" si="2"/>
        <v>6</v>
      </c>
      <c r="W32" t="s">
        <v>1088</v>
      </c>
      <c r="X32" t="s">
        <v>1090</v>
      </c>
      <c r="Y32">
        <f t="shared" si="3"/>
        <v>0</v>
      </c>
      <c r="Z32" t="s">
        <v>1108</v>
      </c>
      <c r="AA32" t="str">
        <f t="shared" si="4"/>
        <v>Low</v>
      </c>
      <c r="AB32" t="s">
        <v>1103</v>
      </c>
      <c r="AC32" t="str">
        <f t="shared" si="5"/>
        <v>Yes</v>
      </c>
      <c r="AD32">
        <v>4</v>
      </c>
      <c r="AE32">
        <v>406224</v>
      </c>
      <c r="AF32">
        <v>162489.60000000001</v>
      </c>
      <c r="AG32">
        <f t="shared" si="6"/>
        <v>243726.9</v>
      </c>
    </row>
    <row r="33" spans="1:33" x14ac:dyDescent="0.25">
      <c r="A33">
        <v>1032</v>
      </c>
      <c r="B33" s="1">
        <v>44348</v>
      </c>
      <c r="C33" s="1">
        <v>44350</v>
      </c>
      <c r="D33" s="1">
        <v>44354</v>
      </c>
      <c r="E33" t="s">
        <v>1066</v>
      </c>
      <c r="F33" t="s">
        <v>61</v>
      </c>
      <c r="G33" t="s">
        <v>1068</v>
      </c>
      <c r="H33" t="str">
        <f t="shared" si="0"/>
        <v>Electronics</v>
      </c>
      <c r="I33">
        <v>2</v>
      </c>
      <c r="J33" t="str">
        <f>VLOOKUP(K33,$AJ$2:$AK$7,2,FALSE)</f>
        <v>S001</v>
      </c>
      <c r="K33" t="s">
        <v>1097</v>
      </c>
      <c r="L33">
        <v>3</v>
      </c>
      <c r="M33" t="str">
        <f>IFERROR(VLOOKUP(TRIM(N33),$AP$2:$AQ$12,2,FALSE),"W001")</f>
        <v>W004</v>
      </c>
      <c r="N33" t="s">
        <v>1053</v>
      </c>
      <c r="O33" t="s">
        <v>1061</v>
      </c>
      <c r="P33" t="str">
        <f>VLOOKUP(O33,$AL$2:$AM$12,2,FALSE)</f>
        <v>West</v>
      </c>
      <c r="Q33" t="s">
        <v>1083</v>
      </c>
      <c r="R33">
        <v>428</v>
      </c>
      <c r="S33" t="s">
        <v>1066</v>
      </c>
      <c r="T33">
        <f t="shared" si="1"/>
        <v>2</v>
      </c>
      <c r="U33">
        <v>214</v>
      </c>
      <c r="V33">
        <f t="shared" si="2"/>
        <v>10</v>
      </c>
      <c r="W33" t="s">
        <v>1086</v>
      </c>
      <c r="X33" t="s">
        <v>1091</v>
      </c>
      <c r="Y33">
        <f t="shared" si="3"/>
        <v>214</v>
      </c>
      <c r="Z33" t="s">
        <v>1108</v>
      </c>
      <c r="AA33" t="str">
        <f t="shared" si="4"/>
        <v>Medium</v>
      </c>
      <c r="AB33" t="s">
        <v>1103</v>
      </c>
      <c r="AC33" t="str">
        <f t="shared" si="5"/>
        <v>Yes</v>
      </c>
      <c r="AD33">
        <v>5</v>
      </c>
      <c r="AE33">
        <v>80072</v>
      </c>
      <c r="AF33">
        <v>32028.800000000003</v>
      </c>
      <c r="AG33">
        <f t="shared" si="6"/>
        <v>47829.2</v>
      </c>
    </row>
    <row r="34" spans="1:33" x14ac:dyDescent="0.25">
      <c r="A34">
        <v>1033</v>
      </c>
      <c r="B34" s="1">
        <v>44968</v>
      </c>
      <c r="C34" s="1">
        <v>44969</v>
      </c>
      <c r="D34" s="1">
        <v>44973</v>
      </c>
      <c r="E34" t="s">
        <v>1065</v>
      </c>
      <c r="F34" t="s">
        <v>62</v>
      </c>
      <c r="G34" t="s">
        <v>1067</v>
      </c>
      <c r="H34" t="str">
        <f t="shared" si="0"/>
        <v>Clothing</v>
      </c>
      <c r="I34">
        <v>5</v>
      </c>
      <c r="J34" t="str">
        <f>VLOOKUP(K34,$AJ$2:$AK$7,2,FALSE)</f>
        <v>S001</v>
      </c>
      <c r="K34" t="s">
        <v>1097</v>
      </c>
      <c r="L34">
        <v>3.2</v>
      </c>
      <c r="M34" t="str">
        <f>IFERROR(VLOOKUP(TRIM(N34),$AP$2:$AQ$12,2,FALSE),"W001")</f>
        <v>W007</v>
      </c>
      <c r="N34" t="s">
        <v>1062</v>
      </c>
      <c r="O34" t="s">
        <v>1062</v>
      </c>
      <c r="P34" t="str">
        <f>VLOOKUP(O34,$AL$2:$AM$12,2,FALSE)</f>
        <v>North</v>
      </c>
      <c r="Q34" t="s">
        <v>1080</v>
      </c>
      <c r="R34">
        <v>14</v>
      </c>
      <c r="S34" t="s">
        <v>1079</v>
      </c>
      <c r="T34">
        <f t="shared" si="1"/>
        <v>2</v>
      </c>
      <c r="U34">
        <v>2.1</v>
      </c>
      <c r="V34">
        <f t="shared" si="2"/>
        <v>4</v>
      </c>
      <c r="W34" t="s">
        <v>1087</v>
      </c>
      <c r="X34" t="s">
        <v>1091</v>
      </c>
      <c r="Y34">
        <f t="shared" si="3"/>
        <v>0</v>
      </c>
      <c r="Z34" t="s">
        <v>1108</v>
      </c>
      <c r="AA34" t="str">
        <f t="shared" si="4"/>
        <v>Low</v>
      </c>
      <c r="AB34" t="s">
        <v>1103</v>
      </c>
      <c r="AC34" t="str">
        <f t="shared" si="5"/>
        <v>Yes</v>
      </c>
      <c r="AD34">
        <v>5</v>
      </c>
      <c r="AE34">
        <v>7235</v>
      </c>
      <c r="AF34">
        <v>2894</v>
      </c>
      <c r="AG34">
        <f t="shared" si="6"/>
        <v>4338.8999999999996</v>
      </c>
    </row>
    <row r="35" spans="1:33" x14ac:dyDescent="0.25">
      <c r="A35">
        <v>1034</v>
      </c>
      <c r="B35" s="1">
        <v>45336</v>
      </c>
      <c r="C35" s="1">
        <v>45339</v>
      </c>
      <c r="D35" s="1">
        <v>45346</v>
      </c>
      <c r="E35" t="s">
        <v>1066</v>
      </c>
      <c r="F35" t="s">
        <v>63</v>
      </c>
      <c r="G35" t="s">
        <v>1067</v>
      </c>
      <c r="H35" t="str">
        <f t="shared" si="0"/>
        <v>Clothing</v>
      </c>
      <c r="I35">
        <v>1</v>
      </c>
      <c r="J35" t="str">
        <f>VLOOKUP(K35,$AJ$2:$AK$7,2,FALSE)</f>
        <v>S004</v>
      </c>
      <c r="K35" t="s">
        <v>1100</v>
      </c>
      <c r="L35">
        <v>4.8</v>
      </c>
      <c r="M35" t="str">
        <f>IFERROR(VLOOKUP(TRIM(N35),$AP$2:$AQ$12,2,FALSE),"W001")</f>
        <v>W004</v>
      </c>
      <c r="N35" t="s">
        <v>1053</v>
      </c>
      <c r="O35" t="s">
        <v>1049</v>
      </c>
      <c r="P35" t="str">
        <f>VLOOKUP(O35,$AL$2:$AM$12,2,FALSE)</f>
        <v>North</v>
      </c>
      <c r="Q35" t="s">
        <v>1080</v>
      </c>
      <c r="R35">
        <v>559</v>
      </c>
      <c r="S35" t="s">
        <v>1066</v>
      </c>
      <c r="T35">
        <f t="shared" si="1"/>
        <v>4</v>
      </c>
      <c r="U35">
        <v>83.85</v>
      </c>
      <c r="V35">
        <f t="shared" si="2"/>
        <v>4</v>
      </c>
      <c r="W35" t="s">
        <v>1086</v>
      </c>
      <c r="X35" t="s">
        <v>1091</v>
      </c>
      <c r="Y35">
        <f t="shared" si="3"/>
        <v>83.85</v>
      </c>
      <c r="Z35" t="s">
        <v>1108</v>
      </c>
      <c r="AA35" t="str">
        <f t="shared" si="4"/>
        <v>Low</v>
      </c>
      <c r="AB35" t="s">
        <v>1103</v>
      </c>
      <c r="AC35" t="str">
        <f t="shared" si="5"/>
        <v>Yes</v>
      </c>
      <c r="AD35">
        <v>4</v>
      </c>
      <c r="AE35">
        <v>1150</v>
      </c>
      <c r="AF35">
        <v>460</v>
      </c>
      <c r="AG35">
        <f t="shared" si="6"/>
        <v>606.15</v>
      </c>
    </row>
    <row r="36" spans="1:33" x14ac:dyDescent="0.25">
      <c r="A36">
        <v>1035</v>
      </c>
      <c r="B36" s="1">
        <v>44953</v>
      </c>
      <c r="C36" s="1">
        <v>44955</v>
      </c>
      <c r="D36" s="1">
        <v>44962</v>
      </c>
      <c r="E36" t="s">
        <v>1065</v>
      </c>
      <c r="F36" t="s">
        <v>64</v>
      </c>
      <c r="G36" t="s">
        <v>1072</v>
      </c>
      <c r="H36" t="str">
        <f t="shared" si="0"/>
        <v>Electronics</v>
      </c>
      <c r="I36">
        <v>2</v>
      </c>
      <c r="J36" t="str">
        <f>VLOOKUP(K36,$AJ$2:$AK$7,2,FALSE)</f>
        <v>S003</v>
      </c>
      <c r="K36" t="s">
        <v>1099</v>
      </c>
      <c r="L36">
        <v>3</v>
      </c>
      <c r="M36" t="str">
        <f>IFERROR(VLOOKUP(TRIM(N36),$AP$2:$AQ$12,2,FALSE),"W001")</f>
        <v>W005</v>
      </c>
      <c r="N36" t="s">
        <v>1055</v>
      </c>
      <c r="O36" t="s">
        <v>1060</v>
      </c>
      <c r="P36" t="str">
        <f>VLOOKUP(O36,$AL$2:$AM$12,2,FALSE)</f>
        <v>North</v>
      </c>
      <c r="Q36" t="s">
        <v>1080</v>
      </c>
      <c r="R36">
        <v>1745</v>
      </c>
      <c r="S36" t="s">
        <v>1078</v>
      </c>
      <c r="T36">
        <f t="shared" si="1"/>
        <v>8</v>
      </c>
      <c r="U36">
        <v>261.75</v>
      </c>
      <c r="V36">
        <f t="shared" si="2"/>
        <v>4</v>
      </c>
      <c r="W36" t="s">
        <v>1088</v>
      </c>
      <c r="X36" t="s">
        <v>1090</v>
      </c>
      <c r="Y36">
        <f t="shared" si="3"/>
        <v>0</v>
      </c>
      <c r="Z36" t="s">
        <v>1108</v>
      </c>
      <c r="AA36" t="str">
        <f t="shared" si="4"/>
        <v>Low</v>
      </c>
      <c r="AB36" t="s">
        <v>1103</v>
      </c>
      <c r="AC36" t="str">
        <f t="shared" si="5"/>
        <v>Yes</v>
      </c>
      <c r="AD36">
        <v>5</v>
      </c>
      <c r="AE36">
        <v>26190</v>
      </c>
      <c r="AF36">
        <v>10476</v>
      </c>
      <c r="AG36">
        <f t="shared" si="6"/>
        <v>15452.25</v>
      </c>
    </row>
    <row r="37" spans="1:33" x14ac:dyDescent="0.25">
      <c r="A37">
        <v>1036</v>
      </c>
      <c r="B37" s="1">
        <v>46067</v>
      </c>
      <c r="C37" s="1">
        <v>46068</v>
      </c>
      <c r="D37" s="1">
        <v>46074</v>
      </c>
      <c r="E37" t="s">
        <v>1066</v>
      </c>
      <c r="F37" t="s">
        <v>65</v>
      </c>
      <c r="G37" t="s">
        <v>1067</v>
      </c>
      <c r="H37" t="str">
        <f t="shared" si="0"/>
        <v>Clothing</v>
      </c>
      <c r="I37">
        <v>4</v>
      </c>
      <c r="J37" t="str">
        <f>VLOOKUP(K37,$AJ$2:$AK$7,2,FALSE)</f>
        <v>S003</v>
      </c>
      <c r="K37" t="s">
        <v>1099</v>
      </c>
      <c r="L37">
        <v>3.3</v>
      </c>
      <c r="M37" t="str">
        <f>IFERROR(VLOOKUP(TRIM(N37),$AP$2:$AQ$12,2,FALSE),"W001")</f>
        <v>W007</v>
      </c>
      <c r="N37" t="s">
        <v>1062</v>
      </c>
      <c r="O37" t="s">
        <v>1055</v>
      </c>
      <c r="P37" t="str">
        <f>VLOOKUP(O37,$AL$2:$AM$12,2,FALSE)</f>
        <v>South</v>
      </c>
      <c r="Q37" t="s">
        <v>1084</v>
      </c>
      <c r="R37">
        <v>1063</v>
      </c>
      <c r="S37" t="s">
        <v>1078</v>
      </c>
      <c r="T37">
        <f t="shared" si="1"/>
        <v>4</v>
      </c>
      <c r="U37">
        <v>318.89999999999998</v>
      </c>
      <c r="V37">
        <f t="shared" si="2"/>
        <v>6</v>
      </c>
      <c r="W37" t="s">
        <v>1088</v>
      </c>
      <c r="X37" t="s">
        <v>1089</v>
      </c>
      <c r="Y37">
        <f t="shared" si="3"/>
        <v>0</v>
      </c>
      <c r="Z37" t="s">
        <v>1108</v>
      </c>
      <c r="AA37" t="str">
        <f t="shared" si="4"/>
        <v>Low</v>
      </c>
      <c r="AB37" t="s">
        <v>1103</v>
      </c>
      <c r="AC37" t="str">
        <f t="shared" si="5"/>
        <v>Yes</v>
      </c>
      <c r="AD37">
        <v>4</v>
      </c>
      <c r="AE37">
        <v>2668</v>
      </c>
      <c r="AF37">
        <v>1067.2</v>
      </c>
      <c r="AG37">
        <f t="shared" si="6"/>
        <v>1281.9000000000001</v>
      </c>
    </row>
    <row r="38" spans="1:33" x14ac:dyDescent="0.25">
      <c r="A38">
        <v>1037</v>
      </c>
      <c r="B38" s="1">
        <v>44959</v>
      </c>
      <c r="C38" s="1">
        <v>44960</v>
      </c>
      <c r="D38" s="1">
        <v>44966</v>
      </c>
      <c r="E38" t="s">
        <v>1064</v>
      </c>
      <c r="F38" t="s">
        <v>66</v>
      </c>
      <c r="G38" t="s">
        <v>1069</v>
      </c>
      <c r="H38" t="str">
        <f t="shared" si="0"/>
        <v>Furniture</v>
      </c>
      <c r="I38">
        <v>2</v>
      </c>
      <c r="J38" t="str">
        <f>VLOOKUP(K38,$AJ$2:$AK$7,2,FALSE)</f>
        <v>S001</v>
      </c>
      <c r="K38" t="s">
        <v>1097</v>
      </c>
      <c r="L38">
        <v>4.8</v>
      </c>
      <c r="M38" t="str">
        <f>IFERROR(VLOOKUP(TRIM(N38),$AP$2:$AQ$12,2,FALSE),"W001")</f>
        <v>W006</v>
      </c>
      <c r="N38" t="s">
        <v>1057</v>
      </c>
      <c r="O38" t="s">
        <v>1059</v>
      </c>
      <c r="P38" t="str">
        <f>VLOOKUP(O38,$AL$2:$AM$12,2,FALSE)</f>
        <v>North</v>
      </c>
      <c r="Q38" t="s">
        <v>1081</v>
      </c>
      <c r="R38">
        <v>165</v>
      </c>
      <c r="S38" t="s">
        <v>1079</v>
      </c>
      <c r="T38">
        <f t="shared" si="1"/>
        <v>2</v>
      </c>
      <c r="U38">
        <v>33</v>
      </c>
      <c r="V38">
        <f t="shared" si="2"/>
        <v>5</v>
      </c>
      <c r="W38" t="s">
        <v>1088</v>
      </c>
      <c r="X38" t="s">
        <v>1090</v>
      </c>
      <c r="Y38">
        <f t="shared" si="3"/>
        <v>0</v>
      </c>
      <c r="Z38" t="s">
        <v>1108</v>
      </c>
      <c r="AA38" t="str">
        <f t="shared" si="4"/>
        <v>Low</v>
      </c>
      <c r="AB38" t="s">
        <v>1103</v>
      </c>
      <c r="AC38" t="str">
        <f t="shared" si="5"/>
        <v>Yes</v>
      </c>
      <c r="AD38">
        <v>5</v>
      </c>
      <c r="AE38">
        <v>27654</v>
      </c>
      <c r="AF38">
        <v>11061.6</v>
      </c>
      <c r="AG38">
        <f t="shared" si="6"/>
        <v>16559.400000000001</v>
      </c>
    </row>
    <row r="39" spans="1:33" x14ac:dyDescent="0.25">
      <c r="A39">
        <v>1038</v>
      </c>
      <c r="B39" s="1">
        <v>44351</v>
      </c>
      <c r="C39" s="1">
        <v>44352</v>
      </c>
      <c r="D39" s="1">
        <v>44358</v>
      </c>
      <c r="E39" t="s">
        <v>1066</v>
      </c>
      <c r="F39" t="s">
        <v>67</v>
      </c>
      <c r="G39" t="s">
        <v>1070</v>
      </c>
      <c r="H39" t="str">
        <f t="shared" si="0"/>
        <v>Furniture</v>
      </c>
      <c r="I39">
        <v>5</v>
      </c>
      <c r="J39" t="str">
        <f>VLOOKUP(K39,$AJ$2:$AK$7,2,FALSE)</f>
        <v>S004</v>
      </c>
      <c r="K39" t="s">
        <v>1100</v>
      </c>
      <c r="L39">
        <v>4.9000000000000004</v>
      </c>
      <c r="M39" t="str">
        <f>IFERROR(VLOOKUP(TRIM(N39),$AP$2:$AQ$12,2,FALSE),"W001")</f>
        <v>W006</v>
      </c>
      <c r="N39" t="s">
        <v>1057</v>
      </c>
      <c r="O39" t="s">
        <v>1057</v>
      </c>
      <c r="P39" t="str">
        <f>VLOOKUP(O39,$AL$2:$AM$12,2,FALSE)</f>
        <v>South</v>
      </c>
      <c r="Q39" t="s">
        <v>1080</v>
      </c>
      <c r="R39">
        <v>50</v>
      </c>
      <c r="S39" t="s">
        <v>1079</v>
      </c>
      <c r="T39">
        <f t="shared" si="1"/>
        <v>2</v>
      </c>
      <c r="U39">
        <v>7.5</v>
      </c>
      <c r="V39">
        <f t="shared" si="2"/>
        <v>4</v>
      </c>
      <c r="W39" t="s">
        <v>1088</v>
      </c>
      <c r="X39" t="s">
        <v>1091</v>
      </c>
      <c r="Y39">
        <f t="shared" si="3"/>
        <v>0</v>
      </c>
      <c r="Z39" t="s">
        <v>1108</v>
      </c>
      <c r="AA39" t="str">
        <f t="shared" si="4"/>
        <v>Low</v>
      </c>
      <c r="AB39" t="s">
        <v>1103</v>
      </c>
      <c r="AC39" t="str">
        <f t="shared" si="5"/>
        <v>Yes</v>
      </c>
      <c r="AD39">
        <v>4</v>
      </c>
      <c r="AE39">
        <v>14985</v>
      </c>
      <c r="AF39">
        <v>5994</v>
      </c>
      <c r="AG39">
        <f t="shared" si="6"/>
        <v>8983.5</v>
      </c>
    </row>
    <row r="40" spans="1:33" x14ac:dyDescent="0.25">
      <c r="A40">
        <v>1039</v>
      </c>
      <c r="B40" s="1">
        <v>44481</v>
      </c>
      <c r="C40" s="1">
        <v>44483</v>
      </c>
      <c r="D40" s="1">
        <v>44488</v>
      </c>
      <c r="E40" t="s">
        <v>1064</v>
      </c>
      <c r="F40" t="s">
        <v>68</v>
      </c>
      <c r="G40" t="s">
        <v>1070</v>
      </c>
      <c r="H40" t="str">
        <f t="shared" si="0"/>
        <v>Furniture</v>
      </c>
      <c r="I40">
        <v>8</v>
      </c>
      <c r="J40" t="str">
        <f>VLOOKUP(K40,$AJ$2:$AK$7,2,FALSE)</f>
        <v>S003</v>
      </c>
      <c r="K40" t="s">
        <v>1099</v>
      </c>
      <c r="L40">
        <v>3.6</v>
      </c>
      <c r="M40" t="str">
        <f>IFERROR(VLOOKUP(TRIM(N40),$AP$2:$AQ$12,2,FALSE),"W001")</f>
        <v>W006</v>
      </c>
      <c r="N40" t="s">
        <v>1057</v>
      </c>
      <c r="O40" t="s">
        <v>1055</v>
      </c>
      <c r="P40" t="str">
        <f>VLOOKUP(O40,$AL$2:$AM$12,2,FALSE)</f>
        <v>South</v>
      </c>
      <c r="Q40" t="s">
        <v>1083</v>
      </c>
      <c r="R40">
        <v>1495</v>
      </c>
      <c r="S40" t="s">
        <v>1078</v>
      </c>
      <c r="T40">
        <f t="shared" si="1"/>
        <v>3</v>
      </c>
      <c r="U40">
        <v>747.5</v>
      </c>
      <c r="V40">
        <f t="shared" si="2"/>
        <v>10</v>
      </c>
      <c r="W40" t="s">
        <v>1088</v>
      </c>
      <c r="X40" t="s">
        <v>1091</v>
      </c>
      <c r="Y40">
        <f t="shared" si="3"/>
        <v>0</v>
      </c>
      <c r="Z40" t="s">
        <v>1108</v>
      </c>
      <c r="AA40" t="str">
        <f t="shared" si="4"/>
        <v>Medium</v>
      </c>
      <c r="AB40" t="s">
        <v>1103</v>
      </c>
      <c r="AC40" t="str">
        <f t="shared" si="5"/>
        <v>Yes</v>
      </c>
      <c r="AD40">
        <v>4</v>
      </c>
      <c r="AE40">
        <v>55544</v>
      </c>
      <c r="AF40">
        <v>22217.600000000002</v>
      </c>
      <c r="AG40">
        <f t="shared" si="6"/>
        <v>32578.899999999994</v>
      </c>
    </row>
    <row r="41" spans="1:33" x14ac:dyDescent="0.25">
      <c r="A41">
        <v>1040</v>
      </c>
      <c r="B41" s="1">
        <v>44790</v>
      </c>
      <c r="C41" s="1">
        <v>44792</v>
      </c>
      <c r="D41" s="1">
        <v>44799</v>
      </c>
      <c r="E41" t="s">
        <v>1064</v>
      </c>
      <c r="F41" t="s">
        <v>69</v>
      </c>
      <c r="G41" t="s">
        <v>1069</v>
      </c>
      <c r="H41" t="str">
        <f t="shared" si="0"/>
        <v>Furniture</v>
      </c>
      <c r="I41">
        <v>2</v>
      </c>
      <c r="J41" t="str">
        <f>VLOOKUP(K41,$AJ$2:$AK$7,2,FALSE)</f>
        <v>S003</v>
      </c>
      <c r="K41" t="s">
        <v>1099</v>
      </c>
      <c r="L41">
        <v>3.7</v>
      </c>
      <c r="M41" t="str">
        <f>IFERROR(VLOOKUP(TRIM(N41),$AP$2:$AQ$12,2,FALSE),"W001")</f>
        <v>W004</v>
      </c>
      <c r="N41" t="s">
        <v>1053</v>
      </c>
      <c r="O41" t="s">
        <v>1051</v>
      </c>
      <c r="P41" t="str">
        <f>VLOOKUP(O41,$AL$2:$AM$12,2,FALSE)</f>
        <v>West</v>
      </c>
      <c r="Q41" t="s">
        <v>1084</v>
      </c>
      <c r="R41">
        <v>1404</v>
      </c>
      <c r="S41" t="s">
        <v>1078</v>
      </c>
      <c r="T41">
        <f t="shared" si="1"/>
        <v>5</v>
      </c>
      <c r="U41">
        <v>421.2</v>
      </c>
      <c r="V41">
        <f t="shared" si="2"/>
        <v>6</v>
      </c>
      <c r="W41" t="s">
        <v>1086</v>
      </c>
      <c r="X41" t="s">
        <v>1090</v>
      </c>
      <c r="Y41">
        <f t="shared" si="3"/>
        <v>421.2</v>
      </c>
      <c r="Z41" t="s">
        <v>1108</v>
      </c>
      <c r="AA41" t="str">
        <f t="shared" si="4"/>
        <v>Low</v>
      </c>
      <c r="AB41" t="s">
        <v>1103</v>
      </c>
      <c r="AC41" t="str">
        <f t="shared" si="5"/>
        <v>Yes</v>
      </c>
      <c r="AD41">
        <v>5</v>
      </c>
      <c r="AE41">
        <v>13168</v>
      </c>
      <c r="AF41">
        <v>5267.2000000000007</v>
      </c>
      <c r="AG41">
        <f t="shared" si="6"/>
        <v>7479.5999999999995</v>
      </c>
    </row>
    <row r="42" spans="1:33" x14ac:dyDescent="0.25">
      <c r="A42">
        <v>1041</v>
      </c>
      <c r="B42" s="1">
        <v>45017</v>
      </c>
      <c r="C42" s="1">
        <v>45018</v>
      </c>
      <c r="D42" s="1">
        <v>45020</v>
      </c>
      <c r="E42" t="s">
        <v>1066</v>
      </c>
      <c r="F42" t="s">
        <v>70</v>
      </c>
      <c r="G42" t="s">
        <v>1067</v>
      </c>
      <c r="H42" t="str">
        <f t="shared" si="0"/>
        <v>Clothing</v>
      </c>
      <c r="I42">
        <v>7</v>
      </c>
      <c r="J42" t="str">
        <f>VLOOKUP(K42,$AJ$2:$AK$7,2,FALSE)</f>
        <v>S006</v>
      </c>
      <c r="K42" t="s">
        <v>1102</v>
      </c>
      <c r="L42">
        <v>4.8</v>
      </c>
      <c r="M42" t="str">
        <f>IFERROR(VLOOKUP(TRIM(N42),$AP$2:$AQ$12,2,FALSE),"W001")</f>
        <v>W002</v>
      </c>
      <c r="N42" t="s">
        <v>1049</v>
      </c>
      <c r="O42" t="s">
        <v>1047</v>
      </c>
      <c r="P42" t="str">
        <f>VLOOKUP(O42,$AL$2:$AM$12,2,FALSE)</f>
        <v>West</v>
      </c>
      <c r="Q42" t="s">
        <v>1083</v>
      </c>
      <c r="R42">
        <v>1273</v>
      </c>
      <c r="S42" t="s">
        <v>1078</v>
      </c>
      <c r="T42">
        <f t="shared" si="1"/>
        <v>3</v>
      </c>
      <c r="U42">
        <v>636.5</v>
      </c>
      <c r="V42">
        <f t="shared" si="2"/>
        <v>10</v>
      </c>
      <c r="W42" t="s">
        <v>1086</v>
      </c>
      <c r="X42" t="s">
        <v>1091</v>
      </c>
      <c r="Y42">
        <f t="shared" si="3"/>
        <v>636.5</v>
      </c>
      <c r="Z42" t="s">
        <v>1108</v>
      </c>
      <c r="AA42" t="str">
        <f t="shared" si="4"/>
        <v>Medium</v>
      </c>
      <c r="AB42" t="s">
        <v>1104</v>
      </c>
      <c r="AC42" t="str">
        <f t="shared" si="5"/>
        <v>Yes</v>
      </c>
      <c r="AD42">
        <v>2</v>
      </c>
      <c r="AE42">
        <v>9499</v>
      </c>
      <c r="AF42">
        <v>3799.6000000000004</v>
      </c>
      <c r="AG42">
        <f t="shared" si="6"/>
        <v>5062.8999999999996</v>
      </c>
    </row>
    <row r="43" spans="1:33" x14ac:dyDescent="0.25">
      <c r="A43">
        <v>1042</v>
      </c>
      <c r="B43" s="1">
        <v>44740</v>
      </c>
      <c r="C43" s="1">
        <v>44743</v>
      </c>
      <c r="D43" s="1">
        <v>44747</v>
      </c>
      <c r="E43" t="s">
        <v>1064</v>
      </c>
      <c r="F43" t="s">
        <v>71</v>
      </c>
      <c r="G43" t="s">
        <v>1067</v>
      </c>
      <c r="H43" t="str">
        <f t="shared" si="0"/>
        <v>Clothing</v>
      </c>
      <c r="I43">
        <v>7</v>
      </c>
      <c r="J43" t="str">
        <f>VLOOKUP(K43,$AJ$2:$AK$7,2,FALSE)</f>
        <v>S006</v>
      </c>
      <c r="K43" t="s">
        <v>1102</v>
      </c>
      <c r="L43">
        <v>4.4000000000000004</v>
      </c>
      <c r="M43" t="str">
        <f>IFERROR(VLOOKUP(TRIM(N43),$AP$2:$AQ$12,2,FALSE),"W001")</f>
        <v>W007</v>
      </c>
      <c r="N43" t="s">
        <v>1062</v>
      </c>
      <c r="O43" t="s">
        <v>1049</v>
      </c>
      <c r="P43" t="str">
        <f>VLOOKUP(O43,$AL$2:$AM$12,2,FALSE)</f>
        <v>North</v>
      </c>
      <c r="Q43" t="s">
        <v>1083</v>
      </c>
      <c r="R43">
        <v>1143</v>
      </c>
      <c r="S43" t="s">
        <v>1078</v>
      </c>
      <c r="T43">
        <f t="shared" si="1"/>
        <v>3</v>
      </c>
      <c r="U43">
        <v>571.5</v>
      </c>
      <c r="V43">
        <f t="shared" si="2"/>
        <v>10</v>
      </c>
      <c r="W43" t="s">
        <v>1088</v>
      </c>
      <c r="X43" t="s">
        <v>1089</v>
      </c>
      <c r="Y43">
        <f t="shared" si="3"/>
        <v>0</v>
      </c>
      <c r="Z43" t="s">
        <v>1108</v>
      </c>
      <c r="AA43" t="str">
        <f t="shared" si="4"/>
        <v>Medium</v>
      </c>
      <c r="AB43" t="s">
        <v>1104</v>
      </c>
      <c r="AC43" t="str">
        <f t="shared" si="5"/>
        <v>Yes</v>
      </c>
      <c r="AD43">
        <v>1</v>
      </c>
      <c r="AE43">
        <v>7413</v>
      </c>
      <c r="AF43">
        <v>2965.2000000000003</v>
      </c>
      <c r="AG43">
        <f t="shared" si="6"/>
        <v>3876.2999999999993</v>
      </c>
    </row>
    <row r="44" spans="1:33" x14ac:dyDescent="0.25">
      <c r="A44">
        <v>1043</v>
      </c>
      <c r="B44" s="1">
        <v>46030</v>
      </c>
      <c r="C44" s="1">
        <v>46033</v>
      </c>
      <c r="D44" s="1">
        <v>46039</v>
      </c>
      <c r="E44" t="s">
        <v>1065</v>
      </c>
      <c r="F44" t="s">
        <v>72</v>
      </c>
      <c r="G44" t="s">
        <v>1069</v>
      </c>
      <c r="H44" t="str">
        <f t="shared" si="0"/>
        <v>Furniture</v>
      </c>
      <c r="I44">
        <v>9</v>
      </c>
      <c r="J44" t="str">
        <f>VLOOKUP(K44,$AJ$2:$AK$7,2,FALSE)</f>
        <v>S003</v>
      </c>
      <c r="K44" t="s">
        <v>1099</v>
      </c>
      <c r="L44">
        <v>3.7</v>
      </c>
      <c r="M44" t="str">
        <f>IFERROR(VLOOKUP(TRIM(N44),$AP$2:$AQ$12,2,FALSE),"W001")</f>
        <v>W004</v>
      </c>
      <c r="N44" t="s">
        <v>1053</v>
      </c>
      <c r="O44" t="s">
        <v>1061</v>
      </c>
      <c r="P44" t="str">
        <f>VLOOKUP(O44,$AL$2:$AM$12,2,FALSE)</f>
        <v>West</v>
      </c>
      <c r="Q44" t="s">
        <v>1080</v>
      </c>
      <c r="R44">
        <v>1464</v>
      </c>
      <c r="S44" t="s">
        <v>1078</v>
      </c>
      <c r="T44">
        <f t="shared" si="1"/>
        <v>7</v>
      </c>
      <c r="U44">
        <v>219.6</v>
      </c>
      <c r="V44">
        <f t="shared" si="2"/>
        <v>4</v>
      </c>
      <c r="W44" t="s">
        <v>1086</v>
      </c>
      <c r="X44" t="s">
        <v>1091</v>
      </c>
      <c r="Y44">
        <f t="shared" si="3"/>
        <v>219.6</v>
      </c>
      <c r="Z44" t="s">
        <v>1108</v>
      </c>
      <c r="AA44" t="str">
        <f t="shared" si="4"/>
        <v>Low</v>
      </c>
      <c r="AB44" t="s">
        <v>1103</v>
      </c>
      <c r="AC44" t="str">
        <f t="shared" si="5"/>
        <v>Yes</v>
      </c>
      <c r="AD44">
        <v>5</v>
      </c>
      <c r="AE44">
        <v>75618</v>
      </c>
      <c r="AF44">
        <v>30247.200000000001</v>
      </c>
      <c r="AG44">
        <f t="shared" si="6"/>
        <v>45151.200000000004</v>
      </c>
    </row>
    <row r="45" spans="1:33" x14ac:dyDescent="0.25">
      <c r="A45">
        <v>1044</v>
      </c>
      <c r="B45" s="1">
        <v>44735</v>
      </c>
      <c r="C45" s="1">
        <v>44737</v>
      </c>
      <c r="D45" s="1">
        <v>44740</v>
      </c>
      <c r="E45" t="s">
        <v>1064</v>
      </c>
      <c r="F45" t="s">
        <v>73</v>
      </c>
      <c r="G45" t="s">
        <v>1071</v>
      </c>
      <c r="H45" t="str">
        <f t="shared" si="0"/>
        <v>Clothing</v>
      </c>
      <c r="I45">
        <v>6</v>
      </c>
      <c r="J45" t="str">
        <f>VLOOKUP(K45,$AJ$2:$AK$7,2,FALSE)</f>
        <v>S004</v>
      </c>
      <c r="K45" t="s">
        <v>1100</v>
      </c>
      <c r="L45">
        <v>3</v>
      </c>
      <c r="M45" t="str">
        <f>IFERROR(VLOOKUP(TRIM(N45),$AP$2:$AQ$12,2,FALSE),"W001")</f>
        <v>W007</v>
      </c>
      <c r="N45" t="s">
        <v>1062</v>
      </c>
      <c r="O45" t="s">
        <v>1047</v>
      </c>
      <c r="P45" t="str">
        <f>VLOOKUP(O45,$AL$2:$AM$12,2,FALSE)</f>
        <v>West</v>
      </c>
      <c r="Q45" t="s">
        <v>1082</v>
      </c>
      <c r="R45">
        <v>1262</v>
      </c>
      <c r="S45" t="s">
        <v>1078</v>
      </c>
      <c r="T45">
        <f t="shared" si="1"/>
        <v>4</v>
      </c>
      <c r="U45">
        <v>504.8</v>
      </c>
      <c r="V45">
        <f t="shared" si="2"/>
        <v>8</v>
      </c>
      <c r="W45" t="s">
        <v>1087</v>
      </c>
      <c r="X45" t="s">
        <v>1089</v>
      </c>
      <c r="Y45">
        <f t="shared" si="3"/>
        <v>0</v>
      </c>
      <c r="Z45" t="s">
        <v>1109</v>
      </c>
      <c r="AA45" t="str">
        <f t="shared" si="4"/>
        <v>High</v>
      </c>
      <c r="AB45" t="s">
        <v>1103</v>
      </c>
      <c r="AC45" t="str">
        <f t="shared" si="5"/>
        <v>No</v>
      </c>
      <c r="AD45">
        <v>3</v>
      </c>
      <c r="AE45">
        <v>15630</v>
      </c>
      <c r="AF45">
        <v>6252</v>
      </c>
      <c r="AG45">
        <f t="shared" si="6"/>
        <v>8873.2000000000007</v>
      </c>
    </row>
    <row r="46" spans="1:33" x14ac:dyDescent="0.25">
      <c r="A46">
        <v>1045</v>
      </c>
      <c r="B46" s="1">
        <v>46143</v>
      </c>
      <c r="C46" s="1">
        <v>46145</v>
      </c>
      <c r="D46" s="1">
        <v>46152</v>
      </c>
      <c r="E46" t="s">
        <v>1066</v>
      </c>
      <c r="F46" t="s">
        <v>74</v>
      </c>
      <c r="G46" t="s">
        <v>1068</v>
      </c>
      <c r="H46" t="str">
        <f t="shared" si="0"/>
        <v>Electronics</v>
      </c>
      <c r="I46">
        <v>1</v>
      </c>
      <c r="J46" t="str">
        <f>VLOOKUP(K46,$AJ$2:$AK$7,2,FALSE)</f>
        <v>S002</v>
      </c>
      <c r="K46" t="s">
        <v>1098</v>
      </c>
      <c r="L46">
        <v>4.8</v>
      </c>
      <c r="M46" t="str">
        <f>IFERROR(VLOOKUP(TRIM(N46),$AP$2:$AQ$12,2,FALSE),"W001")</f>
        <v>W006</v>
      </c>
      <c r="N46" t="s">
        <v>1057</v>
      </c>
      <c r="O46" t="s">
        <v>1047</v>
      </c>
      <c r="P46" t="str">
        <f>VLOOKUP(O46,$AL$2:$AM$12,2,FALSE)</f>
        <v>West</v>
      </c>
      <c r="Q46" t="s">
        <v>1080</v>
      </c>
      <c r="R46">
        <v>1270</v>
      </c>
      <c r="S46" t="s">
        <v>1078</v>
      </c>
      <c r="T46">
        <f t="shared" si="1"/>
        <v>6</v>
      </c>
      <c r="U46">
        <v>190.5</v>
      </c>
      <c r="V46">
        <f t="shared" si="2"/>
        <v>4</v>
      </c>
      <c r="W46" t="s">
        <v>1087</v>
      </c>
      <c r="X46" t="s">
        <v>1091</v>
      </c>
      <c r="Y46">
        <f t="shared" si="3"/>
        <v>0</v>
      </c>
      <c r="Z46" t="s">
        <v>1108</v>
      </c>
      <c r="AA46" t="str">
        <f t="shared" si="4"/>
        <v>Low</v>
      </c>
      <c r="AB46" t="s">
        <v>1103</v>
      </c>
      <c r="AC46" t="str">
        <f t="shared" si="5"/>
        <v>Yes</v>
      </c>
      <c r="AD46">
        <v>5</v>
      </c>
      <c r="AE46">
        <v>46937</v>
      </c>
      <c r="AF46">
        <v>18774.8</v>
      </c>
      <c r="AG46">
        <f t="shared" si="6"/>
        <v>27971.7</v>
      </c>
    </row>
    <row r="47" spans="1:33" x14ac:dyDescent="0.25">
      <c r="A47">
        <v>1046</v>
      </c>
      <c r="B47" s="1">
        <v>44559</v>
      </c>
      <c r="C47" s="1">
        <v>44562</v>
      </c>
      <c r="D47" s="1">
        <v>44566</v>
      </c>
      <c r="E47" t="s">
        <v>1064</v>
      </c>
      <c r="F47" t="s">
        <v>75</v>
      </c>
      <c r="G47" t="s">
        <v>1072</v>
      </c>
      <c r="H47" t="str">
        <f t="shared" si="0"/>
        <v>Electronics</v>
      </c>
      <c r="I47">
        <v>8</v>
      </c>
      <c r="J47" t="str">
        <f>VLOOKUP(K47,$AJ$2:$AK$7,2,FALSE)</f>
        <v>S002</v>
      </c>
      <c r="K47" t="s">
        <v>1098</v>
      </c>
      <c r="L47">
        <v>4.0999999999999996</v>
      </c>
      <c r="M47" t="str">
        <f>IFERROR(VLOOKUP(TRIM(N47),$AP$2:$AQ$12,2,FALSE),"W001")</f>
        <v>W011</v>
      </c>
      <c r="N47" t="s">
        <v>1059</v>
      </c>
      <c r="O47" t="s">
        <v>1055</v>
      </c>
      <c r="P47" t="str">
        <f>VLOOKUP(O47,$AL$2:$AM$12,2,FALSE)</f>
        <v>South</v>
      </c>
      <c r="Q47" t="s">
        <v>1082</v>
      </c>
      <c r="R47">
        <v>1418</v>
      </c>
      <c r="S47" t="s">
        <v>1078</v>
      </c>
      <c r="T47">
        <f t="shared" si="1"/>
        <v>4</v>
      </c>
      <c r="U47">
        <v>567.20000000000005</v>
      </c>
      <c r="V47">
        <f t="shared" si="2"/>
        <v>8</v>
      </c>
      <c r="W47" t="s">
        <v>1088</v>
      </c>
      <c r="X47" t="s">
        <v>1091</v>
      </c>
      <c r="Y47">
        <f t="shared" si="3"/>
        <v>0</v>
      </c>
      <c r="Z47" t="s">
        <v>1109</v>
      </c>
      <c r="AA47" t="str">
        <f t="shared" si="4"/>
        <v>High</v>
      </c>
      <c r="AB47" t="s">
        <v>1103</v>
      </c>
      <c r="AC47" t="str">
        <f t="shared" si="5"/>
        <v>No</v>
      </c>
      <c r="AD47">
        <v>3</v>
      </c>
      <c r="AE47">
        <v>105672</v>
      </c>
      <c r="AF47">
        <v>42268.800000000003</v>
      </c>
      <c r="AG47">
        <f t="shared" si="6"/>
        <v>62836</v>
      </c>
    </row>
    <row r="48" spans="1:33" x14ac:dyDescent="0.25">
      <c r="A48">
        <v>1047</v>
      </c>
      <c r="B48" s="1">
        <v>44241</v>
      </c>
      <c r="C48" s="1">
        <v>44243</v>
      </c>
      <c r="D48" s="1">
        <v>44247</v>
      </c>
      <c r="E48" t="s">
        <v>1064</v>
      </c>
      <c r="F48" t="s">
        <v>76</v>
      </c>
      <c r="G48" t="s">
        <v>1072</v>
      </c>
      <c r="H48" t="str">
        <f t="shared" si="0"/>
        <v>Electronics</v>
      </c>
      <c r="I48">
        <v>10</v>
      </c>
      <c r="J48" t="str">
        <f>VLOOKUP(K48,$AJ$2:$AK$7,2,FALSE)</f>
        <v>S006</v>
      </c>
      <c r="K48" t="s">
        <v>1102</v>
      </c>
      <c r="L48">
        <v>5</v>
      </c>
      <c r="M48" t="str">
        <f>IFERROR(VLOOKUP(TRIM(N48),$AP$2:$AQ$12,2,FALSE),"W001")</f>
        <v>W001</v>
      </c>
      <c r="N48" t="s">
        <v>1047</v>
      </c>
      <c r="O48" t="s">
        <v>1061</v>
      </c>
      <c r="P48" t="str">
        <f>VLOOKUP(O48,$AL$2:$AM$12,2,FALSE)</f>
        <v>West</v>
      </c>
      <c r="Q48" t="s">
        <v>1084</v>
      </c>
      <c r="R48">
        <v>417</v>
      </c>
      <c r="S48" t="s">
        <v>1066</v>
      </c>
      <c r="T48">
        <f t="shared" si="1"/>
        <v>2</v>
      </c>
      <c r="U48">
        <v>125.1</v>
      </c>
      <c r="V48">
        <f t="shared" si="2"/>
        <v>6</v>
      </c>
      <c r="W48" t="s">
        <v>1088</v>
      </c>
      <c r="X48" t="s">
        <v>1091</v>
      </c>
      <c r="Y48">
        <f t="shared" si="3"/>
        <v>0</v>
      </c>
      <c r="Z48" t="s">
        <v>1108</v>
      </c>
      <c r="AA48" t="str">
        <f t="shared" si="4"/>
        <v>Low</v>
      </c>
      <c r="AB48" t="s">
        <v>1103</v>
      </c>
      <c r="AC48" t="str">
        <f t="shared" si="5"/>
        <v>Yes</v>
      </c>
      <c r="AD48">
        <v>5</v>
      </c>
      <c r="AE48">
        <v>242900</v>
      </c>
      <c r="AF48">
        <v>97160</v>
      </c>
      <c r="AG48">
        <f t="shared" si="6"/>
        <v>145614.9</v>
      </c>
    </row>
    <row r="49" spans="1:33" x14ac:dyDescent="0.25">
      <c r="A49">
        <v>1048</v>
      </c>
      <c r="B49" s="1">
        <v>44582</v>
      </c>
      <c r="C49" s="1">
        <v>44585</v>
      </c>
      <c r="D49" s="1">
        <v>44589</v>
      </c>
      <c r="E49" t="s">
        <v>1066</v>
      </c>
      <c r="F49" t="s">
        <v>77</v>
      </c>
      <c r="G49" t="s">
        <v>1070</v>
      </c>
      <c r="H49" t="str">
        <f t="shared" si="0"/>
        <v>Furniture</v>
      </c>
      <c r="I49">
        <v>2</v>
      </c>
      <c r="J49" t="str">
        <f>VLOOKUP(K49,$AJ$2:$AK$7,2,FALSE)</f>
        <v>S006</v>
      </c>
      <c r="K49" t="s">
        <v>1102</v>
      </c>
      <c r="L49">
        <v>3.5</v>
      </c>
      <c r="M49" t="str">
        <f>IFERROR(VLOOKUP(TRIM(N49),$AP$2:$AQ$12,2,FALSE),"W001")</f>
        <v>W003</v>
      </c>
      <c r="N49" t="s">
        <v>1051</v>
      </c>
      <c r="O49" t="s">
        <v>1059</v>
      </c>
      <c r="P49" t="str">
        <f>VLOOKUP(O49,$AL$2:$AM$12,2,FALSE)</f>
        <v>North</v>
      </c>
      <c r="Q49" t="s">
        <v>1084</v>
      </c>
      <c r="R49">
        <v>241</v>
      </c>
      <c r="S49" t="s">
        <v>1066</v>
      </c>
      <c r="T49">
        <f t="shared" si="1"/>
        <v>2</v>
      </c>
      <c r="U49">
        <v>72.3</v>
      </c>
      <c r="V49">
        <f t="shared" si="2"/>
        <v>6</v>
      </c>
      <c r="W49" t="s">
        <v>1086</v>
      </c>
      <c r="X49" t="s">
        <v>1090</v>
      </c>
      <c r="Y49">
        <f t="shared" si="3"/>
        <v>72.3</v>
      </c>
      <c r="Z49" t="s">
        <v>1108</v>
      </c>
      <c r="AA49" t="str">
        <f t="shared" si="4"/>
        <v>Low</v>
      </c>
      <c r="AB49" t="s">
        <v>1103</v>
      </c>
      <c r="AC49" t="str">
        <f t="shared" si="5"/>
        <v>Yes</v>
      </c>
      <c r="AD49">
        <v>4</v>
      </c>
      <c r="AE49">
        <v>10614</v>
      </c>
      <c r="AF49">
        <v>4245.6000000000004</v>
      </c>
      <c r="AG49">
        <f t="shared" si="6"/>
        <v>6296.0999999999995</v>
      </c>
    </row>
    <row r="50" spans="1:33" x14ac:dyDescent="0.25">
      <c r="A50">
        <v>1049</v>
      </c>
      <c r="B50" s="1">
        <v>45116</v>
      </c>
      <c r="C50" s="1">
        <v>45117</v>
      </c>
      <c r="D50" s="1">
        <v>45121</v>
      </c>
      <c r="E50" t="s">
        <v>1064</v>
      </c>
      <c r="F50" t="s">
        <v>78</v>
      </c>
      <c r="G50" t="s">
        <v>1071</v>
      </c>
      <c r="H50" t="str">
        <f t="shared" si="0"/>
        <v>Clothing</v>
      </c>
      <c r="I50">
        <v>7</v>
      </c>
      <c r="J50" t="str">
        <f>VLOOKUP(K50,$AJ$2:$AK$7,2,FALSE)</f>
        <v>S004</v>
      </c>
      <c r="K50" t="s">
        <v>1100</v>
      </c>
      <c r="L50">
        <v>4.5</v>
      </c>
      <c r="M50" t="str">
        <f>IFERROR(VLOOKUP(TRIM(N50),$AP$2:$AQ$12,2,FALSE),"W001")</f>
        <v>W011</v>
      </c>
      <c r="N50" t="s">
        <v>1059</v>
      </c>
      <c r="O50" t="s">
        <v>1060</v>
      </c>
      <c r="P50" t="str">
        <f>VLOOKUP(O50,$AL$2:$AM$12,2,FALSE)</f>
        <v>North</v>
      </c>
      <c r="Q50" t="s">
        <v>1083</v>
      </c>
      <c r="R50">
        <v>1973</v>
      </c>
      <c r="S50" t="s">
        <v>1078</v>
      </c>
      <c r="T50">
        <f t="shared" si="1"/>
        <v>4</v>
      </c>
      <c r="U50">
        <v>986.5</v>
      </c>
      <c r="V50">
        <f t="shared" si="2"/>
        <v>10</v>
      </c>
      <c r="W50" t="s">
        <v>1087</v>
      </c>
      <c r="X50" t="s">
        <v>1091</v>
      </c>
      <c r="Y50">
        <f t="shared" si="3"/>
        <v>0</v>
      </c>
      <c r="Z50" t="s">
        <v>1109</v>
      </c>
      <c r="AA50" t="str">
        <f t="shared" si="4"/>
        <v>High</v>
      </c>
      <c r="AB50" t="s">
        <v>1103</v>
      </c>
      <c r="AC50" t="str">
        <f t="shared" si="5"/>
        <v>No</v>
      </c>
      <c r="AD50">
        <v>2</v>
      </c>
      <c r="AE50">
        <v>16590</v>
      </c>
      <c r="AF50">
        <v>6636</v>
      </c>
      <c r="AG50">
        <f t="shared" si="6"/>
        <v>8967.5</v>
      </c>
    </row>
    <row r="51" spans="1:33" x14ac:dyDescent="0.25">
      <c r="A51">
        <v>1050</v>
      </c>
      <c r="B51" s="1">
        <v>44844</v>
      </c>
      <c r="C51" s="1">
        <v>44847</v>
      </c>
      <c r="D51" s="1">
        <v>44851</v>
      </c>
      <c r="E51" t="s">
        <v>1065</v>
      </c>
      <c r="F51" t="s">
        <v>79</v>
      </c>
      <c r="G51" t="s">
        <v>1072</v>
      </c>
      <c r="H51" t="str">
        <f t="shared" si="0"/>
        <v>Electronics</v>
      </c>
      <c r="I51">
        <v>8</v>
      </c>
      <c r="J51" t="str">
        <f>VLOOKUP(K51,$AJ$2:$AK$7,2,FALSE)</f>
        <v>S006</v>
      </c>
      <c r="K51" t="s">
        <v>1102</v>
      </c>
      <c r="L51">
        <v>4.7</v>
      </c>
      <c r="M51" t="str">
        <f>IFERROR(VLOOKUP(TRIM(N51),$AP$2:$AQ$12,2,FALSE),"W001")</f>
        <v>W004</v>
      </c>
      <c r="N51" t="s">
        <v>1053</v>
      </c>
      <c r="O51" t="s">
        <v>1060</v>
      </c>
      <c r="P51" t="str">
        <f>VLOOKUP(O51,$AL$2:$AM$12,2,FALSE)</f>
        <v>North</v>
      </c>
      <c r="Q51" t="s">
        <v>1082</v>
      </c>
      <c r="R51">
        <v>572</v>
      </c>
      <c r="S51" t="s">
        <v>1066</v>
      </c>
      <c r="T51">
        <f t="shared" si="1"/>
        <v>2</v>
      </c>
      <c r="U51">
        <v>228.8</v>
      </c>
      <c r="V51">
        <f t="shared" si="2"/>
        <v>8</v>
      </c>
      <c r="W51" t="s">
        <v>1087</v>
      </c>
      <c r="X51" t="s">
        <v>1091</v>
      </c>
      <c r="Y51">
        <f t="shared" si="3"/>
        <v>0</v>
      </c>
      <c r="Z51" t="s">
        <v>1108</v>
      </c>
      <c r="AA51" t="str">
        <f t="shared" si="4"/>
        <v>Medium</v>
      </c>
      <c r="AB51" t="s">
        <v>1103</v>
      </c>
      <c r="AC51" t="str">
        <f t="shared" si="5"/>
        <v>Yes</v>
      </c>
      <c r="AD51">
        <v>4</v>
      </c>
      <c r="AE51">
        <v>98784</v>
      </c>
      <c r="AF51">
        <v>39513.600000000006</v>
      </c>
      <c r="AG51">
        <f t="shared" si="6"/>
        <v>59041.599999999991</v>
      </c>
    </row>
    <row r="52" spans="1:33" x14ac:dyDescent="0.25">
      <c r="A52">
        <v>1051</v>
      </c>
      <c r="B52" s="1">
        <v>46305</v>
      </c>
      <c r="C52" s="1">
        <v>46307</v>
      </c>
      <c r="D52" s="1">
        <v>46311</v>
      </c>
      <c r="E52" t="s">
        <v>1066</v>
      </c>
      <c r="F52" t="s">
        <v>80</v>
      </c>
      <c r="G52" t="s">
        <v>1070</v>
      </c>
      <c r="H52" t="str">
        <f t="shared" si="0"/>
        <v>Furniture</v>
      </c>
      <c r="I52">
        <v>2</v>
      </c>
      <c r="J52" t="str">
        <f>VLOOKUP(K52,$AJ$2:$AK$7,2,FALSE)</f>
        <v>S006</v>
      </c>
      <c r="K52" t="s">
        <v>1102</v>
      </c>
      <c r="L52">
        <v>4</v>
      </c>
      <c r="M52" t="str">
        <f>IFERROR(VLOOKUP(TRIM(N52),$AP$2:$AQ$12,2,FALSE),"W001")</f>
        <v>W009</v>
      </c>
      <c r="N52" t="s">
        <v>1060</v>
      </c>
      <c r="O52" t="s">
        <v>1061</v>
      </c>
      <c r="P52" t="str">
        <f>VLOOKUP(O52,$AL$2:$AM$12,2,FALSE)</f>
        <v>West</v>
      </c>
      <c r="Q52" t="s">
        <v>1080</v>
      </c>
      <c r="R52">
        <v>995</v>
      </c>
      <c r="S52" t="s">
        <v>1078</v>
      </c>
      <c r="T52">
        <f t="shared" si="1"/>
        <v>5</v>
      </c>
      <c r="U52">
        <v>149.25</v>
      </c>
      <c r="V52">
        <f t="shared" si="2"/>
        <v>4</v>
      </c>
      <c r="W52" t="s">
        <v>1088</v>
      </c>
      <c r="X52" t="s">
        <v>1090</v>
      </c>
      <c r="Y52">
        <f t="shared" si="3"/>
        <v>0</v>
      </c>
      <c r="Z52" t="s">
        <v>1108</v>
      </c>
      <c r="AA52" t="str">
        <f t="shared" si="4"/>
        <v>Low</v>
      </c>
      <c r="AB52" t="s">
        <v>1103</v>
      </c>
      <c r="AC52" t="str">
        <f t="shared" si="5"/>
        <v>Yes</v>
      </c>
      <c r="AD52">
        <v>5</v>
      </c>
      <c r="AE52">
        <v>8248</v>
      </c>
      <c r="AF52">
        <v>3299.2000000000003</v>
      </c>
      <c r="AG52">
        <f t="shared" si="6"/>
        <v>4799.5499999999993</v>
      </c>
    </row>
    <row r="53" spans="1:33" x14ac:dyDescent="0.25">
      <c r="A53">
        <v>1052</v>
      </c>
      <c r="B53" s="1">
        <v>44915</v>
      </c>
      <c r="C53" s="1">
        <v>44916</v>
      </c>
      <c r="D53" s="1">
        <v>44920</v>
      </c>
      <c r="E53" t="s">
        <v>1064</v>
      </c>
      <c r="F53" t="s">
        <v>81</v>
      </c>
      <c r="G53" t="s">
        <v>1067</v>
      </c>
      <c r="H53" t="str">
        <f t="shared" si="0"/>
        <v>Clothing</v>
      </c>
      <c r="I53">
        <v>4</v>
      </c>
      <c r="J53" t="str">
        <f>VLOOKUP(K53,$AJ$2:$AK$7,2,FALSE)</f>
        <v>S001</v>
      </c>
      <c r="K53" t="s">
        <v>1097</v>
      </c>
      <c r="L53">
        <v>4.3</v>
      </c>
      <c r="M53" t="str">
        <f>IFERROR(VLOOKUP(TRIM(N53),$AP$2:$AQ$12,2,FALSE),"W001")</f>
        <v>W003</v>
      </c>
      <c r="N53" t="s">
        <v>1051</v>
      </c>
      <c r="O53" t="s">
        <v>1047</v>
      </c>
      <c r="P53" t="str">
        <f>VLOOKUP(O53,$AL$2:$AM$12,2,FALSE)</f>
        <v>West</v>
      </c>
      <c r="Q53" t="s">
        <v>1080</v>
      </c>
      <c r="R53">
        <v>1836</v>
      </c>
      <c r="S53" t="s">
        <v>1078</v>
      </c>
      <c r="T53">
        <f t="shared" si="1"/>
        <v>8</v>
      </c>
      <c r="U53">
        <v>275.39999999999998</v>
      </c>
      <c r="V53">
        <f t="shared" si="2"/>
        <v>4</v>
      </c>
      <c r="W53" t="s">
        <v>1086</v>
      </c>
      <c r="X53" t="s">
        <v>1091</v>
      </c>
      <c r="Y53">
        <f t="shared" si="3"/>
        <v>275.39999999999998</v>
      </c>
      <c r="Z53" t="s">
        <v>1108</v>
      </c>
      <c r="AA53" t="str">
        <f t="shared" si="4"/>
        <v>Low</v>
      </c>
      <c r="AB53" t="s">
        <v>1103</v>
      </c>
      <c r="AC53" t="str">
        <f t="shared" si="5"/>
        <v>Yes</v>
      </c>
      <c r="AD53">
        <v>5</v>
      </c>
      <c r="AE53">
        <v>2840</v>
      </c>
      <c r="AF53">
        <v>1136</v>
      </c>
      <c r="AG53">
        <f t="shared" si="6"/>
        <v>1428.6</v>
      </c>
    </row>
    <row r="54" spans="1:33" x14ac:dyDescent="0.25">
      <c r="A54">
        <v>1053</v>
      </c>
      <c r="B54" s="1">
        <v>44858</v>
      </c>
      <c r="C54" s="1">
        <v>44860</v>
      </c>
      <c r="D54" s="1">
        <v>44863</v>
      </c>
      <c r="E54" t="s">
        <v>1065</v>
      </c>
      <c r="F54" t="s">
        <v>82</v>
      </c>
      <c r="G54" t="s">
        <v>1068</v>
      </c>
      <c r="H54" t="str">
        <f t="shared" si="0"/>
        <v>Electronics</v>
      </c>
      <c r="I54">
        <v>2</v>
      </c>
      <c r="J54" t="str">
        <f>VLOOKUP(K54,$AJ$2:$AK$7,2,FALSE)</f>
        <v>S004</v>
      </c>
      <c r="K54" t="s">
        <v>1100</v>
      </c>
      <c r="L54">
        <v>4.5</v>
      </c>
      <c r="M54" t="str">
        <f>IFERROR(VLOOKUP(TRIM(N54),$AP$2:$AQ$12,2,FALSE),"W001")</f>
        <v>W004</v>
      </c>
      <c r="N54" t="s">
        <v>1053</v>
      </c>
      <c r="O54" t="s">
        <v>1060</v>
      </c>
      <c r="P54" t="str">
        <f>VLOOKUP(O54,$AL$2:$AM$12,2,FALSE)</f>
        <v>North</v>
      </c>
      <c r="Q54" t="s">
        <v>1084</v>
      </c>
      <c r="R54">
        <v>1379</v>
      </c>
      <c r="S54" t="s">
        <v>1078</v>
      </c>
      <c r="T54">
        <f t="shared" si="1"/>
        <v>5</v>
      </c>
      <c r="U54">
        <v>413.7</v>
      </c>
      <c r="V54">
        <f t="shared" si="2"/>
        <v>6</v>
      </c>
      <c r="W54" t="s">
        <v>1086</v>
      </c>
      <c r="X54" t="s">
        <v>1091</v>
      </c>
      <c r="Y54">
        <f t="shared" si="3"/>
        <v>413.7</v>
      </c>
      <c r="Z54" t="s">
        <v>1108</v>
      </c>
      <c r="AA54" t="str">
        <f t="shared" si="4"/>
        <v>Low</v>
      </c>
      <c r="AB54" t="s">
        <v>1103</v>
      </c>
      <c r="AC54" t="str">
        <f t="shared" si="5"/>
        <v>Yes</v>
      </c>
      <c r="AD54">
        <v>4</v>
      </c>
      <c r="AE54">
        <v>100048</v>
      </c>
      <c r="AF54">
        <v>40019.200000000004</v>
      </c>
      <c r="AG54">
        <f t="shared" si="6"/>
        <v>59615.1</v>
      </c>
    </row>
    <row r="55" spans="1:33" x14ac:dyDescent="0.25">
      <c r="A55">
        <v>1054</v>
      </c>
      <c r="B55" s="1">
        <v>45771</v>
      </c>
      <c r="C55" s="1">
        <v>45773</v>
      </c>
      <c r="D55" s="1">
        <v>45780</v>
      </c>
      <c r="E55" t="s">
        <v>1064</v>
      </c>
      <c r="F55" t="s">
        <v>83</v>
      </c>
      <c r="G55" t="s">
        <v>1068</v>
      </c>
      <c r="H55" t="str">
        <f t="shared" si="0"/>
        <v>Electronics</v>
      </c>
      <c r="I55">
        <v>2</v>
      </c>
      <c r="J55" t="str">
        <f>VLOOKUP(K55,$AJ$2:$AK$7,2,FALSE)</f>
        <v>S005</v>
      </c>
      <c r="K55" t="s">
        <v>1101</v>
      </c>
      <c r="L55">
        <v>3.9</v>
      </c>
      <c r="M55" t="str">
        <f>IFERROR(VLOOKUP(TRIM(N55),$AP$2:$AQ$12,2,FALSE),"W001")</f>
        <v>W004</v>
      </c>
      <c r="N55" t="s">
        <v>1053</v>
      </c>
      <c r="O55" t="s">
        <v>1047</v>
      </c>
      <c r="P55" t="str">
        <f>VLOOKUP(O55,$AL$2:$AM$12,2,FALSE)</f>
        <v>West</v>
      </c>
      <c r="Q55" t="s">
        <v>1083</v>
      </c>
      <c r="R55">
        <v>616</v>
      </c>
      <c r="S55" t="s">
        <v>1066</v>
      </c>
      <c r="T55">
        <f t="shared" si="1"/>
        <v>2</v>
      </c>
      <c r="U55">
        <v>308</v>
      </c>
      <c r="V55">
        <f t="shared" si="2"/>
        <v>10</v>
      </c>
      <c r="W55" t="s">
        <v>1087</v>
      </c>
      <c r="X55" t="s">
        <v>1091</v>
      </c>
      <c r="Y55">
        <f t="shared" si="3"/>
        <v>0</v>
      </c>
      <c r="Z55" t="s">
        <v>1108</v>
      </c>
      <c r="AA55" t="str">
        <f t="shared" si="4"/>
        <v>Medium</v>
      </c>
      <c r="AB55" t="s">
        <v>1104</v>
      </c>
      <c r="AC55" t="str">
        <f t="shared" si="5"/>
        <v>Yes</v>
      </c>
      <c r="AD55">
        <v>2</v>
      </c>
      <c r="AE55">
        <v>81280</v>
      </c>
      <c r="AF55">
        <v>32512</v>
      </c>
      <c r="AG55">
        <f t="shared" si="6"/>
        <v>48460</v>
      </c>
    </row>
    <row r="56" spans="1:33" x14ac:dyDescent="0.25">
      <c r="A56">
        <v>1055</v>
      </c>
      <c r="B56" s="1">
        <v>45536</v>
      </c>
      <c r="C56" s="1">
        <v>45538</v>
      </c>
      <c r="D56" s="1">
        <v>45544</v>
      </c>
      <c r="E56" t="s">
        <v>1065</v>
      </c>
      <c r="F56" t="s">
        <v>84</v>
      </c>
      <c r="G56" t="s">
        <v>1067</v>
      </c>
      <c r="H56" t="str">
        <f t="shared" si="0"/>
        <v>Clothing</v>
      </c>
      <c r="I56">
        <v>2</v>
      </c>
      <c r="J56" t="str">
        <f>VLOOKUP(K56,$AJ$2:$AK$7,2,FALSE)</f>
        <v>S002</v>
      </c>
      <c r="K56" t="s">
        <v>1098</v>
      </c>
      <c r="L56">
        <v>3.1</v>
      </c>
      <c r="M56" t="str">
        <f>IFERROR(VLOOKUP(TRIM(N56),$AP$2:$AQ$12,2,FALSE),"W001")</f>
        <v>W007</v>
      </c>
      <c r="N56" t="s">
        <v>1062</v>
      </c>
      <c r="O56" t="s">
        <v>1049</v>
      </c>
      <c r="P56" t="str">
        <f>VLOOKUP(O56,$AL$2:$AM$12,2,FALSE)</f>
        <v>North</v>
      </c>
      <c r="Q56" t="s">
        <v>1082</v>
      </c>
      <c r="R56">
        <v>1108</v>
      </c>
      <c r="S56" t="s">
        <v>1078</v>
      </c>
      <c r="T56">
        <f t="shared" si="1"/>
        <v>3</v>
      </c>
      <c r="U56">
        <v>443.2</v>
      </c>
      <c r="V56">
        <f t="shared" si="2"/>
        <v>8</v>
      </c>
      <c r="W56" t="s">
        <v>1086</v>
      </c>
      <c r="X56" t="s">
        <v>1089</v>
      </c>
      <c r="Y56">
        <f t="shared" si="3"/>
        <v>443.2</v>
      </c>
      <c r="Z56" t="s">
        <v>1109</v>
      </c>
      <c r="AA56" t="str">
        <f t="shared" si="4"/>
        <v>High</v>
      </c>
      <c r="AB56" t="s">
        <v>1104</v>
      </c>
      <c r="AC56" t="str">
        <f t="shared" si="5"/>
        <v>No</v>
      </c>
      <c r="AD56">
        <v>2</v>
      </c>
      <c r="AE56">
        <v>1258</v>
      </c>
      <c r="AF56">
        <v>503.20000000000005</v>
      </c>
      <c r="AG56">
        <f t="shared" si="6"/>
        <v>311.59999999999997</v>
      </c>
    </row>
    <row r="57" spans="1:33" x14ac:dyDescent="0.25">
      <c r="A57">
        <v>1056</v>
      </c>
      <c r="B57" s="1">
        <v>45775</v>
      </c>
      <c r="C57" s="1">
        <v>45777</v>
      </c>
      <c r="D57" s="1">
        <v>45782</v>
      </c>
      <c r="E57" t="s">
        <v>1064</v>
      </c>
      <c r="F57" t="s">
        <v>85</v>
      </c>
      <c r="G57" t="s">
        <v>1070</v>
      </c>
      <c r="H57" t="str">
        <f t="shared" si="0"/>
        <v>Furniture</v>
      </c>
      <c r="I57">
        <v>9</v>
      </c>
      <c r="J57" t="str">
        <f>VLOOKUP(K57,$AJ$2:$AK$7,2,FALSE)</f>
        <v>S003</v>
      </c>
      <c r="K57" t="s">
        <v>1099</v>
      </c>
      <c r="L57">
        <v>3.1</v>
      </c>
      <c r="M57" t="str">
        <f>IFERROR(VLOOKUP(TRIM(N57),$AP$2:$AQ$12,2,FALSE),"W001")</f>
        <v>W007</v>
      </c>
      <c r="N57" t="s">
        <v>1062</v>
      </c>
      <c r="O57" t="s">
        <v>1053</v>
      </c>
      <c r="P57" t="str">
        <f>VLOOKUP(O57,$AL$2:$AM$12,2,FALSE)</f>
        <v>South</v>
      </c>
      <c r="Q57" t="s">
        <v>1084</v>
      </c>
      <c r="R57">
        <v>145</v>
      </c>
      <c r="S57" t="s">
        <v>1079</v>
      </c>
      <c r="T57">
        <f t="shared" si="1"/>
        <v>1</v>
      </c>
      <c r="U57">
        <v>43.5</v>
      </c>
      <c r="V57">
        <f t="shared" si="2"/>
        <v>6</v>
      </c>
      <c r="W57" t="s">
        <v>1088</v>
      </c>
      <c r="X57" t="s">
        <v>1091</v>
      </c>
      <c r="Y57">
        <f t="shared" si="3"/>
        <v>0</v>
      </c>
      <c r="Z57" t="s">
        <v>1108</v>
      </c>
      <c r="AA57" t="str">
        <f t="shared" si="4"/>
        <v>Low</v>
      </c>
      <c r="AB57" t="s">
        <v>1103</v>
      </c>
      <c r="AC57" t="str">
        <f t="shared" si="5"/>
        <v>Yes</v>
      </c>
      <c r="AD57">
        <v>4</v>
      </c>
      <c r="AE57">
        <v>29835</v>
      </c>
      <c r="AF57">
        <v>11934</v>
      </c>
      <c r="AG57">
        <f t="shared" si="6"/>
        <v>17857.5</v>
      </c>
    </row>
    <row r="58" spans="1:33" x14ac:dyDescent="0.25">
      <c r="A58">
        <v>1057</v>
      </c>
      <c r="B58" s="1">
        <v>44487</v>
      </c>
      <c r="C58" s="1">
        <v>44489</v>
      </c>
      <c r="D58" s="1">
        <v>44492</v>
      </c>
      <c r="E58" t="s">
        <v>1065</v>
      </c>
      <c r="F58" t="s">
        <v>86</v>
      </c>
      <c r="G58" t="s">
        <v>1071</v>
      </c>
      <c r="H58" t="str">
        <f t="shared" si="0"/>
        <v>Clothing</v>
      </c>
      <c r="I58">
        <v>1</v>
      </c>
      <c r="J58" t="str">
        <f>VLOOKUP(K58,$AJ$2:$AK$7,2,FALSE)</f>
        <v>S006</v>
      </c>
      <c r="K58" t="s">
        <v>1102</v>
      </c>
      <c r="L58">
        <v>3.3</v>
      </c>
      <c r="M58" t="str">
        <f>IFERROR(VLOOKUP(TRIM(N58),$AP$2:$AQ$12,2,FALSE),"W001")</f>
        <v>W006</v>
      </c>
      <c r="N58" t="s">
        <v>1057</v>
      </c>
      <c r="O58" t="s">
        <v>1062</v>
      </c>
      <c r="P58" t="str">
        <f>VLOOKUP(O58,$AL$2:$AM$12,2,FALSE)</f>
        <v>North</v>
      </c>
      <c r="Q58" t="s">
        <v>1082</v>
      </c>
      <c r="R58">
        <v>1415</v>
      </c>
      <c r="S58" t="s">
        <v>1078</v>
      </c>
      <c r="T58">
        <f t="shared" si="1"/>
        <v>4</v>
      </c>
      <c r="U58">
        <v>566</v>
      </c>
      <c r="V58">
        <f t="shared" si="2"/>
        <v>8</v>
      </c>
      <c r="W58" t="s">
        <v>1088</v>
      </c>
      <c r="X58" t="s">
        <v>1091</v>
      </c>
      <c r="Y58">
        <f t="shared" si="3"/>
        <v>0</v>
      </c>
      <c r="Z58" t="s">
        <v>1109</v>
      </c>
      <c r="AA58" t="str">
        <f t="shared" si="4"/>
        <v>High</v>
      </c>
      <c r="AB58" t="s">
        <v>1103</v>
      </c>
      <c r="AC58" t="str">
        <f t="shared" si="5"/>
        <v>No</v>
      </c>
      <c r="AD58">
        <v>3</v>
      </c>
      <c r="AE58">
        <v>1204</v>
      </c>
      <c r="AF58">
        <v>481.6</v>
      </c>
      <c r="AG58">
        <f t="shared" si="6"/>
        <v>156.39999999999998</v>
      </c>
    </row>
    <row r="59" spans="1:33" x14ac:dyDescent="0.25">
      <c r="A59">
        <v>1058</v>
      </c>
      <c r="B59" s="1">
        <v>45520</v>
      </c>
      <c r="C59" s="1">
        <v>45521</v>
      </c>
      <c r="D59" s="1">
        <v>45525</v>
      </c>
      <c r="E59" t="s">
        <v>1065</v>
      </c>
      <c r="F59" t="s">
        <v>87</v>
      </c>
      <c r="G59" t="s">
        <v>1070</v>
      </c>
      <c r="H59" t="str">
        <f t="shared" si="0"/>
        <v>Furniture</v>
      </c>
      <c r="I59">
        <v>2</v>
      </c>
      <c r="J59" t="str">
        <f>VLOOKUP(K59,$AJ$2:$AK$7,2,FALSE)</f>
        <v>S001</v>
      </c>
      <c r="K59" t="s">
        <v>1097</v>
      </c>
      <c r="L59">
        <v>3.6</v>
      </c>
      <c r="M59" t="str">
        <f>IFERROR(VLOOKUP(TRIM(N59),$AP$2:$AQ$12,2,FALSE),"W001")</f>
        <v>W006</v>
      </c>
      <c r="N59" t="s">
        <v>1057</v>
      </c>
      <c r="O59" t="s">
        <v>1051</v>
      </c>
      <c r="P59" t="str">
        <f>VLOOKUP(O59,$AL$2:$AM$12,2,FALSE)</f>
        <v>West</v>
      </c>
      <c r="Q59" t="s">
        <v>1083</v>
      </c>
      <c r="R59">
        <v>1027</v>
      </c>
      <c r="S59" t="s">
        <v>1078</v>
      </c>
      <c r="T59">
        <f t="shared" si="1"/>
        <v>2</v>
      </c>
      <c r="U59">
        <v>513.5</v>
      </c>
      <c r="V59">
        <f t="shared" si="2"/>
        <v>10</v>
      </c>
      <c r="W59" t="s">
        <v>1087</v>
      </c>
      <c r="X59" t="s">
        <v>1091</v>
      </c>
      <c r="Y59">
        <f t="shared" si="3"/>
        <v>0</v>
      </c>
      <c r="Z59" t="s">
        <v>1108</v>
      </c>
      <c r="AA59" t="str">
        <f t="shared" si="4"/>
        <v>Medium</v>
      </c>
      <c r="AB59" t="s">
        <v>1103</v>
      </c>
      <c r="AC59" t="str">
        <f t="shared" si="5"/>
        <v>Yes</v>
      </c>
      <c r="AD59">
        <v>4</v>
      </c>
      <c r="AE59">
        <v>10340</v>
      </c>
      <c r="AF59">
        <v>4136</v>
      </c>
      <c r="AG59">
        <f t="shared" si="6"/>
        <v>5690.5</v>
      </c>
    </row>
    <row r="60" spans="1:33" x14ac:dyDescent="0.25">
      <c r="A60">
        <v>1059</v>
      </c>
      <c r="B60" s="1">
        <v>45083</v>
      </c>
      <c r="C60" s="1">
        <v>45085</v>
      </c>
      <c r="D60" s="1">
        <v>45092</v>
      </c>
      <c r="E60" t="s">
        <v>1065</v>
      </c>
      <c r="F60" t="s">
        <v>88</v>
      </c>
      <c r="G60" t="s">
        <v>1067</v>
      </c>
      <c r="H60" t="str">
        <f t="shared" si="0"/>
        <v>Clothing</v>
      </c>
      <c r="I60">
        <v>10</v>
      </c>
      <c r="J60" t="str">
        <f>VLOOKUP(K60,$AJ$2:$AK$7,2,FALSE)</f>
        <v>S004</v>
      </c>
      <c r="K60" t="s">
        <v>1100</v>
      </c>
      <c r="L60">
        <v>3.3</v>
      </c>
      <c r="M60" t="str">
        <f>IFERROR(VLOOKUP(TRIM(N60),$AP$2:$AQ$12,2,FALSE),"W001")</f>
        <v>W005</v>
      </c>
      <c r="N60" t="s">
        <v>1055</v>
      </c>
      <c r="O60" t="s">
        <v>1049</v>
      </c>
      <c r="P60" t="str">
        <f>VLOOKUP(O60,$AL$2:$AM$12,2,FALSE)</f>
        <v>North</v>
      </c>
      <c r="Q60" t="s">
        <v>1082</v>
      </c>
      <c r="R60">
        <v>1351</v>
      </c>
      <c r="S60" t="s">
        <v>1078</v>
      </c>
      <c r="T60">
        <f t="shared" si="1"/>
        <v>4</v>
      </c>
      <c r="U60">
        <v>540.4</v>
      </c>
      <c r="V60">
        <f t="shared" si="2"/>
        <v>8</v>
      </c>
      <c r="W60" t="s">
        <v>1087</v>
      </c>
      <c r="X60" t="s">
        <v>1091</v>
      </c>
      <c r="Y60">
        <f t="shared" si="3"/>
        <v>0</v>
      </c>
      <c r="Z60" t="s">
        <v>1109</v>
      </c>
      <c r="AA60" t="str">
        <f t="shared" si="4"/>
        <v>High</v>
      </c>
      <c r="AB60" t="s">
        <v>1103</v>
      </c>
      <c r="AC60" t="str">
        <f t="shared" si="5"/>
        <v>No</v>
      </c>
      <c r="AD60">
        <v>2</v>
      </c>
      <c r="AE60">
        <v>7270</v>
      </c>
      <c r="AF60">
        <v>2908</v>
      </c>
      <c r="AG60">
        <f t="shared" si="6"/>
        <v>3821.6</v>
      </c>
    </row>
    <row r="61" spans="1:33" x14ac:dyDescent="0.25">
      <c r="A61">
        <v>1060</v>
      </c>
      <c r="B61" s="1">
        <v>45504</v>
      </c>
      <c r="C61" s="1">
        <v>45506</v>
      </c>
      <c r="D61" s="1">
        <v>45512</v>
      </c>
      <c r="E61" t="s">
        <v>1064</v>
      </c>
      <c r="F61" t="s">
        <v>89</v>
      </c>
      <c r="G61" t="s">
        <v>1069</v>
      </c>
      <c r="H61" t="str">
        <f t="shared" si="0"/>
        <v>Furniture</v>
      </c>
      <c r="I61">
        <v>8</v>
      </c>
      <c r="J61" t="str">
        <f>VLOOKUP(K61,$AJ$2:$AK$7,2,FALSE)</f>
        <v>S002</v>
      </c>
      <c r="K61" t="s">
        <v>1098</v>
      </c>
      <c r="L61">
        <v>3.1</v>
      </c>
      <c r="M61" t="str">
        <f>IFERROR(VLOOKUP(TRIM(N61),$AP$2:$AQ$12,2,FALSE),"W001")</f>
        <v>W004</v>
      </c>
      <c r="N61" t="s">
        <v>1053</v>
      </c>
      <c r="O61" t="s">
        <v>1062</v>
      </c>
      <c r="P61" t="str">
        <f>VLOOKUP(O61,$AL$2:$AM$12,2,FALSE)</f>
        <v>North</v>
      </c>
      <c r="Q61" t="s">
        <v>1081</v>
      </c>
      <c r="R61">
        <v>761</v>
      </c>
      <c r="S61" t="s">
        <v>1066</v>
      </c>
      <c r="T61">
        <f t="shared" si="1"/>
        <v>4</v>
      </c>
      <c r="U61">
        <v>152.19999999999999</v>
      </c>
      <c r="V61">
        <f t="shared" si="2"/>
        <v>5</v>
      </c>
      <c r="W61" t="s">
        <v>1087</v>
      </c>
      <c r="X61" t="s">
        <v>1089</v>
      </c>
      <c r="Y61">
        <f t="shared" si="3"/>
        <v>0</v>
      </c>
      <c r="Z61" t="s">
        <v>1108</v>
      </c>
      <c r="AA61" t="str">
        <f t="shared" si="4"/>
        <v>Low</v>
      </c>
      <c r="AB61" t="s">
        <v>1103</v>
      </c>
      <c r="AC61" t="str">
        <f t="shared" si="5"/>
        <v>Yes</v>
      </c>
      <c r="AD61">
        <v>5</v>
      </c>
      <c r="AE61">
        <v>93928</v>
      </c>
      <c r="AF61">
        <v>37571.200000000004</v>
      </c>
      <c r="AG61">
        <f t="shared" si="6"/>
        <v>56204.6</v>
      </c>
    </row>
    <row r="62" spans="1:33" x14ac:dyDescent="0.25">
      <c r="A62">
        <v>1061</v>
      </c>
      <c r="B62" s="1">
        <v>45078</v>
      </c>
      <c r="C62" s="1">
        <v>45081</v>
      </c>
      <c r="D62" s="1">
        <v>45088</v>
      </c>
      <c r="E62" t="s">
        <v>1066</v>
      </c>
      <c r="F62" t="s">
        <v>90</v>
      </c>
      <c r="G62" t="s">
        <v>1070</v>
      </c>
      <c r="H62" t="str">
        <f t="shared" si="0"/>
        <v>Furniture</v>
      </c>
      <c r="I62">
        <v>7</v>
      </c>
      <c r="J62" t="str">
        <f>VLOOKUP(K62,$AJ$2:$AK$7,2,FALSE)</f>
        <v>S004</v>
      </c>
      <c r="K62" t="s">
        <v>1100</v>
      </c>
      <c r="L62">
        <v>4.5999999999999996</v>
      </c>
      <c r="M62" t="str">
        <f>IFERROR(VLOOKUP(TRIM(N62),$AP$2:$AQ$12,2,FALSE),"W001")</f>
        <v>W003</v>
      </c>
      <c r="N62" t="s">
        <v>1051</v>
      </c>
      <c r="O62" t="s">
        <v>1059</v>
      </c>
      <c r="P62" t="str">
        <f>VLOOKUP(O62,$AL$2:$AM$12,2,FALSE)</f>
        <v>North</v>
      </c>
      <c r="Q62" t="s">
        <v>1081</v>
      </c>
      <c r="R62">
        <v>1496</v>
      </c>
      <c r="S62" t="s">
        <v>1078</v>
      </c>
      <c r="T62">
        <f t="shared" si="1"/>
        <v>7</v>
      </c>
      <c r="U62">
        <v>299.2</v>
      </c>
      <c r="V62">
        <f t="shared" si="2"/>
        <v>5</v>
      </c>
      <c r="W62" t="s">
        <v>1086</v>
      </c>
      <c r="X62" t="s">
        <v>1091</v>
      </c>
      <c r="Y62">
        <f t="shared" si="3"/>
        <v>299.2</v>
      </c>
      <c r="Z62" t="s">
        <v>1108</v>
      </c>
      <c r="AA62" t="str">
        <f t="shared" si="4"/>
        <v>Low</v>
      </c>
      <c r="AB62" t="s">
        <v>1103</v>
      </c>
      <c r="AC62" t="str">
        <f t="shared" si="5"/>
        <v>Yes</v>
      </c>
      <c r="AD62">
        <v>4</v>
      </c>
      <c r="AE62">
        <v>29708</v>
      </c>
      <c r="AF62">
        <v>11883.2</v>
      </c>
      <c r="AG62">
        <f t="shared" si="6"/>
        <v>17525.599999999999</v>
      </c>
    </row>
    <row r="63" spans="1:33" x14ac:dyDescent="0.25">
      <c r="A63">
        <v>1062</v>
      </c>
      <c r="B63" s="1">
        <v>45443</v>
      </c>
      <c r="C63" s="1">
        <v>45446</v>
      </c>
      <c r="D63" s="1">
        <v>45449</v>
      </c>
      <c r="E63" t="s">
        <v>1066</v>
      </c>
      <c r="F63" t="s">
        <v>91</v>
      </c>
      <c r="G63" t="s">
        <v>1067</v>
      </c>
      <c r="H63" t="str">
        <f t="shared" si="0"/>
        <v>Clothing</v>
      </c>
      <c r="I63">
        <v>6</v>
      </c>
      <c r="J63" t="str">
        <f>VLOOKUP(K63,$AJ$2:$AK$7,2,FALSE)</f>
        <v>S004</v>
      </c>
      <c r="K63" t="s">
        <v>1100</v>
      </c>
      <c r="L63">
        <v>3.5</v>
      </c>
      <c r="M63" t="str">
        <f>IFERROR(VLOOKUP(TRIM(N63),$AP$2:$AQ$12,2,FALSE),"W001")</f>
        <v>W004</v>
      </c>
      <c r="N63" t="s">
        <v>1053</v>
      </c>
      <c r="O63" t="s">
        <v>1061</v>
      </c>
      <c r="P63" t="str">
        <f>VLOOKUP(O63,$AL$2:$AM$12,2,FALSE)</f>
        <v>West</v>
      </c>
      <c r="Q63" t="s">
        <v>1080</v>
      </c>
      <c r="R63">
        <v>1413</v>
      </c>
      <c r="S63" t="s">
        <v>1078</v>
      </c>
      <c r="T63">
        <f t="shared" si="1"/>
        <v>7</v>
      </c>
      <c r="U63">
        <v>211.95</v>
      </c>
      <c r="V63">
        <f t="shared" si="2"/>
        <v>4</v>
      </c>
      <c r="W63" t="s">
        <v>1088</v>
      </c>
      <c r="X63" t="s">
        <v>1091</v>
      </c>
      <c r="Y63">
        <f t="shared" si="3"/>
        <v>0</v>
      </c>
      <c r="Z63" t="s">
        <v>1108</v>
      </c>
      <c r="AA63" t="str">
        <f t="shared" si="4"/>
        <v>Low</v>
      </c>
      <c r="AB63" t="s">
        <v>1103</v>
      </c>
      <c r="AC63" t="str">
        <f t="shared" si="5"/>
        <v>Yes</v>
      </c>
      <c r="AD63">
        <v>4</v>
      </c>
      <c r="AE63">
        <v>3420</v>
      </c>
      <c r="AF63">
        <v>1368</v>
      </c>
      <c r="AG63">
        <f t="shared" si="6"/>
        <v>1840.05</v>
      </c>
    </row>
    <row r="64" spans="1:33" x14ac:dyDescent="0.25">
      <c r="A64">
        <v>1063</v>
      </c>
      <c r="B64" s="1">
        <v>45878</v>
      </c>
      <c r="C64" s="1">
        <v>45879</v>
      </c>
      <c r="D64" s="1">
        <v>45886</v>
      </c>
      <c r="E64" t="s">
        <v>1065</v>
      </c>
      <c r="F64" t="s">
        <v>92</v>
      </c>
      <c r="G64" t="s">
        <v>1071</v>
      </c>
      <c r="H64" t="str">
        <f t="shared" si="0"/>
        <v>Clothing</v>
      </c>
      <c r="I64">
        <v>7</v>
      </c>
      <c r="J64" t="str">
        <f>VLOOKUP(K64,$AJ$2:$AK$7,2,FALSE)</f>
        <v>S002</v>
      </c>
      <c r="K64" t="s">
        <v>1098</v>
      </c>
      <c r="L64">
        <v>3</v>
      </c>
      <c r="M64" t="str">
        <f>IFERROR(VLOOKUP(TRIM(N64),$AP$2:$AQ$12,2,FALSE),"W001")</f>
        <v>W009</v>
      </c>
      <c r="N64" t="s">
        <v>1060</v>
      </c>
      <c r="O64" t="s">
        <v>1062</v>
      </c>
      <c r="P64" t="str">
        <f>VLOOKUP(O64,$AL$2:$AM$12,2,FALSE)</f>
        <v>North</v>
      </c>
      <c r="Q64" t="s">
        <v>1081</v>
      </c>
      <c r="R64">
        <v>952</v>
      </c>
      <c r="S64" t="s">
        <v>1078</v>
      </c>
      <c r="T64">
        <f t="shared" si="1"/>
        <v>5</v>
      </c>
      <c r="U64">
        <v>190.4</v>
      </c>
      <c r="V64">
        <f t="shared" si="2"/>
        <v>5</v>
      </c>
      <c r="W64" t="s">
        <v>1086</v>
      </c>
      <c r="X64" t="s">
        <v>1091</v>
      </c>
      <c r="Y64">
        <f t="shared" si="3"/>
        <v>190.4</v>
      </c>
      <c r="Z64" t="s">
        <v>1108</v>
      </c>
      <c r="AA64" t="str">
        <f t="shared" si="4"/>
        <v>Low</v>
      </c>
      <c r="AB64" t="s">
        <v>1103</v>
      </c>
      <c r="AC64" t="str">
        <f t="shared" si="5"/>
        <v>Yes</v>
      </c>
      <c r="AD64">
        <v>5</v>
      </c>
      <c r="AE64">
        <v>14273</v>
      </c>
      <c r="AF64">
        <v>5709.2000000000007</v>
      </c>
      <c r="AG64">
        <f t="shared" si="6"/>
        <v>8373.4</v>
      </c>
    </row>
    <row r="65" spans="1:33" x14ac:dyDescent="0.25">
      <c r="A65">
        <v>1064</v>
      </c>
      <c r="B65" s="1">
        <v>44851</v>
      </c>
      <c r="C65" s="1">
        <v>44854</v>
      </c>
      <c r="D65" s="1">
        <v>44859</v>
      </c>
      <c r="E65" t="s">
        <v>1065</v>
      </c>
      <c r="F65" t="s">
        <v>93</v>
      </c>
      <c r="G65" t="s">
        <v>1070</v>
      </c>
      <c r="H65" t="str">
        <f t="shared" si="0"/>
        <v>Furniture</v>
      </c>
      <c r="I65">
        <v>7</v>
      </c>
      <c r="J65" t="str">
        <f>VLOOKUP(K65,$AJ$2:$AK$7,2,FALSE)</f>
        <v>S002</v>
      </c>
      <c r="K65" t="s">
        <v>1098</v>
      </c>
      <c r="L65">
        <v>3.4</v>
      </c>
      <c r="M65" t="str">
        <f>IFERROR(VLOOKUP(TRIM(N65),$AP$2:$AQ$12,2,FALSE),"W001")</f>
        <v>W011</v>
      </c>
      <c r="N65" t="s">
        <v>1059</v>
      </c>
      <c r="O65" t="s">
        <v>1062</v>
      </c>
      <c r="P65" t="str">
        <f>VLOOKUP(O65,$AL$2:$AM$12,2,FALSE)</f>
        <v>North</v>
      </c>
      <c r="Q65" t="s">
        <v>1085</v>
      </c>
      <c r="R65">
        <v>1050</v>
      </c>
      <c r="S65" t="s">
        <v>1078</v>
      </c>
      <c r="T65">
        <f t="shared" si="1"/>
        <v>8</v>
      </c>
      <c r="U65">
        <v>105</v>
      </c>
      <c r="V65">
        <f t="shared" si="2"/>
        <v>3</v>
      </c>
      <c r="W65" t="s">
        <v>1088</v>
      </c>
      <c r="X65" t="s">
        <v>1091</v>
      </c>
      <c r="Y65">
        <f t="shared" si="3"/>
        <v>0</v>
      </c>
      <c r="Z65" t="s">
        <v>1108</v>
      </c>
      <c r="AA65" t="str">
        <f t="shared" si="4"/>
        <v>Low</v>
      </c>
      <c r="AB65" t="s">
        <v>1103</v>
      </c>
      <c r="AC65" t="str">
        <f t="shared" si="5"/>
        <v>Yes</v>
      </c>
      <c r="AD65">
        <v>5</v>
      </c>
      <c r="AE65">
        <v>43505</v>
      </c>
      <c r="AF65">
        <v>17402</v>
      </c>
      <c r="AG65">
        <f t="shared" si="6"/>
        <v>25998</v>
      </c>
    </row>
    <row r="66" spans="1:33" x14ac:dyDescent="0.25">
      <c r="A66">
        <v>1065</v>
      </c>
      <c r="B66" s="1">
        <v>44914</v>
      </c>
      <c r="C66" s="1">
        <v>44915</v>
      </c>
      <c r="D66" s="1">
        <v>44917</v>
      </c>
      <c r="E66" t="s">
        <v>1066</v>
      </c>
      <c r="F66" t="s">
        <v>94</v>
      </c>
      <c r="G66" t="s">
        <v>1068</v>
      </c>
      <c r="H66" t="str">
        <f t="shared" si="0"/>
        <v>Electronics</v>
      </c>
      <c r="I66">
        <v>4</v>
      </c>
      <c r="J66" t="str">
        <f>VLOOKUP(K66,$AJ$2:$AK$7,2,FALSE)</f>
        <v>S002</v>
      </c>
      <c r="K66" t="s">
        <v>1098</v>
      </c>
      <c r="L66">
        <v>4.3</v>
      </c>
      <c r="M66" t="str">
        <f>IFERROR(VLOOKUP(TRIM(N66),$AP$2:$AQ$12,2,FALSE),"W001")</f>
        <v>W009</v>
      </c>
      <c r="N66" t="s">
        <v>1060</v>
      </c>
      <c r="O66" t="s">
        <v>1051</v>
      </c>
      <c r="P66" t="str">
        <f>VLOOKUP(O66,$AL$2:$AM$12,2,FALSE)</f>
        <v>West</v>
      </c>
      <c r="Q66" t="s">
        <v>1084</v>
      </c>
      <c r="R66">
        <v>906</v>
      </c>
      <c r="S66" t="s">
        <v>1078</v>
      </c>
      <c r="T66">
        <f t="shared" si="1"/>
        <v>4</v>
      </c>
      <c r="U66">
        <v>271.8</v>
      </c>
      <c r="V66">
        <f t="shared" si="2"/>
        <v>6</v>
      </c>
      <c r="W66" t="s">
        <v>1086</v>
      </c>
      <c r="X66" t="s">
        <v>1089</v>
      </c>
      <c r="Y66">
        <f t="shared" si="3"/>
        <v>271.8</v>
      </c>
      <c r="Z66" t="s">
        <v>1108</v>
      </c>
      <c r="AA66" t="str">
        <f t="shared" si="4"/>
        <v>Low</v>
      </c>
      <c r="AB66" t="s">
        <v>1103</v>
      </c>
      <c r="AC66" t="str">
        <f t="shared" si="5"/>
        <v>Yes</v>
      </c>
      <c r="AD66">
        <v>5</v>
      </c>
      <c r="AE66">
        <v>209412</v>
      </c>
      <c r="AF66">
        <v>83764.800000000003</v>
      </c>
      <c r="AG66">
        <f t="shared" si="6"/>
        <v>125375.4</v>
      </c>
    </row>
    <row r="67" spans="1:33" x14ac:dyDescent="0.25">
      <c r="A67">
        <v>1066</v>
      </c>
      <c r="B67" s="1">
        <v>46152</v>
      </c>
      <c r="C67" s="1">
        <v>46153</v>
      </c>
      <c r="D67" s="1">
        <v>46155</v>
      </c>
      <c r="E67" t="s">
        <v>1064</v>
      </c>
      <c r="F67" t="s">
        <v>95</v>
      </c>
      <c r="G67" t="s">
        <v>1068</v>
      </c>
      <c r="H67" t="str">
        <f t="shared" ref="H67:H130" si="7">IF(OR(G67="Laptop",G67="Mobile"),"Electronics",
IF(OR(G67="T-Shirt",G67="Jeans"),"Clothing",
IF(OR(G67="Table",G67="Chair"),"Furniture","")))</f>
        <v>Electronics</v>
      </c>
      <c r="I67">
        <v>4</v>
      </c>
      <c r="J67" t="str">
        <f>VLOOKUP(K67,$AJ$2:$AK$7,2,FALSE)</f>
        <v>S004</v>
      </c>
      <c r="K67" t="s">
        <v>1100</v>
      </c>
      <c r="L67">
        <v>5</v>
      </c>
      <c r="M67" t="str">
        <f>IFERROR(VLOOKUP(TRIM(N67),$AP$2:$AQ$12,2,FALSE),"W001")</f>
        <v>W010</v>
      </c>
      <c r="N67" t="s">
        <v>1063</v>
      </c>
      <c r="O67" t="s">
        <v>1051</v>
      </c>
      <c r="P67" t="str">
        <f>VLOOKUP(O67,$AL$2:$AM$12,2,FALSE)</f>
        <v>West</v>
      </c>
      <c r="Q67" t="s">
        <v>1080</v>
      </c>
      <c r="R67">
        <v>1288</v>
      </c>
      <c r="S67" t="s">
        <v>1078</v>
      </c>
      <c r="T67">
        <f t="shared" ref="T67:T130" si="8">IF(Q67="Air",ROUND(R67/700,0)+1,
IF(Q67="Express",ROUND(R67/500,0)+1,
IF(Q67="Courier",ROUND(R67/350,0)+1,
IF(Q67="Road",ROUND(R67/250,0)+1,
IF(Q67="Rail",ROUND(R67/300,0)+2,
IF(Q67="Ship",ROUND(R67/200,0)+3,""))))))</f>
        <v>6</v>
      </c>
      <c r="U67">
        <v>193.2</v>
      </c>
      <c r="V67">
        <f t="shared" ref="V67:V130" si="9">IF(Q67="Road",5,
IF(Q67="Rail",4,
IF(Q67="Air",10,
IF(Q67="Ship",3,
IF(Q67="Courier",6,
IF(Q67="Express",8))))))</f>
        <v>4</v>
      </c>
      <c r="W67" t="s">
        <v>1086</v>
      </c>
      <c r="X67" t="s">
        <v>1090</v>
      </c>
      <c r="Y67">
        <f t="shared" ref="Y67:Y130" si="10">IF(W67="COD",U67,0)</f>
        <v>193.2</v>
      </c>
      <c r="Z67" t="s">
        <v>1108</v>
      </c>
      <c r="AA67" t="str">
        <f t="shared" ref="AA67:AA130" si="11">IF(Z67="Delayed","High",
IF(OR(Q67="Air",Q67="Express"),"Medium","Low"))</f>
        <v>Low</v>
      </c>
      <c r="AB67" t="s">
        <v>1103</v>
      </c>
      <c r="AC67" t="str">
        <f t="shared" ref="AC67:AC130" si="12">IF(Z67="Delayed","No","Yes")</f>
        <v>Yes</v>
      </c>
      <c r="AD67">
        <v>5</v>
      </c>
      <c r="AE67">
        <v>240496</v>
      </c>
      <c r="AF67">
        <v>96198.400000000009</v>
      </c>
      <c r="AG67">
        <f t="shared" ref="AG67:AG130" si="13">AE67 - AF67-U67</f>
        <v>144104.39999999997</v>
      </c>
    </row>
    <row r="68" spans="1:33" x14ac:dyDescent="0.25">
      <c r="A68">
        <v>1067</v>
      </c>
      <c r="B68" s="1">
        <v>44213</v>
      </c>
      <c r="C68" s="1">
        <v>44215</v>
      </c>
      <c r="D68" s="1">
        <v>44221</v>
      </c>
      <c r="E68" t="s">
        <v>1066</v>
      </c>
      <c r="F68" t="s">
        <v>96</v>
      </c>
      <c r="G68" t="s">
        <v>1071</v>
      </c>
      <c r="H68" t="str">
        <f t="shared" si="7"/>
        <v>Clothing</v>
      </c>
      <c r="I68">
        <v>9</v>
      </c>
      <c r="J68" t="str">
        <f>VLOOKUP(K68,$AJ$2:$AK$7,2,FALSE)</f>
        <v>S001</v>
      </c>
      <c r="K68" t="s">
        <v>1097</v>
      </c>
      <c r="L68">
        <v>4.0999999999999996</v>
      </c>
      <c r="M68" t="str">
        <f>IFERROR(VLOOKUP(TRIM(N68),$AP$2:$AQ$12,2,FALSE),"W001")</f>
        <v>W008</v>
      </c>
      <c r="N68" t="s">
        <v>1061</v>
      </c>
      <c r="O68" t="s">
        <v>1047</v>
      </c>
      <c r="P68" t="str">
        <f>VLOOKUP(O68,$AL$2:$AM$12,2,FALSE)</f>
        <v>West</v>
      </c>
      <c r="Q68" t="s">
        <v>1083</v>
      </c>
      <c r="R68">
        <v>1286</v>
      </c>
      <c r="S68" t="s">
        <v>1078</v>
      </c>
      <c r="T68">
        <f t="shared" si="8"/>
        <v>3</v>
      </c>
      <c r="U68">
        <v>643</v>
      </c>
      <c r="V68">
        <f t="shared" si="9"/>
        <v>10</v>
      </c>
      <c r="W68" t="s">
        <v>1088</v>
      </c>
      <c r="X68" t="s">
        <v>1090</v>
      </c>
      <c r="Y68">
        <f t="shared" si="10"/>
        <v>0</v>
      </c>
      <c r="Z68" t="s">
        <v>1108</v>
      </c>
      <c r="AA68" t="str">
        <f t="shared" si="11"/>
        <v>Medium</v>
      </c>
      <c r="AB68" t="s">
        <v>1103</v>
      </c>
      <c r="AC68" t="str">
        <f t="shared" si="12"/>
        <v>Yes</v>
      </c>
      <c r="AD68">
        <v>4</v>
      </c>
      <c r="AE68">
        <v>10980</v>
      </c>
      <c r="AF68">
        <v>4392</v>
      </c>
      <c r="AG68">
        <f t="shared" si="13"/>
        <v>5945</v>
      </c>
    </row>
    <row r="69" spans="1:33" x14ac:dyDescent="0.25">
      <c r="A69">
        <v>1068</v>
      </c>
      <c r="B69" s="1">
        <v>46012</v>
      </c>
      <c r="C69" s="1">
        <v>46014</v>
      </c>
      <c r="D69" s="1">
        <v>46019</v>
      </c>
      <c r="E69" t="s">
        <v>1065</v>
      </c>
      <c r="F69" t="s">
        <v>97</v>
      </c>
      <c r="G69" t="s">
        <v>1067</v>
      </c>
      <c r="H69" t="str">
        <f t="shared" si="7"/>
        <v>Clothing</v>
      </c>
      <c r="I69">
        <v>10</v>
      </c>
      <c r="J69" t="str">
        <f>VLOOKUP(K69,$AJ$2:$AK$7,2,FALSE)</f>
        <v>S003</v>
      </c>
      <c r="K69" t="s">
        <v>1099</v>
      </c>
      <c r="L69">
        <v>4.3</v>
      </c>
      <c r="M69" t="str">
        <f>IFERROR(VLOOKUP(TRIM(N69),$AP$2:$AQ$12,2,FALSE),"W001")</f>
        <v>W002</v>
      </c>
      <c r="N69" t="s">
        <v>1049</v>
      </c>
      <c r="O69" t="s">
        <v>1061</v>
      </c>
      <c r="P69" t="str">
        <f>VLOOKUP(O69,$AL$2:$AM$12,2,FALSE)</f>
        <v>West</v>
      </c>
      <c r="Q69" t="s">
        <v>1080</v>
      </c>
      <c r="R69">
        <v>1011</v>
      </c>
      <c r="S69" t="s">
        <v>1078</v>
      </c>
      <c r="T69">
        <f t="shared" si="8"/>
        <v>5</v>
      </c>
      <c r="U69">
        <v>151.65</v>
      </c>
      <c r="V69">
        <f t="shared" si="9"/>
        <v>4</v>
      </c>
      <c r="W69" t="s">
        <v>1086</v>
      </c>
      <c r="X69" t="s">
        <v>1091</v>
      </c>
      <c r="Y69">
        <f t="shared" si="10"/>
        <v>151.65</v>
      </c>
      <c r="Z69" t="s">
        <v>1108</v>
      </c>
      <c r="AA69" t="str">
        <f t="shared" si="11"/>
        <v>Low</v>
      </c>
      <c r="AB69" t="s">
        <v>1103</v>
      </c>
      <c r="AC69" t="str">
        <f t="shared" si="12"/>
        <v>Yes</v>
      </c>
      <c r="AD69">
        <v>5</v>
      </c>
      <c r="AE69">
        <v>14150</v>
      </c>
      <c r="AF69">
        <v>5660</v>
      </c>
      <c r="AG69">
        <f t="shared" si="13"/>
        <v>8338.35</v>
      </c>
    </row>
    <row r="70" spans="1:33" x14ac:dyDescent="0.25">
      <c r="A70">
        <v>1069</v>
      </c>
      <c r="B70" s="1">
        <v>44804</v>
      </c>
      <c r="C70" s="1">
        <v>44806</v>
      </c>
      <c r="D70" s="1">
        <v>44808</v>
      </c>
      <c r="E70" t="s">
        <v>1066</v>
      </c>
      <c r="F70" t="s">
        <v>98</v>
      </c>
      <c r="G70" t="s">
        <v>1069</v>
      </c>
      <c r="H70" t="str">
        <f t="shared" si="7"/>
        <v>Furniture</v>
      </c>
      <c r="I70">
        <v>2</v>
      </c>
      <c r="J70" t="str">
        <f>VLOOKUP(K70,$AJ$2:$AK$7,2,FALSE)</f>
        <v>S001</v>
      </c>
      <c r="K70" t="s">
        <v>1097</v>
      </c>
      <c r="L70">
        <v>4.3</v>
      </c>
      <c r="M70" t="str">
        <f>IFERROR(VLOOKUP(TRIM(N70),$AP$2:$AQ$12,2,FALSE),"W001")</f>
        <v>W005</v>
      </c>
      <c r="N70" t="s">
        <v>1055</v>
      </c>
      <c r="O70" t="s">
        <v>1057</v>
      </c>
      <c r="P70" t="str">
        <f>VLOOKUP(O70,$AL$2:$AM$12,2,FALSE)</f>
        <v>South</v>
      </c>
      <c r="Q70" t="s">
        <v>1083</v>
      </c>
      <c r="R70">
        <v>259</v>
      </c>
      <c r="S70" t="s">
        <v>1066</v>
      </c>
      <c r="T70">
        <f t="shared" si="8"/>
        <v>1</v>
      </c>
      <c r="U70">
        <v>129.5</v>
      </c>
      <c r="V70">
        <f t="shared" si="9"/>
        <v>10</v>
      </c>
      <c r="W70" t="s">
        <v>1086</v>
      </c>
      <c r="X70" t="s">
        <v>1090</v>
      </c>
      <c r="Y70">
        <f t="shared" si="10"/>
        <v>129.5</v>
      </c>
      <c r="Z70" t="s">
        <v>1108</v>
      </c>
      <c r="AA70" t="str">
        <f t="shared" si="11"/>
        <v>Medium</v>
      </c>
      <c r="AB70" t="s">
        <v>1104</v>
      </c>
      <c r="AC70" t="str">
        <f t="shared" si="12"/>
        <v>Yes</v>
      </c>
      <c r="AD70">
        <v>1</v>
      </c>
      <c r="AE70">
        <v>10998</v>
      </c>
      <c r="AF70">
        <v>4399.2</v>
      </c>
      <c r="AG70">
        <f t="shared" si="13"/>
        <v>6469.3</v>
      </c>
    </row>
    <row r="71" spans="1:33" x14ac:dyDescent="0.25">
      <c r="A71">
        <v>1070</v>
      </c>
      <c r="B71" s="1">
        <v>45023</v>
      </c>
      <c r="C71" s="1">
        <v>45026</v>
      </c>
      <c r="D71" s="1">
        <v>45029</v>
      </c>
      <c r="E71" t="s">
        <v>1065</v>
      </c>
      <c r="F71" t="s">
        <v>99</v>
      </c>
      <c r="G71" t="s">
        <v>1068</v>
      </c>
      <c r="H71" t="str">
        <f t="shared" si="7"/>
        <v>Electronics</v>
      </c>
      <c r="I71">
        <v>4</v>
      </c>
      <c r="J71" t="str">
        <f>VLOOKUP(K71,$AJ$2:$AK$7,2,FALSE)</f>
        <v>S005</v>
      </c>
      <c r="K71" t="s">
        <v>1101</v>
      </c>
      <c r="L71">
        <v>3.5</v>
      </c>
      <c r="M71" t="str">
        <f>IFERROR(VLOOKUP(TRIM(N71),$AP$2:$AQ$12,2,FALSE),"W001")</f>
        <v>W010</v>
      </c>
      <c r="N71" t="s">
        <v>1063</v>
      </c>
      <c r="O71" t="s">
        <v>1051</v>
      </c>
      <c r="P71" t="str">
        <f>VLOOKUP(O71,$AL$2:$AM$12,2,FALSE)</f>
        <v>West</v>
      </c>
      <c r="Q71" t="s">
        <v>1080</v>
      </c>
      <c r="R71">
        <v>1185</v>
      </c>
      <c r="S71" t="s">
        <v>1078</v>
      </c>
      <c r="T71">
        <f t="shared" si="8"/>
        <v>6</v>
      </c>
      <c r="U71">
        <v>177.75</v>
      </c>
      <c r="V71">
        <f t="shared" si="9"/>
        <v>4</v>
      </c>
      <c r="W71" t="s">
        <v>1088</v>
      </c>
      <c r="X71" t="s">
        <v>1091</v>
      </c>
      <c r="Y71">
        <f t="shared" si="10"/>
        <v>0</v>
      </c>
      <c r="Z71" t="s">
        <v>1108</v>
      </c>
      <c r="AA71" t="str">
        <f t="shared" si="11"/>
        <v>Low</v>
      </c>
      <c r="AB71" t="s">
        <v>1103</v>
      </c>
      <c r="AC71" t="str">
        <f t="shared" si="12"/>
        <v>Yes</v>
      </c>
      <c r="AD71">
        <v>5</v>
      </c>
      <c r="AE71">
        <v>191100</v>
      </c>
      <c r="AF71">
        <v>76440</v>
      </c>
      <c r="AG71">
        <f t="shared" si="13"/>
        <v>114482.25</v>
      </c>
    </row>
    <row r="72" spans="1:33" x14ac:dyDescent="0.25">
      <c r="A72">
        <v>1071</v>
      </c>
      <c r="B72" s="1">
        <v>44247</v>
      </c>
      <c r="C72" s="1">
        <v>44250</v>
      </c>
      <c r="D72" s="1">
        <v>44253</v>
      </c>
      <c r="E72" t="s">
        <v>1066</v>
      </c>
      <c r="F72" t="s">
        <v>100</v>
      </c>
      <c r="G72" t="s">
        <v>1070</v>
      </c>
      <c r="H72" t="str">
        <f t="shared" si="7"/>
        <v>Furniture</v>
      </c>
      <c r="I72">
        <v>5</v>
      </c>
      <c r="J72" t="str">
        <f>VLOOKUP(K72,$AJ$2:$AK$7,2,FALSE)</f>
        <v>S006</v>
      </c>
      <c r="K72" t="s">
        <v>1102</v>
      </c>
      <c r="L72">
        <v>4.0999999999999996</v>
      </c>
      <c r="M72" t="str">
        <f>IFERROR(VLOOKUP(TRIM(N72),$AP$2:$AQ$12,2,FALSE),"W001")</f>
        <v>W009</v>
      </c>
      <c r="N72" t="s">
        <v>1060</v>
      </c>
      <c r="O72" t="s">
        <v>1055</v>
      </c>
      <c r="P72" t="str">
        <f>VLOOKUP(O72,$AL$2:$AM$12,2,FALSE)</f>
        <v>South</v>
      </c>
      <c r="Q72" t="s">
        <v>1084</v>
      </c>
      <c r="R72">
        <v>1945</v>
      </c>
      <c r="S72" t="s">
        <v>1078</v>
      </c>
      <c r="T72">
        <f t="shared" si="8"/>
        <v>7</v>
      </c>
      <c r="U72">
        <v>583.5</v>
      </c>
      <c r="V72">
        <f t="shared" si="9"/>
        <v>6</v>
      </c>
      <c r="W72" t="s">
        <v>1086</v>
      </c>
      <c r="X72" t="s">
        <v>1089</v>
      </c>
      <c r="Y72">
        <f t="shared" si="10"/>
        <v>583.5</v>
      </c>
      <c r="Z72" t="s">
        <v>1109</v>
      </c>
      <c r="AA72" t="str">
        <f t="shared" si="11"/>
        <v>High</v>
      </c>
      <c r="AB72" t="s">
        <v>1103</v>
      </c>
      <c r="AC72" t="str">
        <f t="shared" si="12"/>
        <v>No</v>
      </c>
      <c r="AD72">
        <v>3</v>
      </c>
      <c r="AE72">
        <v>32530</v>
      </c>
      <c r="AF72">
        <v>13012</v>
      </c>
      <c r="AG72">
        <f t="shared" si="13"/>
        <v>18934.5</v>
      </c>
    </row>
    <row r="73" spans="1:33" x14ac:dyDescent="0.25">
      <c r="A73">
        <v>1072</v>
      </c>
      <c r="B73" s="1">
        <v>45632</v>
      </c>
      <c r="C73" s="1">
        <v>45634</v>
      </c>
      <c r="D73" s="1">
        <v>45637</v>
      </c>
      <c r="E73" t="s">
        <v>1065</v>
      </c>
      <c r="F73" t="s">
        <v>101</v>
      </c>
      <c r="G73" t="s">
        <v>1069</v>
      </c>
      <c r="H73" t="str">
        <f t="shared" si="7"/>
        <v>Furniture</v>
      </c>
      <c r="I73">
        <v>6</v>
      </c>
      <c r="J73" t="str">
        <f>VLOOKUP(K73,$AJ$2:$AK$7,2,FALSE)</f>
        <v>S006</v>
      </c>
      <c r="K73" t="s">
        <v>1102</v>
      </c>
      <c r="L73">
        <v>4.5</v>
      </c>
      <c r="M73" t="str">
        <f>IFERROR(VLOOKUP(TRIM(N73),$AP$2:$AQ$12,2,FALSE),"W001")</f>
        <v>W009</v>
      </c>
      <c r="N73" t="s">
        <v>1060</v>
      </c>
      <c r="O73" t="s">
        <v>1047</v>
      </c>
      <c r="P73" t="str">
        <f>VLOOKUP(O73,$AL$2:$AM$12,2,FALSE)</f>
        <v>West</v>
      </c>
      <c r="Q73" t="s">
        <v>1083</v>
      </c>
      <c r="R73">
        <v>882</v>
      </c>
      <c r="S73" t="s">
        <v>1078</v>
      </c>
      <c r="T73">
        <f t="shared" si="8"/>
        <v>2</v>
      </c>
      <c r="U73">
        <v>441</v>
      </c>
      <c r="V73">
        <f t="shared" si="9"/>
        <v>10</v>
      </c>
      <c r="W73" t="s">
        <v>1087</v>
      </c>
      <c r="X73" t="s">
        <v>1091</v>
      </c>
      <c r="Y73">
        <f t="shared" si="10"/>
        <v>0</v>
      </c>
      <c r="Z73" t="s">
        <v>1108</v>
      </c>
      <c r="AA73" t="str">
        <f t="shared" si="11"/>
        <v>Medium</v>
      </c>
      <c r="AB73" t="s">
        <v>1103</v>
      </c>
      <c r="AC73" t="str">
        <f t="shared" si="12"/>
        <v>Yes</v>
      </c>
      <c r="AD73">
        <v>4</v>
      </c>
      <c r="AE73">
        <v>53190</v>
      </c>
      <c r="AF73">
        <v>21276</v>
      </c>
      <c r="AG73">
        <f t="shared" si="13"/>
        <v>31473</v>
      </c>
    </row>
    <row r="74" spans="1:33" x14ac:dyDescent="0.25">
      <c r="A74">
        <v>1073</v>
      </c>
      <c r="B74" s="1">
        <v>44734</v>
      </c>
      <c r="C74" s="1">
        <v>44737</v>
      </c>
      <c r="D74" s="1">
        <v>44741</v>
      </c>
      <c r="E74" t="s">
        <v>1065</v>
      </c>
      <c r="F74" t="s">
        <v>102</v>
      </c>
      <c r="G74" t="s">
        <v>1071</v>
      </c>
      <c r="H74" t="str">
        <f t="shared" si="7"/>
        <v>Clothing</v>
      </c>
      <c r="I74">
        <v>4</v>
      </c>
      <c r="J74" t="str">
        <f>VLOOKUP(K74,$AJ$2:$AK$7,2,FALSE)</f>
        <v>S001</v>
      </c>
      <c r="K74" t="s">
        <v>1097</v>
      </c>
      <c r="L74">
        <v>4.0999999999999996</v>
      </c>
      <c r="M74" t="str">
        <f>IFERROR(VLOOKUP(TRIM(N74),$AP$2:$AQ$12,2,FALSE),"W001")</f>
        <v>W009</v>
      </c>
      <c r="N74" t="s">
        <v>1060</v>
      </c>
      <c r="O74" t="s">
        <v>1063</v>
      </c>
      <c r="P74" t="str">
        <f>VLOOKUP(O74,$AL$2:$AM$12,2,FALSE)</f>
        <v>South</v>
      </c>
      <c r="Q74" t="s">
        <v>1083</v>
      </c>
      <c r="R74">
        <v>928</v>
      </c>
      <c r="S74" t="s">
        <v>1078</v>
      </c>
      <c r="T74">
        <f t="shared" si="8"/>
        <v>2</v>
      </c>
      <c r="U74">
        <v>464</v>
      </c>
      <c r="V74">
        <f t="shared" si="9"/>
        <v>10</v>
      </c>
      <c r="W74" t="s">
        <v>1088</v>
      </c>
      <c r="X74" t="s">
        <v>1091</v>
      </c>
      <c r="Y74">
        <f t="shared" si="10"/>
        <v>0</v>
      </c>
      <c r="Z74" t="s">
        <v>1108</v>
      </c>
      <c r="AA74" t="str">
        <f t="shared" si="11"/>
        <v>Medium</v>
      </c>
      <c r="AB74" t="s">
        <v>1103</v>
      </c>
      <c r="AC74" t="str">
        <f t="shared" si="12"/>
        <v>Yes</v>
      </c>
      <c r="AD74">
        <v>5</v>
      </c>
      <c r="AE74">
        <v>5468</v>
      </c>
      <c r="AF74">
        <v>2187.2000000000003</v>
      </c>
      <c r="AG74">
        <f t="shared" si="13"/>
        <v>2816.7999999999997</v>
      </c>
    </row>
    <row r="75" spans="1:33" x14ac:dyDescent="0.25">
      <c r="A75">
        <v>1074</v>
      </c>
      <c r="B75" s="1">
        <v>44311</v>
      </c>
      <c r="C75" s="1">
        <v>44313</v>
      </c>
      <c r="D75" s="1">
        <v>44316</v>
      </c>
      <c r="E75" t="s">
        <v>1065</v>
      </c>
      <c r="F75" t="s">
        <v>103</v>
      </c>
      <c r="G75" t="s">
        <v>1070</v>
      </c>
      <c r="H75" t="str">
        <f t="shared" si="7"/>
        <v>Furniture</v>
      </c>
      <c r="I75">
        <v>2</v>
      </c>
      <c r="J75" t="str">
        <f>VLOOKUP(K75,$AJ$2:$AK$7,2,FALSE)</f>
        <v>S004</v>
      </c>
      <c r="K75" t="s">
        <v>1100</v>
      </c>
      <c r="L75">
        <v>4.7</v>
      </c>
      <c r="M75" t="str">
        <f>IFERROR(VLOOKUP(TRIM(N75),$AP$2:$AQ$12,2,FALSE),"W001")</f>
        <v>W010</v>
      </c>
      <c r="N75" t="s">
        <v>1063</v>
      </c>
      <c r="O75" t="s">
        <v>1051</v>
      </c>
      <c r="P75" t="str">
        <f>VLOOKUP(O75,$AL$2:$AM$12,2,FALSE)</f>
        <v>West</v>
      </c>
      <c r="Q75" t="s">
        <v>1084</v>
      </c>
      <c r="R75">
        <v>175</v>
      </c>
      <c r="S75" t="s">
        <v>1079</v>
      </c>
      <c r="T75">
        <f t="shared" si="8"/>
        <v>2</v>
      </c>
      <c r="U75">
        <v>52.5</v>
      </c>
      <c r="V75">
        <f t="shared" si="9"/>
        <v>6</v>
      </c>
      <c r="W75" t="s">
        <v>1088</v>
      </c>
      <c r="X75" t="s">
        <v>1091</v>
      </c>
      <c r="Y75">
        <f t="shared" si="10"/>
        <v>0</v>
      </c>
      <c r="Z75" t="s">
        <v>1108</v>
      </c>
      <c r="AA75" t="str">
        <f t="shared" si="11"/>
        <v>Low</v>
      </c>
      <c r="AB75" t="s">
        <v>1103</v>
      </c>
      <c r="AC75" t="str">
        <f t="shared" si="12"/>
        <v>Yes</v>
      </c>
      <c r="AD75">
        <v>4</v>
      </c>
      <c r="AE75">
        <v>10764</v>
      </c>
      <c r="AF75">
        <v>4305.6000000000004</v>
      </c>
      <c r="AG75">
        <f t="shared" si="13"/>
        <v>6405.9</v>
      </c>
    </row>
    <row r="76" spans="1:33" x14ac:dyDescent="0.25">
      <c r="A76">
        <v>1075</v>
      </c>
      <c r="B76" s="1">
        <v>45792</v>
      </c>
      <c r="C76" s="1">
        <v>45793</v>
      </c>
      <c r="D76" s="1">
        <v>45796</v>
      </c>
      <c r="E76" t="s">
        <v>1064</v>
      </c>
      <c r="F76" t="s">
        <v>104</v>
      </c>
      <c r="G76" t="s">
        <v>1067</v>
      </c>
      <c r="H76" t="str">
        <f t="shared" si="7"/>
        <v>Clothing</v>
      </c>
      <c r="I76">
        <v>1</v>
      </c>
      <c r="J76" t="str">
        <f>VLOOKUP(K76,$AJ$2:$AK$7,2,FALSE)</f>
        <v>S001</v>
      </c>
      <c r="K76" t="s">
        <v>1097</v>
      </c>
      <c r="L76">
        <v>4.7</v>
      </c>
      <c r="M76" t="str">
        <f>IFERROR(VLOOKUP(TRIM(N76),$AP$2:$AQ$12,2,FALSE),"W001")</f>
        <v>W007</v>
      </c>
      <c r="N76" t="s">
        <v>1062</v>
      </c>
      <c r="O76" t="s">
        <v>1063</v>
      </c>
      <c r="P76" t="str">
        <f>VLOOKUP(O76,$AL$2:$AM$12,2,FALSE)</f>
        <v>South</v>
      </c>
      <c r="Q76" t="s">
        <v>1082</v>
      </c>
      <c r="R76">
        <v>254</v>
      </c>
      <c r="S76" t="s">
        <v>1066</v>
      </c>
      <c r="T76">
        <f t="shared" si="8"/>
        <v>2</v>
      </c>
      <c r="U76">
        <v>101.6</v>
      </c>
      <c r="V76">
        <f t="shared" si="9"/>
        <v>8</v>
      </c>
      <c r="W76" t="s">
        <v>1087</v>
      </c>
      <c r="X76" t="s">
        <v>1089</v>
      </c>
      <c r="Y76">
        <f t="shared" si="10"/>
        <v>0</v>
      </c>
      <c r="Z76" t="s">
        <v>1108</v>
      </c>
      <c r="AA76" t="str">
        <f t="shared" si="11"/>
        <v>Medium</v>
      </c>
      <c r="AB76" t="s">
        <v>1103</v>
      </c>
      <c r="AC76" t="str">
        <f t="shared" si="12"/>
        <v>Yes</v>
      </c>
      <c r="AD76">
        <v>5</v>
      </c>
      <c r="AE76">
        <v>551</v>
      </c>
      <c r="AF76">
        <v>220.4</v>
      </c>
      <c r="AG76">
        <f t="shared" si="13"/>
        <v>229.00000000000003</v>
      </c>
    </row>
    <row r="77" spans="1:33" x14ac:dyDescent="0.25">
      <c r="A77">
        <v>1076</v>
      </c>
      <c r="B77" s="1">
        <v>45859</v>
      </c>
      <c r="C77" s="1">
        <v>45862</v>
      </c>
      <c r="D77" s="1">
        <v>45869</v>
      </c>
      <c r="E77" t="s">
        <v>1065</v>
      </c>
      <c r="F77" t="s">
        <v>105</v>
      </c>
      <c r="G77" t="s">
        <v>1067</v>
      </c>
      <c r="H77" t="str">
        <f t="shared" si="7"/>
        <v>Clothing</v>
      </c>
      <c r="I77">
        <v>10</v>
      </c>
      <c r="J77" t="str">
        <f>VLOOKUP(K77,$AJ$2:$AK$7,2,FALSE)</f>
        <v>S006</v>
      </c>
      <c r="K77" t="s">
        <v>1102</v>
      </c>
      <c r="L77">
        <v>4.2</v>
      </c>
      <c r="M77" t="str">
        <f>IFERROR(VLOOKUP(TRIM(N77),$AP$2:$AQ$12,2,FALSE),"W001")</f>
        <v>W004</v>
      </c>
      <c r="N77" t="s">
        <v>1053</v>
      </c>
      <c r="O77" t="s">
        <v>1059</v>
      </c>
      <c r="P77" t="str">
        <f>VLOOKUP(O77,$AL$2:$AM$12,2,FALSE)</f>
        <v>North</v>
      </c>
      <c r="Q77" t="s">
        <v>1080</v>
      </c>
      <c r="R77">
        <v>592</v>
      </c>
      <c r="S77" t="s">
        <v>1066</v>
      </c>
      <c r="T77">
        <f t="shared" si="8"/>
        <v>4</v>
      </c>
      <c r="U77">
        <v>88.8</v>
      </c>
      <c r="V77">
        <f t="shared" si="9"/>
        <v>4</v>
      </c>
      <c r="W77" t="s">
        <v>1086</v>
      </c>
      <c r="X77" t="s">
        <v>1091</v>
      </c>
      <c r="Y77">
        <f t="shared" si="10"/>
        <v>88.8</v>
      </c>
      <c r="Z77" t="s">
        <v>1108</v>
      </c>
      <c r="AA77" t="str">
        <f t="shared" si="11"/>
        <v>Low</v>
      </c>
      <c r="AB77" t="s">
        <v>1103</v>
      </c>
      <c r="AC77" t="str">
        <f t="shared" si="12"/>
        <v>Yes</v>
      </c>
      <c r="AD77">
        <v>5</v>
      </c>
      <c r="AE77">
        <v>13630</v>
      </c>
      <c r="AF77">
        <v>5452</v>
      </c>
      <c r="AG77">
        <f t="shared" si="13"/>
        <v>8089.2</v>
      </c>
    </row>
    <row r="78" spans="1:33" x14ac:dyDescent="0.25">
      <c r="A78">
        <v>1077</v>
      </c>
      <c r="B78" s="1">
        <v>45773</v>
      </c>
      <c r="C78" s="1">
        <v>45774</v>
      </c>
      <c r="D78" s="1">
        <v>45779</v>
      </c>
      <c r="E78" t="s">
        <v>1064</v>
      </c>
      <c r="F78" t="s">
        <v>106</v>
      </c>
      <c r="G78" t="s">
        <v>1072</v>
      </c>
      <c r="H78" t="str">
        <f t="shared" si="7"/>
        <v>Electronics</v>
      </c>
      <c r="I78">
        <v>5</v>
      </c>
      <c r="J78" t="str">
        <f>VLOOKUP(K78,$AJ$2:$AK$7,2,FALSE)</f>
        <v>S005</v>
      </c>
      <c r="K78" t="s">
        <v>1101</v>
      </c>
      <c r="L78">
        <v>4.0999999999999996</v>
      </c>
      <c r="M78" t="str">
        <f>IFERROR(VLOOKUP(TRIM(N78),$AP$2:$AQ$12,2,FALSE),"W001")</f>
        <v>W004</v>
      </c>
      <c r="N78" t="s">
        <v>1053</v>
      </c>
      <c r="O78" t="s">
        <v>1062</v>
      </c>
      <c r="P78" t="str">
        <f>VLOOKUP(O78,$AL$2:$AM$12,2,FALSE)</f>
        <v>North</v>
      </c>
      <c r="Q78" t="s">
        <v>1084</v>
      </c>
      <c r="R78">
        <v>1000</v>
      </c>
      <c r="S78" t="s">
        <v>1078</v>
      </c>
      <c r="T78">
        <f t="shared" si="8"/>
        <v>4</v>
      </c>
      <c r="U78">
        <v>300</v>
      </c>
      <c r="V78">
        <f t="shared" si="9"/>
        <v>6</v>
      </c>
      <c r="W78" t="s">
        <v>1086</v>
      </c>
      <c r="X78" t="s">
        <v>1090</v>
      </c>
      <c r="Y78">
        <f t="shared" si="10"/>
        <v>300</v>
      </c>
      <c r="Z78" t="s">
        <v>1108</v>
      </c>
      <c r="AA78" t="str">
        <f t="shared" si="11"/>
        <v>Low</v>
      </c>
      <c r="AB78" t="s">
        <v>1103</v>
      </c>
      <c r="AC78" t="str">
        <f t="shared" si="12"/>
        <v>Yes</v>
      </c>
      <c r="AD78">
        <v>5</v>
      </c>
      <c r="AE78">
        <v>75700</v>
      </c>
      <c r="AF78">
        <v>30280</v>
      </c>
      <c r="AG78">
        <f t="shared" si="13"/>
        <v>45120</v>
      </c>
    </row>
    <row r="79" spans="1:33" x14ac:dyDescent="0.25">
      <c r="A79">
        <v>1078</v>
      </c>
      <c r="B79" s="1">
        <v>44429</v>
      </c>
      <c r="C79" s="1">
        <v>44432</v>
      </c>
      <c r="D79" s="1">
        <v>44438</v>
      </c>
      <c r="E79" t="s">
        <v>1066</v>
      </c>
      <c r="F79" t="s">
        <v>107</v>
      </c>
      <c r="G79" t="s">
        <v>1067</v>
      </c>
      <c r="H79" t="str">
        <f t="shared" si="7"/>
        <v>Clothing</v>
      </c>
      <c r="I79">
        <v>8</v>
      </c>
      <c r="J79" t="str">
        <f>VLOOKUP(K79,$AJ$2:$AK$7,2,FALSE)</f>
        <v>S002</v>
      </c>
      <c r="K79" t="s">
        <v>1098</v>
      </c>
      <c r="L79">
        <v>5</v>
      </c>
      <c r="M79" t="str">
        <f>IFERROR(VLOOKUP(TRIM(N79),$AP$2:$AQ$12,2,FALSE),"W001")</f>
        <v>W009</v>
      </c>
      <c r="N79" t="s">
        <v>1060</v>
      </c>
      <c r="O79" t="s">
        <v>1057</v>
      </c>
      <c r="P79" t="str">
        <f>VLOOKUP(O79,$AL$2:$AM$12,2,FALSE)</f>
        <v>South</v>
      </c>
      <c r="Q79" t="s">
        <v>1084</v>
      </c>
      <c r="R79">
        <v>1575</v>
      </c>
      <c r="S79" t="s">
        <v>1078</v>
      </c>
      <c r="T79">
        <f t="shared" si="8"/>
        <v>6</v>
      </c>
      <c r="U79">
        <v>472.5</v>
      </c>
      <c r="V79">
        <f t="shared" si="9"/>
        <v>6</v>
      </c>
      <c r="W79" t="s">
        <v>1086</v>
      </c>
      <c r="X79" t="s">
        <v>1089</v>
      </c>
      <c r="Y79">
        <f t="shared" si="10"/>
        <v>472.5</v>
      </c>
      <c r="Z79" t="s">
        <v>1109</v>
      </c>
      <c r="AA79" t="str">
        <f t="shared" si="11"/>
        <v>High</v>
      </c>
      <c r="AB79" t="s">
        <v>1103</v>
      </c>
      <c r="AC79" t="str">
        <f t="shared" si="12"/>
        <v>No</v>
      </c>
      <c r="AD79">
        <v>3</v>
      </c>
      <c r="AE79">
        <v>9856</v>
      </c>
      <c r="AF79">
        <v>3942.4</v>
      </c>
      <c r="AG79">
        <f t="shared" si="13"/>
        <v>5441.1</v>
      </c>
    </row>
    <row r="80" spans="1:33" x14ac:dyDescent="0.25">
      <c r="A80">
        <v>1079</v>
      </c>
      <c r="B80" s="1">
        <v>44709</v>
      </c>
      <c r="C80" s="1">
        <v>44711</v>
      </c>
      <c r="D80" s="1">
        <v>44716</v>
      </c>
      <c r="E80" t="s">
        <v>1066</v>
      </c>
      <c r="F80" t="s">
        <v>108</v>
      </c>
      <c r="G80" t="s">
        <v>1068</v>
      </c>
      <c r="H80" t="str">
        <f t="shared" si="7"/>
        <v>Electronics</v>
      </c>
      <c r="I80">
        <v>3</v>
      </c>
      <c r="J80" t="str">
        <f>VLOOKUP(K80,$AJ$2:$AK$7,2,FALSE)</f>
        <v>S005</v>
      </c>
      <c r="K80" t="s">
        <v>1101</v>
      </c>
      <c r="L80">
        <v>4.3</v>
      </c>
      <c r="M80" t="str">
        <f>IFERROR(VLOOKUP(TRIM(N80),$AP$2:$AQ$12,2,FALSE),"W001")</f>
        <v>W007</v>
      </c>
      <c r="N80" t="s">
        <v>1062</v>
      </c>
      <c r="O80" t="s">
        <v>1060</v>
      </c>
      <c r="P80" t="str">
        <f>VLOOKUP(O80,$AL$2:$AM$12,2,FALSE)</f>
        <v>North</v>
      </c>
      <c r="Q80" t="s">
        <v>1081</v>
      </c>
      <c r="R80">
        <v>718</v>
      </c>
      <c r="S80" t="s">
        <v>1066</v>
      </c>
      <c r="T80">
        <f t="shared" si="8"/>
        <v>4</v>
      </c>
      <c r="U80">
        <v>143.6</v>
      </c>
      <c r="V80">
        <f t="shared" si="9"/>
        <v>5</v>
      </c>
      <c r="W80" t="s">
        <v>1087</v>
      </c>
      <c r="X80" t="s">
        <v>1091</v>
      </c>
      <c r="Y80">
        <f t="shared" si="10"/>
        <v>0</v>
      </c>
      <c r="Z80" t="s">
        <v>1108</v>
      </c>
      <c r="AA80" t="str">
        <f t="shared" si="11"/>
        <v>Low</v>
      </c>
      <c r="AB80" t="s">
        <v>1103</v>
      </c>
      <c r="AC80" t="str">
        <f t="shared" si="12"/>
        <v>Yes</v>
      </c>
      <c r="AD80">
        <v>4</v>
      </c>
      <c r="AE80">
        <v>196017</v>
      </c>
      <c r="AF80">
        <v>78406.8</v>
      </c>
      <c r="AG80">
        <f t="shared" si="13"/>
        <v>117466.59999999999</v>
      </c>
    </row>
    <row r="81" spans="1:33" x14ac:dyDescent="0.25">
      <c r="A81">
        <v>1080</v>
      </c>
      <c r="B81" s="1">
        <v>44467</v>
      </c>
      <c r="C81" s="1">
        <v>44468</v>
      </c>
      <c r="D81" s="1">
        <v>44473</v>
      </c>
      <c r="E81" t="s">
        <v>1064</v>
      </c>
      <c r="F81" t="s">
        <v>109</v>
      </c>
      <c r="G81" t="s">
        <v>1072</v>
      </c>
      <c r="H81" t="str">
        <f t="shared" si="7"/>
        <v>Electronics</v>
      </c>
      <c r="I81">
        <v>4</v>
      </c>
      <c r="J81" t="str">
        <f>VLOOKUP(K81,$AJ$2:$AK$7,2,FALSE)</f>
        <v>S005</v>
      </c>
      <c r="K81" t="s">
        <v>1101</v>
      </c>
      <c r="L81">
        <v>4.9000000000000004</v>
      </c>
      <c r="M81" t="str">
        <f>IFERROR(VLOOKUP(TRIM(N81),$AP$2:$AQ$12,2,FALSE),"W001")</f>
        <v>W007</v>
      </c>
      <c r="N81" t="s">
        <v>1062</v>
      </c>
      <c r="O81" t="s">
        <v>1055</v>
      </c>
      <c r="P81" t="str">
        <f>VLOOKUP(O81,$AL$2:$AM$12,2,FALSE)</f>
        <v>South</v>
      </c>
      <c r="Q81" t="s">
        <v>1080</v>
      </c>
      <c r="R81">
        <v>320</v>
      </c>
      <c r="S81" t="s">
        <v>1066</v>
      </c>
      <c r="T81">
        <f t="shared" si="8"/>
        <v>3</v>
      </c>
      <c r="U81">
        <v>48</v>
      </c>
      <c r="V81">
        <f t="shared" si="9"/>
        <v>4</v>
      </c>
      <c r="W81" t="s">
        <v>1086</v>
      </c>
      <c r="X81" t="s">
        <v>1091</v>
      </c>
      <c r="Y81">
        <f t="shared" si="10"/>
        <v>48</v>
      </c>
      <c r="Z81" t="s">
        <v>1108</v>
      </c>
      <c r="AA81" t="str">
        <f t="shared" si="11"/>
        <v>Low</v>
      </c>
      <c r="AB81" t="s">
        <v>1103</v>
      </c>
      <c r="AC81" t="str">
        <f t="shared" si="12"/>
        <v>Yes</v>
      </c>
      <c r="AD81">
        <v>5</v>
      </c>
      <c r="AE81">
        <v>70204</v>
      </c>
      <c r="AF81">
        <v>28081.600000000002</v>
      </c>
      <c r="AG81">
        <f t="shared" si="13"/>
        <v>42074.399999999994</v>
      </c>
    </row>
    <row r="82" spans="1:33" x14ac:dyDescent="0.25">
      <c r="A82">
        <v>1081</v>
      </c>
      <c r="B82" s="1">
        <v>45494</v>
      </c>
      <c r="C82" s="1">
        <v>45497</v>
      </c>
      <c r="D82" s="1">
        <v>45499</v>
      </c>
      <c r="E82" t="s">
        <v>1066</v>
      </c>
      <c r="F82" t="s">
        <v>110</v>
      </c>
      <c r="G82" t="s">
        <v>1071</v>
      </c>
      <c r="H82" t="str">
        <f t="shared" si="7"/>
        <v>Clothing</v>
      </c>
      <c r="I82">
        <v>9</v>
      </c>
      <c r="J82" t="str">
        <f>VLOOKUP(K82,$AJ$2:$AK$7,2,FALSE)</f>
        <v>S005</v>
      </c>
      <c r="K82" t="s">
        <v>1101</v>
      </c>
      <c r="L82">
        <v>3.7</v>
      </c>
      <c r="M82" t="str">
        <f>IFERROR(VLOOKUP(TRIM(N82),$AP$2:$AQ$12,2,FALSE),"W001")</f>
        <v>W005</v>
      </c>
      <c r="N82" t="s">
        <v>1055</v>
      </c>
      <c r="O82" t="s">
        <v>1063</v>
      </c>
      <c r="P82" t="str">
        <f>VLOOKUP(O82,$AL$2:$AM$12,2,FALSE)</f>
        <v>South</v>
      </c>
      <c r="Q82" t="s">
        <v>1084</v>
      </c>
      <c r="R82">
        <v>1929</v>
      </c>
      <c r="S82" t="s">
        <v>1078</v>
      </c>
      <c r="T82">
        <f t="shared" si="8"/>
        <v>7</v>
      </c>
      <c r="U82">
        <v>578.70000000000005</v>
      </c>
      <c r="V82">
        <f t="shared" si="9"/>
        <v>6</v>
      </c>
      <c r="W82" t="s">
        <v>1086</v>
      </c>
      <c r="X82" t="s">
        <v>1091</v>
      </c>
      <c r="Y82">
        <f t="shared" si="10"/>
        <v>578.70000000000005</v>
      </c>
      <c r="Z82" t="s">
        <v>1109</v>
      </c>
      <c r="AA82" t="str">
        <f t="shared" si="11"/>
        <v>High</v>
      </c>
      <c r="AB82" t="s">
        <v>1104</v>
      </c>
      <c r="AC82" t="str">
        <f t="shared" si="12"/>
        <v>No</v>
      </c>
      <c r="AD82">
        <v>1</v>
      </c>
      <c r="AE82">
        <v>21906</v>
      </c>
      <c r="AF82">
        <v>8762.4</v>
      </c>
      <c r="AG82">
        <f t="shared" si="13"/>
        <v>12564.9</v>
      </c>
    </row>
    <row r="83" spans="1:33" x14ac:dyDescent="0.25">
      <c r="A83">
        <v>1082</v>
      </c>
      <c r="B83" s="1">
        <v>45688</v>
      </c>
      <c r="C83" s="1">
        <v>45690</v>
      </c>
      <c r="D83" s="1">
        <v>45696</v>
      </c>
      <c r="E83" t="s">
        <v>1064</v>
      </c>
      <c r="F83" t="s">
        <v>111</v>
      </c>
      <c r="G83" t="s">
        <v>1072</v>
      </c>
      <c r="H83" t="str">
        <f t="shared" si="7"/>
        <v>Electronics</v>
      </c>
      <c r="I83">
        <v>2</v>
      </c>
      <c r="J83" t="str">
        <f>VLOOKUP(K83,$AJ$2:$AK$7,2,FALSE)</f>
        <v>S001</v>
      </c>
      <c r="K83" t="s">
        <v>1097</v>
      </c>
      <c r="L83">
        <v>5</v>
      </c>
      <c r="M83" t="str">
        <f>IFERROR(VLOOKUP(TRIM(N83),$AP$2:$AQ$12,2,FALSE),"W001")</f>
        <v>W006</v>
      </c>
      <c r="N83" t="s">
        <v>1057</v>
      </c>
      <c r="O83" t="s">
        <v>1055</v>
      </c>
      <c r="P83" t="str">
        <f>VLOOKUP(O83,$AL$2:$AM$12,2,FALSE)</f>
        <v>South</v>
      </c>
      <c r="Q83" t="s">
        <v>1081</v>
      </c>
      <c r="R83">
        <v>617</v>
      </c>
      <c r="S83" t="s">
        <v>1066</v>
      </c>
      <c r="T83">
        <f t="shared" si="8"/>
        <v>3</v>
      </c>
      <c r="U83">
        <v>123.4</v>
      </c>
      <c r="V83">
        <f t="shared" si="9"/>
        <v>5</v>
      </c>
      <c r="W83" t="s">
        <v>1088</v>
      </c>
      <c r="X83" t="s">
        <v>1091</v>
      </c>
      <c r="Y83">
        <f t="shared" si="10"/>
        <v>0</v>
      </c>
      <c r="Z83" t="s">
        <v>1108</v>
      </c>
      <c r="AA83" t="str">
        <f t="shared" si="11"/>
        <v>Low</v>
      </c>
      <c r="AB83" t="s">
        <v>1103</v>
      </c>
      <c r="AC83" t="str">
        <f t="shared" si="12"/>
        <v>Yes</v>
      </c>
      <c r="AD83">
        <v>5</v>
      </c>
      <c r="AE83">
        <v>38870</v>
      </c>
      <c r="AF83">
        <v>15548</v>
      </c>
      <c r="AG83">
        <f t="shared" si="13"/>
        <v>23198.6</v>
      </c>
    </row>
    <row r="84" spans="1:33" x14ac:dyDescent="0.25">
      <c r="A84">
        <v>1083</v>
      </c>
      <c r="B84" s="1">
        <v>45883</v>
      </c>
      <c r="C84" s="1">
        <v>45884</v>
      </c>
      <c r="D84" s="1">
        <v>45890</v>
      </c>
      <c r="E84" t="s">
        <v>1064</v>
      </c>
      <c r="F84" t="s">
        <v>112</v>
      </c>
      <c r="G84" t="s">
        <v>1072</v>
      </c>
      <c r="H84" t="str">
        <f t="shared" si="7"/>
        <v>Electronics</v>
      </c>
      <c r="I84">
        <v>5</v>
      </c>
      <c r="J84" t="str">
        <f>VLOOKUP(K84,$AJ$2:$AK$7,2,FALSE)</f>
        <v>S003</v>
      </c>
      <c r="K84" t="s">
        <v>1099</v>
      </c>
      <c r="L84">
        <v>3.7</v>
      </c>
      <c r="M84" t="str">
        <f>IFERROR(VLOOKUP(TRIM(N84),$AP$2:$AQ$12,2,FALSE),"W001")</f>
        <v>W011</v>
      </c>
      <c r="N84" t="s">
        <v>1059</v>
      </c>
      <c r="O84" t="s">
        <v>1061</v>
      </c>
      <c r="P84" t="str">
        <f>VLOOKUP(O84,$AL$2:$AM$12,2,FALSE)</f>
        <v>West</v>
      </c>
      <c r="Q84" t="s">
        <v>1081</v>
      </c>
      <c r="R84">
        <v>407</v>
      </c>
      <c r="S84" t="s">
        <v>1066</v>
      </c>
      <c r="T84">
        <f t="shared" si="8"/>
        <v>3</v>
      </c>
      <c r="U84">
        <v>81.400000000000006</v>
      </c>
      <c r="V84">
        <f t="shared" si="9"/>
        <v>5</v>
      </c>
      <c r="W84" t="s">
        <v>1086</v>
      </c>
      <c r="X84" t="s">
        <v>1091</v>
      </c>
      <c r="Y84">
        <f t="shared" si="10"/>
        <v>81.400000000000006</v>
      </c>
      <c r="Z84" t="s">
        <v>1108</v>
      </c>
      <c r="AA84" t="str">
        <f t="shared" si="11"/>
        <v>Low</v>
      </c>
      <c r="AB84" t="s">
        <v>1103</v>
      </c>
      <c r="AC84" t="str">
        <f t="shared" si="12"/>
        <v>Yes</v>
      </c>
      <c r="AD84">
        <v>4</v>
      </c>
      <c r="AE84">
        <v>74285</v>
      </c>
      <c r="AF84">
        <v>29714</v>
      </c>
      <c r="AG84">
        <f t="shared" si="13"/>
        <v>44489.599999999999</v>
      </c>
    </row>
    <row r="85" spans="1:33" x14ac:dyDescent="0.25">
      <c r="A85">
        <v>1084</v>
      </c>
      <c r="B85" s="1">
        <v>45829</v>
      </c>
      <c r="C85" s="1">
        <v>45830</v>
      </c>
      <c r="D85" s="1">
        <v>45832</v>
      </c>
      <c r="E85" t="s">
        <v>1066</v>
      </c>
      <c r="F85" t="s">
        <v>113</v>
      </c>
      <c r="G85" t="s">
        <v>1071</v>
      </c>
      <c r="H85" t="str">
        <f t="shared" si="7"/>
        <v>Clothing</v>
      </c>
      <c r="I85">
        <v>6</v>
      </c>
      <c r="J85" t="str">
        <f>VLOOKUP(K85,$AJ$2:$AK$7,2,FALSE)</f>
        <v>S001</v>
      </c>
      <c r="K85" t="s">
        <v>1097</v>
      </c>
      <c r="L85">
        <v>3.1</v>
      </c>
      <c r="M85" t="str">
        <f>IFERROR(VLOOKUP(TRIM(N85),$AP$2:$AQ$12,2,FALSE),"W001")</f>
        <v>W004</v>
      </c>
      <c r="N85" t="s">
        <v>1053</v>
      </c>
      <c r="O85" t="s">
        <v>1047</v>
      </c>
      <c r="P85" t="str">
        <f>VLOOKUP(O85,$AL$2:$AM$12,2,FALSE)</f>
        <v>West</v>
      </c>
      <c r="Q85" t="s">
        <v>1084</v>
      </c>
      <c r="R85">
        <v>1274</v>
      </c>
      <c r="S85" t="s">
        <v>1078</v>
      </c>
      <c r="T85">
        <f t="shared" si="8"/>
        <v>5</v>
      </c>
      <c r="U85">
        <v>382.2</v>
      </c>
      <c r="V85">
        <f t="shared" si="9"/>
        <v>6</v>
      </c>
      <c r="W85" t="s">
        <v>1086</v>
      </c>
      <c r="X85" t="s">
        <v>1091</v>
      </c>
      <c r="Y85">
        <f t="shared" si="10"/>
        <v>382.2</v>
      </c>
      <c r="Z85" t="s">
        <v>1108</v>
      </c>
      <c r="AA85" t="str">
        <f t="shared" si="11"/>
        <v>Low</v>
      </c>
      <c r="AB85" t="s">
        <v>1103</v>
      </c>
      <c r="AC85" t="str">
        <f t="shared" si="12"/>
        <v>Yes</v>
      </c>
      <c r="AD85">
        <v>4</v>
      </c>
      <c r="AE85">
        <v>17484</v>
      </c>
      <c r="AF85">
        <v>6993.6</v>
      </c>
      <c r="AG85">
        <f t="shared" si="13"/>
        <v>10108.199999999999</v>
      </c>
    </row>
    <row r="86" spans="1:33" x14ac:dyDescent="0.25">
      <c r="A86">
        <v>1085</v>
      </c>
      <c r="B86" s="1">
        <v>46377</v>
      </c>
      <c r="C86" s="1">
        <v>46378</v>
      </c>
      <c r="D86" s="1">
        <v>46383</v>
      </c>
      <c r="E86" t="s">
        <v>1064</v>
      </c>
      <c r="F86" t="s">
        <v>114</v>
      </c>
      <c r="G86" t="s">
        <v>1068</v>
      </c>
      <c r="H86" t="str">
        <f t="shared" si="7"/>
        <v>Electronics</v>
      </c>
      <c r="I86">
        <v>4</v>
      </c>
      <c r="J86" t="str">
        <f>VLOOKUP(K86,$AJ$2:$AK$7,2,FALSE)</f>
        <v>S005</v>
      </c>
      <c r="K86" t="s">
        <v>1101</v>
      </c>
      <c r="L86">
        <v>3</v>
      </c>
      <c r="M86" t="str">
        <f>IFERROR(VLOOKUP(TRIM(N86),$AP$2:$AQ$12,2,FALSE),"W001")</f>
        <v>W011</v>
      </c>
      <c r="N86" t="s">
        <v>1059</v>
      </c>
      <c r="O86" t="s">
        <v>1059</v>
      </c>
      <c r="P86" t="str">
        <f>VLOOKUP(O86,$AL$2:$AM$12,2,FALSE)</f>
        <v>North</v>
      </c>
      <c r="Q86" t="s">
        <v>1083</v>
      </c>
      <c r="R86">
        <v>40</v>
      </c>
      <c r="S86" t="s">
        <v>1079</v>
      </c>
      <c r="T86">
        <f t="shared" si="8"/>
        <v>1</v>
      </c>
      <c r="U86">
        <v>20</v>
      </c>
      <c r="V86">
        <f t="shared" si="9"/>
        <v>10</v>
      </c>
      <c r="W86" t="s">
        <v>1086</v>
      </c>
      <c r="X86" t="s">
        <v>1091</v>
      </c>
      <c r="Y86">
        <f t="shared" si="10"/>
        <v>20</v>
      </c>
      <c r="Z86" t="s">
        <v>1108</v>
      </c>
      <c r="AA86" t="str">
        <f t="shared" si="11"/>
        <v>Medium</v>
      </c>
      <c r="AB86" t="s">
        <v>1103</v>
      </c>
      <c r="AC86" t="str">
        <f t="shared" si="12"/>
        <v>Yes</v>
      </c>
      <c r="AD86">
        <v>4</v>
      </c>
      <c r="AE86">
        <v>259512</v>
      </c>
      <c r="AF86">
        <v>103804.8</v>
      </c>
      <c r="AG86">
        <f t="shared" si="13"/>
        <v>155687.20000000001</v>
      </c>
    </row>
    <row r="87" spans="1:33" x14ac:dyDescent="0.25">
      <c r="A87">
        <v>1086</v>
      </c>
      <c r="B87" s="1">
        <v>45255</v>
      </c>
      <c r="C87" s="1">
        <v>45256</v>
      </c>
      <c r="D87" s="1">
        <v>45261</v>
      </c>
      <c r="E87" t="s">
        <v>1066</v>
      </c>
      <c r="F87" t="s">
        <v>115</v>
      </c>
      <c r="G87" t="s">
        <v>1071</v>
      </c>
      <c r="H87" t="str">
        <f t="shared" si="7"/>
        <v>Clothing</v>
      </c>
      <c r="I87">
        <v>7</v>
      </c>
      <c r="J87" t="str">
        <f>VLOOKUP(K87,$AJ$2:$AK$7,2,FALSE)</f>
        <v>S002</v>
      </c>
      <c r="K87" t="s">
        <v>1098</v>
      </c>
      <c r="L87">
        <v>4.3</v>
      </c>
      <c r="M87" t="str">
        <f>IFERROR(VLOOKUP(TRIM(N87),$AP$2:$AQ$12,2,FALSE),"W001")</f>
        <v>W001</v>
      </c>
      <c r="N87" t="s">
        <v>1047</v>
      </c>
      <c r="O87" t="s">
        <v>1055</v>
      </c>
      <c r="P87" t="str">
        <f>VLOOKUP(O87,$AL$2:$AM$12,2,FALSE)</f>
        <v>South</v>
      </c>
      <c r="Q87" t="s">
        <v>1082</v>
      </c>
      <c r="R87">
        <v>208</v>
      </c>
      <c r="S87" t="s">
        <v>1066</v>
      </c>
      <c r="T87">
        <f t="shared" si="8"/>
        <v>1</v>
      </c>
      <c r="U87">
        <v>83.2</v>
      </c>
      <c r="V87">
        <f t="shared" si="9"/>
        <v>8</v>
      </c>
      <c r="W87" t="s">
        <v>1087</v>
      </c>
      <c r="X87" t="s">
        <v>1091</v>
      </c>
      <c r="Y87">
        <f t="shared" si="10"/>
        <v>0</v>
      </c>
      <c r="Z87" t="s">
        <v>1108</v>
      </c>
      <c r="AA87" t="str">
        <f t="shared" si="11"/>
        <v>Medium</v>
      </c>
      <c r="AB87" t="s">
        <v>1104</v>
      </c>
      <c r="AC87" t="str">
        <f t="shared" si="12"/>
        <v>Yes</v>
      </c>
      <c r="AD87">
        <v>1</v>
      </c>
      <c r="AE87">
        <v>11473</v>
      </c>
      <c r="AF87">
        <v>4589.2</v>
      </c>
      <c r="AG87">
        <f t="shared" si="13"/>
        <v>6800.6</v>
      </c>
    </row>
    <row r="88" spans="1:33" x14ac:dyDescent="0.25">
      <c r="A88">
        <v>1087</v>
      </c>
      <c r="B88" s="1">
        <v>45954</v>
      </c>
      <c r="C88" s="1">
        <v>45956</v>
      </c>
      <c r="D88" s="1">
        <v>45959</v>
      </c>
      <c r="E88" t="s">
        <v>1064</v>
      </c>
      <c r="F88" t="s">
        <v>116</v>
      </c>
      <c r="G88" t="s">
        <v>1072</v>
      </c>
      <c r="H88" t="str">
        <f t="shared" si="7"/>
        <v>Electronics</v>
      </c>
      <c r="I88">
        <v>3</v>
      </c>
      <c r="J88" t="str">
        <f>VLOOKUP(K88,$AJ$2:$AK$7,2,FALSE)</f>
        <v>S004</v>
      </c>
      <c r="K88" t="s">
        <v>1100</v>
      </c>
      <c r="L88">
        <v>4.3</v>
      </c>
      <c r="M88" t="str">
        <f>IFERROR(VLOOKUP(TRIM(N88),$AP$2:$AQ$12,2,FALSE),"W001")</f>
        <v>W009</v>
      </c>
      <c r="N88" t="s">
        <v>1060</v>
      </c>
      <c r="O88" t="s">
        <v>1063</v>
      </c>
      <c r="P88" t="str">
        <f>VLOOKUP(O88,$AL$2:$AM$12,2,FALSE)</f>
        <v>South</v>
      </c>
      <c r="Q88" t="s">
        <v>1083</v>
      </c>
      <c r="R88">
        <v>583</v>
      </c>
      <c r="S88" t="s">
        <v>1066</v>
      </c>
      <c r="T88">
        <f t="shared" si="8"/>
        <v>2</v>
      </c>
      <c r="U88">
        <v>291.5</v>
      </c>
      <c r="V88">
        <f t="shared" si="9"/>
        <v>10</v>
      </c>
      <c r="W88" t="s">
        <v>1087</v>
      </c>
      <c r="X88" t="s">
        <v>1091</v>
      </c>
      <c r="Y88">
        <f t="shared" si="10"/>
        <v>0</v>
      </c>
      <c r="Z88" t="s">
        <v>1108</v>
      </c>
      <c r="AA88" t="str">
        <f t="shared" si="11"/>
        <v>Medium</v>
      </c>
      <c r="AB88" t="s">
        <v>1103</v>
      </c>
      <c r="AC88" t="str">
        <f t="shared" si="12"/>
        <v>Yes</v>
      </c>
      <c r="AD88">
        <v>4</v>
      </c>
      <c r="AE88">
        <v>88326</v>
      </c>
      <c r="AF88">
        <v>35330.400000000001</v>
      </c>
      <c r="AG88">
        <f t="shared" si="13"/>
        <v>52704.1</v>
      </c>
    </row>
    <row r="89" spans="1:33" x14ac:dyDescent="0.25">
      <c r="A89">
        <v>1088</v>
      </c>
      <c r="B89" s="1">
        <v>44415</v>
      </c>
      <c r="C89" s="1">
        <v>44416</v>
      </c>
      <c r="D89" s="1">
        <v>44422</v>
      </c>
      <c r="E89" t="s">
        <v>1065</v>
      </c>
      <c r="F89" t="s">
        <v>117</v>
      </c>
      <c r="G89" t="s">
        <v>1067</v>
      </c>
      <c r="H89" t="str">
        <f t="shared" si="7"/>
        <v>Clothing</v>
      </c>
      <c r="I89">
        <v>3</v>
      </c>
      <c r="J89" t="str">
        <f>VLOOKUP(K89,$AJ$2:$AK$7,2,FALSE)</f>
        <v>S003</v>
      </c>
      <c r="K89" t="s">
        <v>1099</v>
      </c>
      <c r="L89">
        <v>3.1</v>
      </c>
      <c r="M89" t="str">
        <f>IFERROR(VLOOKUP(TRIM(N89),$AP$2:$AQ$12,2,FALSE),"W001")</f>
        <v>W003</v>
      </c>
      <c r="N89" t="s">
        <v>1051</v>
      </c>
      <c r="O89" t="s">
        <v>1051</v>
      </c>
      <c r="P89" t="str">
        <f>VLOOKUP(O89,$AL$2:$AM$12,2,FALSE)</f>
        <v>West</v>
      </c>
      <c r="Q89" t="s">
        <v>1084</v>
      </c>
      <c r="R89">
        <v>46</v>
      </c>
      <c r="S89" t="s">
        <v>1079</v>
      </c>
      <c r="T89">
        <f t="shared" si="8"/>
        <v>1</v>
      </c>
      <c r="U89">
        <v>13.8</v>
      </c>
      <c r="V89">
        <f t="shared" si="9"/>
        <v>6</v>
      </c>
      <c r="W89" t="s">
        <v>1088</v>
      </c>
      <c r="X89" t="s">
        <v>1091</v>
      </c>
      <c r="Y89">
        <f t="shared" si="10"/>
        <v>0</v>
      </c>
      <c r="Z89" t="s">
        <v>1108</v>
      </c>
      <c r="AA89" t="str">
        <f t="shared" si="11"/>
        <v>Low</v>
      </c>
      <c r="AB89" t="s">
        <v>1103</v>
      </c>
      <c r="AC89" t="str">
        <f t="shared" si="12"/>
        <v>Yes</v>
      </c>
      <c r="AD89">
        <v>5</v>
      </c>
      <c r="AE89">
        <v>3066</v>
      </c>
      <c r="AF89">
        <v>1226.4000000000001</v>
      </c>
      <c r="AG89">
        <f t="shared" si="13"/>
        <v>1825.8</v>
      </c>
    </row>
    <row r="90" spans="1:33" x14ac:dyDescent="0.25">
      <c r="A90">
        <v>1089</v>
      </c>
      <c r="B90" s="1">
        <v>46330</v>
      </c>
      <c r="C90" s="1">
        <v>46332</v>
      </c>
      <c r="D90" s="1">
        <v>46338</v>
      </c>
      <c r="E90" t="s">
        <v>1066</v>
      </c>
      <c r="F90" t="s">
        <v>118</v>
      </c>
      <c r="G90" t="s">
        <v>1068</v>
      </c>
      <c r="H90" t="str">
        <f t="shared" si="7"/>
        <v>Electronics</v>
      </c>
      <c r="I90">
        <v>8</v>
      </c>
      <c r="J90" t="str">
        <f>VLOOKUP(K90,$AJ$2:$AK$7,2,FALSE)</f>
        <v>S003</v>
      </c>
      <c r="K90" t="s">
        <v>1099</v>
      </c>
      <c r="L90">
        <v>4.5999999999999996</v>
      </c>
      <c r="M90" t="str">
        <f>IFERROR(VLOOKUP(TRIM(N90),$AP$2:$AQ$12,2,FALSE),"W001")</f>
        <v>W005</v>
      </c>
      <c r="N90" t="s">
        <v>1055</v>
      </c>
      <c r="O90" t="s">
        <v>1063</v>
      </c>
      <c r="P90" t="str">
        <f>VLOOKUP(O90,$AL$2:$AM$12,2,FALSE)</f>
        <v>South</v>
      </c>
      <c r="Q90" t="s">
        <v>1084</v>
      </c>
      <c r="R90">
        <v>1645</v>
      </c>
      <c r="S90" t="s">
        <v>1078</v>
      </c>
      <c r="T90">
        <f t="shared" si="8"/>
        <v>6</v>
      </c>
      <c r="U90">
        <v>493.5</v>
      </c>
      <c r="V90">
        <f t="shared" si="9"/>
        <v>6</v>
      </c>
      <c r="W90" t="s">
        <v>1088</v>
      </c>
      <c r="X90" t="s">
        <v>1091</v>
      </c>
      <c r="Y90">
        <f t="shared" si="10"/>
        <v>0</v>
      </c>
      <c r="Z90" t="s">
        <v>1109</v>
      </c>
      <c r="AA90" t="str">
        <f t="shared" si="11"/>
        <v>High</v>
      </c>
      <c r="AB90" t="s">
        <v>1103</v>
      </c>
      <c r="AC90" t="str">
        <f t="shared" si="12"/>
        <v>No</v>
      </c>
      <c r="AD90">
        <v>2</v>
      </c>
      <c r="AE90">
        <v>519632</v>
      </c>
      <c r="AF90">
        <v>207852.80000000002</v>
      </c>
      <c r="AG90">
        <f t="shared" si="13"/>
        <v>311285.69999999995</v>
      </c>
    </row>
    <row r="91" spans="1:33" x14ac:dyDescent="0.25">
      <c r="A91">
        <v>1090</v>
      </c>
      <c r="B91" s="1">
        <v>45262</v>
      </c>
      <c r="C91" s="1">
        <v>45264</v>
      </c>
      <c r="D91" s="1">
        <v>45271</v>
      </c>
      <c r="E91" t="s">
        <v>1065</v>
      </c>
      <c r="F91" t="s">
        <v>119</v>
      </c>
      <c r="G91" t="s">
        <v>1068</v>
      </c>
      <c r="H91" t="str">
        <f t="shared" si="7"/>
        <v>Electronics</v>
      </c>
      <c r="I91">
        <v>1</v>
      </c>
      <c r="J91" t="str">
        <f>VLOOKUP(K91,$AJ$2:$AK$7,2,FALSE)</f>
        <v>S006</v>
      </c>
      <c r="K91" t="s">
        <v>1102</v>
      </c>
      <c r="L91">
        <v>3.6</v>
      </c>
      <c r="M91" t="str">
        <f>IFERROR(VLOOKUP(TRIM(N91),$AP$2:$AQ$12,2,FALSE),"W001")</f>
        <v>W001</v>
      </c>
      <c r="N91" t="s">
        <v>1047</v>
      </c>
      <c r="O91" t="s">
        <v>1053</v>
      </c>
      <c r="P91" t="str">
        <f>VLOOKUP(O91,$AL$2:$AM$12,2,FALSE)</f>
        <v>South</v>
      </c>
      <c r="Q91" t="s">
        <v>1080</v>
      </c>
      <c r="R91">
        <v>812</v>
      </c>
      <c r="S91" t="s">
        <v>1078</v>
      </c>
      <c r="T91">
        <f t="shared" si="8"/>
        <v>5</v>
      </c>
      <c r="U91">
        <v>121.8</v>
      </c>
      <c r="V91">
        <f t="shared" si="9"/>
        <v>4</v>
      </c>
      <c r="W91" t="s">
        <v>1087</v>
      </c>
      <c r="X91" t="s">
        <v>1091</v>
      </c>
      <c r="Y91">
        <f t="shared" si="10"/>
        <v>0</v>
      </c>
      <c r="Z91" t="s">
        <v>1108</v>
      </c>
      <c r="AA91" t="str">
        <f t="shared" si="11"/>
        <v>Low</v>
      </c>
      <c r="AB91" t="s">
        <v>1103</v>
      </c>
      <c r="AC91" t="str">
        <f t="shared" si="12"/>
        <v>Yes</v>
      </c>
      <c r="AD91">
        <v>4</v>
      </c>
      <c r="AE91">
        <v>44308</v>
      </c>
      <c r="AF91">
        <v>17723.2</v>
      </c>
      <c r="AG91">
        <f t="shared" si="13"/>
        <v>26463</v>
      </c>
    </row>
    <row r="92" spans="1:33" x14ac:dyDescent="0.25">
      <c r="A92">
        <v>1091</v>
      </c>
      <c r="B92" s="1">
        <v>45446</v>
      </c>
      <c r="C92" s="1">
        <v>45447</v>
      </c>
      <c r="D92" s="1">
        <v>45451</v>
      </c>
      <c r="E92" t="s">
        <v>1064</v>
      </c>
      <c r="F92" t="s">
        <v>120</v>
      </c>
      <c r="G92" t="s">
        <v>1071</v>
      </c>
      <c r="H92" t="str">
        <f t="shared" si="7"/>
        <v>Clothing</v>
      </c>
      <c r="I92">
        <v>6</v>
      </c>
      <c r="J92" t="str">
        <f>VLOOKUP(K92,$AJ$2:$AK$7,2,FALSE)</f>
        <v>S006</v>
      </c>
      <c r="K92" t="s">
        <v>1102</v>
      </c>
      <c r="L92">
        <v>5</v>
      </c>
      <c r="M92" t="str">
        <f>IFERROR(VLOOKUP(TRIM(N92),$AP$2:$AQ$12,2,FALSE),"W001")</f>
        <v>W004</v>
      </c>
      <c r="N92" t="s">
        <v>1053</v>
      </c>
      <c r="O92" t="s">
        <v>1063</v>
      </c>
      <c r="P92" t="str">
        <f>VLOOKUP(O92,$AL$2:$AM$12,2,FALSE)</f>
        <v>South</v>
      </c>
      <c r="Q92" t="s">
        <v>1085</v>
      </c>
      <c r="R92">
        <v>1390</v>
      </c>
      <c r="S92" t="s">
        <v>1078</v>
      </c>
      <c r="T92">
        <f t="shared" si="8"/>
        <v>10</v>
      </c>
      <c r="U92">
        <v>139</v>
      </c>
      <c r="V92">
        <f t="shared" si="9"/>
        <v>3</v>
      </c>
      <c r="W92" t="s">
        <v>1087</v>
      </c>
      <c r="X92" t="s">
        <v>1089</v>
      </c>
      <c r="Y92">
        <f t="shared" si="10"/>
        <v>0</v>
      </c>
      <c r="Z92" t="s">
        <v>1108</v>
      </c>
      <c r="AA92" t="str">
        <f t="shared" si="11"/>
        <v>Low</v>
      </c>
      <c r="AB92" t="s">
        <v>1103</v>
      </c>
      <c r="AC92" t="str">
        <f t="shared" si="12"/>
        <v>Yes</v>
      </c>
      <c r="AD92">
        <v>5</v>
      </c>
      <c r="AE92">
        <v>9318</v>
      </c>
      <c r="AF92">
        <v>3727.2000000000003</v>
      </c>
      <c r="AG92">
        <f t="shared" si="13"/>
        <v>5451.7999999999993</v>
      </c>
    </row>
    <row r="93" spans="1:33" x14ac:dyDescent="0.25">
      <c r="A93">
        <v>1092</v>
      </c>
      <c r="B93" s="1">
        <v>44648</v>
      </c>
      <c r="C93" s="1">
        <v>44649</v>
      </c>
      <c r="D93" s="1">
        <v>44652</v>
      </c>
      <c r="E93" t="s">
        <v>1064</v>
      </c>
      <c r="F93" t="s">
        <v>121</v>
      </c>
      <c r="G93" t="s">
        <v>1070</v>
      </c>
      <c r="H93" t="str">
        <f t="shared" si="7"/>
        <v>Furniture</v>
      </c>
      <c r="I93">
        <v>9</v>
      </c>
      <c r="J93" t="str">
        <f>VLOOKUP(K93,$AJ$2:$AK$7,2,FALSE)</f>
        <v>S005</v>
      </c>
      <c r="K93" t="s">
        <v>1101</v>
      </c>
      <c r="L93">
        <v>3.2</v>
      </c>
      <c r="M93" t="str">
        <f>IFERROR(VLOOKUP(TRIM(N93),$AP$2:$AQ$12,2,FALSE),"W001")</f>
        <v>W006</v>
      </c>
      <c r="N93" t="s">
        <v>1057</v>
      </c>
      <c r="O93" t="s">
        <v>1051</v>
      </c>
      <c r="P93" t="str">
        <f>VLOOKUP(O93,$AL$2:$AM$12,2,FALSE)</f>
        <v>West</v>
      </c>
      <c r="Q93" t="s">
        <v>1084</v>
      </c>
      <c r="R93">
        <v>1444</v>
      </c>
      <c r="S93" t="s">
        <v>1078</v>
      </c>
      <c r="T93">
        <f t="shared" si="8"/>
        <v>5</v>
      </c>
      <c r="U93">
        <v>433.2</v>
      </c>
      <c r="V93">
        <f t="shared" si="9"/>
        <v>6</v>
      </c>
      <c r="W93" t="s">
        <v>1087</v>
      </c>
      <c r="X93" t="s">
        <v>1090</v>
      </c>
      <c r="Y93">
        <f t="shared" si="10"/>
        <v>0</v>
      </c>
      <c r="Z93" t="s">
        <v>1108</v>
      </c>
      <c r="AA93" t="str">
        <f t="shared" si="11"/>
        <v>Low</v>
      </c>
      <c r="AB93" t="s">
        <v>1103</v>
      </c>
      <c r="AC93" t="str">
        <f t="shared" si="12"/>
        <v>Yes</v>
      </c>
      <c r="AD93">
        <v>5</v>
      </c>
      <c r="AE93">
        <v>30420</v>
      </c>
      <c r="AF93">
        <v>12168</v>
      </c>
      <c r="AG93">
        <f t="shared" si="13"/>
        <v>17818.8</v>
      </c>
    </row>
    <row r="94" spans="1:33" x14ac:dyDescent="0.25">
      <c r="A94">
        <v>1093</v>
      </c>
      <c r="B94" s="1">
        <v>45093</v>
      </c>
      <c r="C94" s="1">
        <v>45094</v>
      </c>
      <c r="D94" s="1">
        <v>45099</v>
      </c>
      <c r="E94" t="s">
        <v>1064</v>
      </c>
      <c r="F94" t="s">
        <v>122</v>
      </c>
      <c r="G94" t="s">
        <v>1071</v>
      </c>
      <c r="H94" t="str">
        <f t="shared" si="7"/>
        <v>Clothing</v>
      </c>
      <c r="I94">
        <v>10</v>
      </c>
      <c r="J94" t="str">
        <f>VLOOKUP(K94,$AJ$2:$AK$7,2,FALSE)</f>
        <v>S002</v>
      </c>
      <c r="K94" t="s">
        <v>1098</v>
      </c>
      <c r="L94">
        <v>3</v>
      </c>
      <c r="M94" t="str">
        <f>IFERROR(VLOOKUP(TRIM(N94),$AP$2:$AQ$12,2,FALSE),"W001")</f>
        <v>W007</v>
      </c>
      <c r="N94" t="s">
        <v>1062</v>
      </c>
      <c r="O94" t="s">
        <v>1057</v>
      </c>
      <c r="P94" t="str">
        <f>VLOOKUP(O94,$AL$2:$AM$12,2,FALSE)</f>
        <v>South</v>
      </c>
      <c r="Q94" t="s">
        <v>1083</v>
      </c>
      <c r="R94">
        <v>1313</v>
      </c>
      <c r="S94" t="s">
        <v>1078</v>
      </c>
      <c r="T94">
        <f t="shared" si="8"/>
        <v>3</v>
      </c>
      <c r="U94">
        <v>656.5</v>
      </c>
      <c r="V94">
        <f t="shared" si="9"/>
        <v>10</v>
      </c>
      <c r="W94" t="s">
        <v>1086</v>
      </c>
      <c r="X94" t="s">
        <v>1091</v>
      </c>
      <c r="Y94">
        <f t="shared" si="10"/>
        <v>656.5</v>
      </c>
      <c r="Z94" t="s">
        <v>1108</v>
      </c>
      <c r="AA94" t="str">
        <f t="shared" si="11"/>
        <v>Medium</v>
      </c>
      <c r="AB94" t="s">
        <v>1104</v>
      </c>
      <c r="AC94" t="str">
        <f t="shared" si="12"/>
        <v>Yes</v>
      </c>
      <c r="AD94">
        <v>1</v>
      </c>
      <c r="AE94">
        <v>23090</v>
      </c>
      <c r="AF94">
        <v>9236</v>
      </c>
      <c r="AG94">
        <f t="shared" si="13"/>
        <v>13197.5</v>
      </c>
    </row>
    <row r="95" spans="1:33" x14ac:dyDescent="0.25">
      <c r="A95">
        <v>1094</v>
      </c>
      <c r="B95" s="1">
        <v>46089</v>
      </c>
      <c r="C95" s="1">
        <v>46092</v>
      </c>
      <c r="D95" s="1">
        <v>46098</v>
      </c>
      <c r="E95" t="s">
        <v>1064</v>
      </c>
      <c r="F95" t="s">
        <v>123</v>
      </c>
      <c r="G95" t="s">
        <v>1069</v>
      </c>
      <c r="H95" t="str">
        <f t="shared" si="7"/>
        <v>Furniture</v>
      </c>
      <c r="I95">
        <v>7</v>
      </c>
      <c r="J95" t="str">
        <f>VLOOKUP(K95,$AJ$2:$AK$7,2,FALSE)</f>
        <v>S004</v>
      </c>
      <c r="K95" t="s">
        <v>1100</v>
      </c>
      <c r="L95">
        <v>4.4000000000000004</v>
      </c>
      <c r="M95" t="str">
        <f>IFERROR(VLOOKUP(TRIM(N95),$AP$2:$AQ$12,2,FALSE),"W001")</f>
        <v>W006</v>
      </c>
      <c r="N95" t="s">
        <v>1057</v>
      </c>
      <c r="O95" t="s">
        <v>1049</v>
      </c>
      <c r="P95" t="str">
        <f>VLOOKUP(O95,$AL$2:$AM$12,2,FALSE)</f>
        <v>North</v>
      </c>
      <c r="Q95" t="s">
        <v>1081</v>
      </c>
      <c r="R95">
        <v>1794</v>
      </c>
      <c r="S95" t="s">
        <v>1078</v>
      </c>
      <c r="T95">
        <f t="shared" si="8"/>
        <v>8</v>
      </c>
      <c r="U95">
        <v>358.8</v>
      </c>
      <c r="V95">
        <f t="shared" si="9"/>
        <v>5</v>
      </c>
      <c r="W95" t="s">
        <v>1088</v>
      </c>
      <c r="X95" t="s">
        <v>1091</v>
      </c>
      <c r="Y95">
        <f t="shared" si="10"/>
        <v>0</v>
      </c>
      <c r="Z95" t="s">
        <v>1109</v>
      </c>
      <c r="AA95" t="str">
        <f t="shared" si="11"/>
        <v>High</v>
      </c>
      <c r="AB95" t="s">
        <v>1104</v>
      </c>
      <c r="AC95" t="str">
        <f t="shared" si="12"/>
        <v>No</v>
      </c>
      <c r="AD95">
        <v>1</v>
      </c>
      <c r="AE95">
        <v>98679</v>
      </c>
      <c r="AF95">
        <v>39471.600000000006</v>
      </c>
      <c r="AG95">
        <f t="shared" si="13"/>
        <v>58848.599999999991</v>
      </c>
    </row>
    <row r="96" spans="1:33" x14ac:dyDescent="0.25">
      <c r="A96">
        <v>1095</v>
      </c>
      <c r="B96" s="1">
        <v>45839</v>
      </c>
      <c r="C96" s="1">
        <v>45840</v>
      </c>
      <c r="D96" s="1">
        <v>45844</v>
      </c>
      <c r="E96" t="s">
        <v>1065</v>
      </c>
      <c r="F96" t="s">
        <v>124</v>
      </c>
      <c r="G96" t="s">
        <v>1069</v>
      </c>
      <c r="H96" t="str">
        <f t="shared" si="7"/>
        <v>Furniture</v>
      </c>
      <c r="I96">
        <v>5</v>
      </c>
      <c r="J96" t="str">
        <f>VLOOKUP(K96,$AJ$2:$AK$7,2,FALSE)</f>
        <v>S003</v>
      </c>
      <c r="K96" t="s">
        <v>1099</v>
      </c>
      <c r="L96">
        <v>3</v>
      </c>
      <c r="M96" t="str">
        <f>IFERROR(VLOOKUP(TRIM(N96),$AP$2:$AQ$12,2,FALSE),"W001")</f>
        <v>W011</v>
      </c>
      <c r="N96" t="s">
        <v>1059</v>
      </c>
      <c r="O96" t="s">
        <v>1063</v>
      </c>
      <c r="P96" t="str">
        <f>VLOOKUP(O96,$AL$2:$AM$12,2,FALSE)</f>
        <v>South</v>
      </c>
      <c r="Q96" t="s">
        <v>1080</v>
      </c>
      <c r="R96">
        <v>745</v>
      </c>
      <c r="S96" t="s">
        <v>1066</v>
      </c>
      <c r="T96">
        <f t="shared" si="8"/>
        <v>4</v>
      </c>
      <c r="U96">
        <v>111.75</v>
      </c>
      <c r="V96">
        <f t="shared" si="9"/>
        <v>4</v>
      </c>
      <c r="W96" t="s">
        <v>1086</v>
      </c>
      <c r="X96" t="s">
        <v>1091</v>
      </c>
      <c r="Y96">
        <f t="shared" si="10"/>
        <v>111.75</v>
      </c>
      <c r="Z96" t="s">
        <v>1108</v>
      </c>
      <c r="AA96" t="str">
        <f t="shared" si="11"/>
        <v>Low</v>
      </c>
      <c r="AB96" t="s">
        <v>1103</v>
      </c>
      <c r="AC96" t="str">
        <f t="shared" si="12"/>
        <v>Yes</v>
      </c>
      <c r="AD96">
        <v>5</v>
      </c>
      <c r="AE96">
        <v>58925</v>
      </c>
      <c r="AF96">
        <v>23570</v>
      </c>
      <c r="AG96">
        <f t="shared" si="13"/>
        <v>35243.25</v>
      </c>
    </row>
    <row r="97" spans="1:33" x14ac:dyDescent="0.25">
      <c r="A97">
        <v>1096</v>
      </c>
      <c r="B97" s="1">
        <v>46098</v>
      </c>
      <c r="C97" s="1">
        <v>46099</v>
      </c>
      <c r="D97" s="1">
        <v>46101</v>
      </c>
      <c r="E97" t="s">
        <v>1064</v>
      </c>
      <c r="F97" t="s">
        <v>125</v>
      </c>
      <c r="G97" t="s">
        <v>1068</v>
      </c>
      <c r="H97" t="str">
        <f t="shared" si="7"/>
        <v>Electronics</v>
      </c>
      <c r="I97">
        <v>7</v>
      </c>
      <c r="J97" t="str">
        <f>VLOOKUP(K97,$AJ$2:$AK$7,2,FALSE)</f>
        <v>S005</v>
      </c>
      <c r="K97" t="s">
        <v>1101</v>
      </c>
      <c r="L97">
        <v>4.9000000000000004</v>
      </c>
      <c r="M97" t="str">
        <f>IFERROR(VLOOKUP(TRIM(N97),$AP$2:$AQ$12,2,FALSE),"W001")</f>
        <v>W011</v>
      </c>
      <c r="N97" t="s">
        <v>1059</v>
      </c>
      <c r="O97" t="s">
        <v>1049</v>
      </c>
      <c r="P97" t="str">
        <f>VLOOKUP(O97,$AL$2:$AM$12,2,FALSE)</f>
        <v>North</v>
      </c>
      <c r="Q97" t="s">
        <v>1083</v>
      </c>
      <c r="R97">
        <v>666</v>
      </c>
      <c r="S97" t="s">
        <v>1066</v>
      </c>
      <c r="T97">
        <f t="shared" si="8"/>
        <v>2</v>
      </c>
      <c r="U97">
        <v>333</v>
      </c>
      <c r="V97">
        <f t="shared" si="9"/>
        <v>10</v>
      </c>
      <c r="W97" t="s">
        <v>1087</v>
      </c>
      <c r="X97" t="s">
        <v>1090</v>
      </c>
      <c r="Y97">
        <f t="shared" si="10"/>
        <v>0</v>
      </c>
      <c r="Z97" t="s">
        <v>1108</v>
      </c>
      <c r="AA97" t="str">
        <f t="shared" si="11"/>
        <v>Medium</v>
      </c>
      <c r="AB97" t="s">
        <v>1103</v>
      </c>
      <c r="AC97" t="str">
        <f t="shared" si="12"/>
        <v>Yes</v>
      </c>
      <c r="AD97">
        <v>5</v>
      </c>
      <c r="AE97">
        <v>442337</v>
      </c>
      <c r="AF97">
        <v>176934.80000000002</v>
      </c>
      <c r="AG97">
        <f t="shared" si="13"/>
        <v>265069.19999999995</v>
      </c>
    </row>
    <row r="98" spans="1:33" x14ac:dyDescent="0.25">
      <c r="A98">
        <v>1097</v>
      </c>
      <c r="B98" s="1">
        <v>45880</v>
      </c>
      <c r="C98" s="1">
        <v>45881</v>
      </c>
      <c r="D98" s="1">
        <v>45884</v>
      </c>
      <c r="E98" t="s">
        <v>1066</v>
      </c>
      <c r="F98" t="s">
        <v>126</v>
      </c>
      <c r="G98" t="s">
        <v>1069</v>
      </c>
      <c r="H98" t="str">
        <f t="shared" si="7"/>
        <v>Furniture</v>
      </c>
      <c r="I98">
        <v>3</v>
      </c>
      <c r="J98" t="str">
        <f>VLOOKUP(K98,$AJ$2:$AK$7,2,FALSE)</f>
        <v>S004</v>
      </c>
      <c r="K98" t="s">
        <v>1100</v>
      </c>
      <c r="L98">
        <v>3</v>
      </c>
      <c r="M98" t="str">
        <f>IFERROR(VLOOKUP(TRIM(N98),$AP$2:$AQ$12,2,FALSE),"W001")</f>
        <v>W011</v>
      </c>
      <c r="N98" t="s">
        <v>1059</v>
      </c>
      <c r="O98" t="s">
        <v>1055</v>
      </c>
      <c r="P98" t="str">
        <f>VLOOKUP(O98,$AL$2:$AM$12,2,FALSE)</f>
        <v>South</v>
      </c>
      <c r="Q98" t="s">
        <v>1080</v>
      </c>
      <c r="R98">
        <v>895</v>
      </c>
      <c r="S98" t="s">
        <v>1078</v>
      </c>
      <c r="T98">
        <f t="shared" si="8"/>
        <v>5</v>
      </c>
      <c r="U98">
        <v>134.25</v>
      </c>
      <c r="V98">
        <f t="shared" si="9"/>
        <v>4</v>
      </c>
      <c r="W98" t="s">
        <v>1088</v>
      </c>
      <c r="X98" t="s">
        <v>1091</v>
      </c>
      <c r="Y98">
        <f t="shared" si="10"/>
        <v>0</v>
      </c>
      <c r="Z98" t="s">
        <v>1108</v>
      </c>
      <c r="AA98" t="str">
        <f t="shared" si="11"/>
        <v>Low</v>
      </c>
      <c r="AB98" t="s">
        <v>1103</v>
      </c>
      <c r="AC98" t="str">
        <f t="shared" si="12"/>
        <v>Yes</v>
      </c>
      <c r="AD98">
        <v>5</v>
      </c>
      <c r="AE98">
        <v>33087</v>
      </c>
      <c r="AF98">
        <v>13234.800000000001</v>
      </c>
      <c r="AG98">
        <f t="shared" si="13"/>
        <v>19717.949999999997</v>
      </c>
    </row>
    <row r="99" spans="1:33" x14ac:dyDescent="0.25">
      <c r="A99">
        <v>1098</v>
      </c>
      <c r="B99" s="1">
        <v>46107</v>
      </c>
      <c r="C99" s="1">
        <v>46110</v>
      </c>
      <c r="D99" s="1">
        <v>46116</v>
      </c>
      <c r="E99" t="s">
        <v>1065</v>
      </c>
      <c r="F99" t="s">
        <v>127</v>
      </c>
      <c r="G99" t="s">
        <v>1067</v>
      </c>
      <c r="H99" t="str">
        <f t="shared" si="7"/>
        <v>Clothing</v>
      </c>
      <c r="I99">
        <v>2</v>
      </c>
      <c r="J99" t="str">
        <f>VLOOKUP(K99,$AJ$2:$AK$7,2,FALSE)</f>
        <v>S003</v>
      </c>
      <c r="K99" t="s">
        <v>1099</v>
      </c>
      <c r="L99">
        <v>4.3</v>
      </c>
      <c r="M99" t="str">
        <f>IFERROR(VLOOKUP(TRIM(N99),$AP$2:$AQ$12,2,FALSE),"W001")</f>
        <v>W010</v>
      </c>
      <c r="N99" t="s">
        <v>1063</v>
      </c>
      <c r="O99" t="s">
        <v>1053</v>
      </c>
      <c r="P99" t="str">
        <f>VLOOKUP(O99,$AL$2:$AM$12,2,FALSE)</f>
        <v>South</v>
      </c>
      <c r="Q99" t="s">
        <v>1084</v>
      </c>
      <c r="R99">
        <v>1967</v>
      </c>
      <c r="S99" t="s">
        <v>1078</v>
      </c>
      <c r="T99">
        <f t="shared" si="8"/>
        <v>7</v>
      </c>
      <c r="U99">
        <v>590.1</v>
      </c>
      <c r="V99">
        <f t="shared" si="9"/>
        <v>6</v>
      </c>
      <c r="W99" t="s">
        <v>1088</v>
      </c>
      <c r="X99" t="s">
        <v>1091</v>
      </c>
      <c r="Y99">
        <f t="shared" si="10"/>
        <v>0</v>
      </c>
      <c r="Z99" t="s">
        <v>1109</v>
      </c>
      <c r="AA99" t="str">
        <f t="shared" si="11"/>
        <v>High</v>
      </c>
      <c r="AB99" t="s">
        <v>1103</v>
      </c>
      <c r="AC99" t="str">
        <f t="shared" si="12"/>
        <v>No</v>
      </c>
      <c r="AD99">
        <v>3</v>
      </c>
      <c r="AE99">
        <v>1888</v>
      </c>
      <c r="AF99">
        <v>755.2</v>
      </c>
      <c r="AG99">
        <f t="shared" si="13"/>
        <v>542.69999999999993</v>
      </c>
    </row>
    <row r="100" spans="1:33" x14ac:dyDescent="0.25">
      <c r="A100">
        <v>1099</v>
      </c>
      <c r="B100" s="1">
        <v>44391</v>
      </c>
      <c r="C100" s="1">
        <v>44392</v>
      </c>
      <c r="D100" s="1">
        <v>44399</v>
      </c>
      <c r="E100" t="s">
        <v>1066</v>
      </c>
      <c r="F100" t="s">
        <v>128</v>
      </c>
      <c r="G100" t="s">
        <v>1072</v>
      </c>
      <c r="H100" t="str">
        <f t="shared" si="7"/>
        <v>Electronics</v>
      </c>
      <c r="I100">
        <v>6</v>
      </c>
      <c r="J100" t="str">
        <f>VLOOKUP(K100,$AJ$2:$AK$7,2,FALSE)</f>
        <v>S001</v>
      </c>
      <c r="K100" t="s">
        <v>1097</v>
      </c>
      <c r="L100">
        <v>4.8</v>
      </c>
      <c r="M100" t="str">
        <f>IFERROR(VLOOKUP(TRIM(N100),$AP$2:$AQ$12,2,FALSE),"W001")</f>
        <v>W004</v>
      </c>
      <c r="N100" t="s">
        <v>1053</v>
      </c>
      <c r="O100" t="s">
        <v>1051</v>
      </c>
      <c r="P100" t="str">
        <f>VLOOKUP(O100,$AL$2:$AM$12,2,FALSE)</f>
        <v>West</v>
      </c>
      <c r="Q100" t="s">
        <v>1082</v>
      </c>
      <c r="R100">
        <v>1460</v>
      </c>
      <c r="S100" t="s">
        <v>1078</v>
      </c>
      <c r="T100">
        <f t="shared" si="8"/>
        <v>4</v>
      </c>
      <c r="U100">
        <v>584</v>
      </c>
      <c r="V100">
        <f t="shared" si="9"/>
        <v>8</v>
      </c>
      <c r="W100" t="s">
        <v>1087</v>
      </c>
      <c r="X100" t="s">
        <v>1089</v>
      </c>
      <c r="Y100">
        <f t="shared" si="10"/>
        <v>0</v>
      </c>
      <c r="Z100" t="s">
        <v>1109</v>
      </c>
      <c r="AA100" t="str">
        <f t="shared" si="11"/>
        <v>High</v>
      </c>
      <c r="AB100" t="s">
        <v>1103</v>
      </c>
      <c r="AC100" t="str">
        <f t="shared" si="12"/>
        <v>No</v>
      </c>
      <c r="AD100">
        <v>3</v>
      </c>
      <c r="AE100">
        <v>97746</v>
      </c>
      <c r="AF100">
        <v>39098.400000000001</v>
      </c>
      <c r="AG100">
        <f t="shared" si="13"/>
        <v>58063.6</v>
      </c>
    </row>
    <row r="101" spans="1:33" x14ac:dyDescent="0.25">
      <c r="A101">
        <v>1100</v>
      </c>
      <c r="B101" s="1">
        <v>45278</v>
      </c>
      <c r="C101" s="1">
        <v>45281</v>
      </c>
      <c r="D101" s="1">
        <v>45287</v>
      </c>
      <c r="E101" t="s">
        <v>1066</v>
      </c>
      <c r="F101" t="s">
        <v>129</v>
      </c>
      <c r="G101" t="s">
        <v>1071</v>
      </c>
      <c r="H101" t="str">
        <f t="shared" si="7"/>
        <v>Clothing</v>
      </c>
      <c r="I101">
        <v>2</v>
      </c>
      <c r="J101" t="str">
        <f>VLOOKUP(K101,$AJ$2:$AK$7,2,FALSE)</f>
        <v>S001</v>
      </c>
      <c r="K101" t="s">
        <v>1097</v>
      </c>
      <c r="L101">
        <v>4.8</v>
      </c>
      <c r="M101" t="str">
        <f>IFERROR(VLOOKUP(TRIM(N101),$AP$2:$AQ$12,2,FALSE),"W001")</f>
        <v>W003</v>
      </c>
      <c r="N101" t="s">
        <v>1051</v>
      </c>
      <c r="O101" t="s">
        <v>1063</v>
      </c>
      <c r="P101" t="str">
        <f>VLOOKUP(O101,$AL$2:$AM$12,2,FALSE)</f>
        <v>South</v>
      </c>
      <c r="Q101" t="s">
        <v>1081</v>
      </c>
      <c r="R101">
        <v>1318</v>
      </c>
      <c r="S101" t="s">
        <v>1078</v>
      </c>
      <c r="T101">
        <f t="shared" si="8"/>
        <v>6</v>
      </c>
      <c r="U101">
        <v>263.60000000000002</v>
      </c>
      <c r="V101">
        <f t="shared" si="9"/>
        <v>5</v>
      </c>
      <c r="W101" t="s">
        <v>1087</v>
      </c>
      <c r="X101" t="s">
        <v>1091</v>
      </c>
      <c r="Y101">
        <f t="shared" si="10"/>
        <v>0</v>
      </c>
      <c r="Z101" t="s">
        <v>1108</v>
      </c>
      <c r="AA101" t="str">
        <f t="shared" si="11"/>
        <v>Low</v>
      </c>
      <c r="AB101" t="s">
        <v>1103</v>
      </c>
      <c r="AC101" t="str">
        <f t="shared" si="12"/>
        <v>Yes</v>
      </c>
      <c r="AD101">
        <v>4</v>
      </c>
      <c r="AE101">
        <v>5878</v>
      </c>
      <c r="AF101">
        <v>2351.2000000000003</v>
      </c>
      <c r="AG101">
        <f t="shared" si="13"/>
        <v>3263.2</v>
      </c>
    </row>
    <row r="102" spans="1:33" x14ac:dyDescent="0.25">
      <c r="A102">
        <v>1101</v>
      </c>
      <c r="B102" s="1">
        <v>45357</v>
      </c>
      <c r="C102" s="1">
        <v>45360</v>
      </c>
      <c r="D102" s="1">
        <v>45365</v>
      </c>
      <c r="E102" t="s">
        <v>1065</v>
      </c>
      <c r="F102" t="s">
        <v>130</v>
      </c>
      <c r="G102" t="s">
        <v>1069</v>
      </c>
      <c r="H102" t="str">
        <f t="shared" si="7"/>
        <v>Furniture</v>
      </c>
      <c r="I102">
        <v>6</v>
      </c>
      <c r="J102" t="str">
        <f>VLOOKUP(K102,$AJ$2:$AK$7,2,FALSE)</f>
        <v>S001</v>
      </c>
      <c r="K102" t="s">
        <v>1097</v>
      </c>
      <c r="L102">
        <v>4.5999999999999996</v>
      </c>
      <c r="M102" t="str">
        <f>IFERROR(VLOOKUP(TRIM(N102),$AP$2:$AQ$12,2,FALSE),"W001")</f>
        <v>W005</v>
      </c>
      <c r="N102" t="s">
        <v>1055</v>
      </c>
      <c r="O102" t="s">
        <v>1061</v>
      </c>
      <c r="P102" t="str">
        <f>VLOOKUP(O102,$AL$2:$AM$12,2,FALSE)</f>
        <v>West</v>
      </c>
      <c r="Q102" t="s">
        <v>1081</v>
      </c>
      <c r="R102">
        <v>192</v>
      </c>
      <c r="S102" t="s">
        <v>1079</v>
      </c>
      <c r="T102">
        <f t="shared" si="8"/>
        <v>2</v>
      </c>
      <c r="U102">
        <v>38.4</v>
      </c>
      <c r="V102">
        <f t="shared" si="9"/>
        <v>5</v>
      </c>
      <c r="W102" t="s">
        <v>1086</v>
      </c>
      <c r="X102" t="s">
        <v>1089</v>
      </c>
      <c r="Y102">
        <f t="shared" si="10"/>
        <v>38.4</v>
      </c>
      <c r="Z102" t="s">
        <v>1108</v>
      </c>
      <c r="AA102" t="str">
        <f t="shared" si="11"/>
        <v>Low</v>
      </c>
      <c r="AB102" t="s">
        <v>1103</v>
      </c>
      <c r="AC102" t="str">
        <f t="shared" si="12"/>
        <v>Yes</v>
      </c>
      <c r="AD102">
        <v>4</v>
      </c>
      <c r="AE102">
        <v>86850</v>
      </c>
      <c r="AF102">
        <v>34740</v>
      </c>
      <c r="AG102">
        <f t="shared" si="13"/>
        <v>52071.6</v>
      </c>
    </row>
    <row r="103" spans="1:33" x14ac:dyDescent="0.25">
      <c r="A103">
        <v>1102</v>
      </c>
      <c r="B103" s="1">
        <v>46002</v>
      </c>
      <c r="C103" s="1">
        <v>46005</v>
      </c>
      <c r="D103" s="1">
        <v>46009</v>
      </c>
      <c r="E103" t="s">
        <v>1064</v>
      </c>
      <c r="F103" t="s">
        <v>131</v>
      </c>
      <c r="G103" t="s">
        <v>1072</v>
      </c>
      <c r="H103" t="str">
        <f t="shared" si="7"/>
        <v>Electronics</v>
      </c>
      <c r="I103">
        <v>9</v>
      </c>
      <c r="J103" t="str">
        <f>VLOOKUP(K103,$AJ$2:$AK$7,2,FALSE)</f>
        <v>S002</v>
      </c>
      <c r="K103" t="s">
        <v>1098</v>
      </c>
      <c r="L103">
        <v>3.3</v>
      </c>
      <c r="M103" t="str">
        <f>IFERROR(VLOOKUP(TRIM(N103),$AP$2:$AQ$12,2,FALSE),"W001")</f>
        <v>W011</v>
      </c>
      <c r="N103" t="s">
        <v>1059</v>
      </c>
      <c r="O103" t="s">
        <v>1055</v>
      </c>
      <c r="P103" t="str">
        <f>VLOOKUP(O103,$AL$2:$AM$12,2,FALSE)</f>
        <v>South</v>
      </c>
      <c r="Q103" t="s">
        <v>1083</v>
      </c>
      <c r="R103">
        <v>1889</v>
      </c>
      <c r="S103" t="s">
        <v>1078</v>
      </c>
      <c r="T103">
        <f t="shared" si="8"/>
        <v>4</v>
      </c>
      <c r="U103">
        <v>944.5</v>
      </c>
      <c r="V103">
        <f t="shared" si="9"/>
        <v>10</v>
      </c>
      <c r="W103" t="s">
        <v>1086</v>
      </c>
      <c r="X103" t="s">
        <v>1091</v>
      </c>
      <c r="Y103">
        <f t="shared" si="10"/>
        <v>944.5</v>
      </c>
      <c r="Z103" t="s">
        <v>1109</v>
      </c>
      <c r="AA103" t="str">
        <f t="shared" si="11"/>
        <v>High</v>
      </c>
      <c r="AB103" t="s">
        <v>1103</v>
      </c>
      <c r="AC103" t="str">
        <f t="shared" si="12"/>
        <v>No</v>
      </c>
      <c r="AD103">
        <v>3</v>
      </c>
      <c r="AE103">
        <v>99459</v>
      </c>
      <c r="AF103">
        <v>39783.600000000006</v>
      </c>
      <c r="AG103">
        <f t="shared" si="13"/>
        <v>58730.899999999994</v>
      </c>
    </row>
    <row r="104" spans="1:33" x14ac:dyDescent="0.25">
      <c r="A104">
        <v>1103</v>
      </c>
      <c r="B104" s="1">
        <v>44761</v>
      </c>
      <c r="C104" s="1">
        <v>44763</v>
      </c>
      <c r="D104" s="1">
        <v>44768</v>
      </c>
      <c r="E104" t="s">
        <v>1066</v>
      </c>
      <c r="F104" t="s">
        <v>132</v>
      </c>
      <c r="G104" t="s">
        <v>1067</v>
      </c>
      <c r="H104" t="str">
        <f t="shared" si="7"/>
        <v>Clothing</v>
      </c>
      <c r="I104">
        <v>6</v>
      </c>
      <c r="J104" t="str">
        <f>VLOOKUP(K104,$AJ$2:$AK$7,2,FALSE)</f>
        <v>S003</v>
      </c>
      <c r="K104" t="s">
        <v>1099</v>
      </c>
      <c r="L104">
        <v>4.3</v>
      </c>
      <c r="M104" t="str">
        <f>IFERROR(VLOOKUP(TRIM(N104),$AP$2:$AQ$12,2,FALSE),"W001")</f>
        <v>W010</v>
      </c>
      <c r="N104" t="s">
        <v>1063</v>
      </c>
      <c r="O104" t="s">
        <v>1059</v>
      </c>
      <c r="P104" t="str">
        <f>VLOOKUP(O104,$AL$2:$AM$12,2,FALSE)</f>
        <v>North</v>
      </c>
      <c r="Q104" t="s">
        <v>1080</v>
      </c>
      <c r="R104">
        <v>1303</v>
      </c>
      <c r="S104" t="s">
        <v>1078</v>
      </c>
      <c r="T104">
        <f t="shared" si="8"/>
        <v>6</v>
      </c>
      <c r="U104">
        <v>195.45</v>
      </c>
      <c r="V104">
        <f t="shared" si="9"/>
        <v>4</v>
      </c>
      <c r="W104" t="s">
        <v>1086</v>
      </c>
      <c r="X104" t="s">
        <v>1091</v>
      </c>
      <c r="Y104">
        <f t="shared" si="10"/>
        <v>195.45</v>
      </c>
      <c r="Z104" t="s">
        <v>1108</v>
      </c>
      <c r="AA104" t="str">
        <f t="shared" si="11"/>
        <v>Low</v>
      </c>
      <c r="AB104" t="s">
        <v>1103</v>
      </c>
      <c r="AC104" t="str">
        <f t="shared" si="12"/>
        <v>Yes</v>
      </c>
      <c r="AD104">
        <v>5</v>
      </c>
      <c r="AE104">
        <v>6936</v>
      </c>
      <c r="AF104">
        <v>2774.4</v>
      </c>
      <c r="AG104">
        <f t="shared" si="13"/>
        <v>3966.1500000000005</v>
      </c>
    </row>
    <row r="105" spans="1:33" x14ac:dyDescent="0.25">
      <c r="A105">
        <v>1104</v>
      </c>
      <c r="B105" s="1">
        <v>44667</v>
      </c>
      <c r="C105" s="1">
        <v>44668</v>
      </c>
      <c r="D105" s="1">
        <v>44670</v>
      </c>
      <c r="E105" t="s">
        <v>1065</v>
      </c>
      <c r="F105" t="s">
        <v>133</v>
      </c>
      <c r="G105" t="s">
        <v>1071</v>
      </c>
      <c r="H105" t="str">
        <f t="shared" si="7"/>
        <v>Clothing</v>
      </c>
      <c r="I105">
        <v>10</v>
      </c>
      <c r="J105" t="str">
        <f>VLOOKUP(K105,$AJ$2:$AK$7,2,FALSE)</f>
        <v>S003</v>
      </c>
      <c r="K105" t="s">
        <v>1099</v>
      </c>
      <c r="L105">
        <v>4.5999999999999996</v>
      </c>
      <c r="M105" t="str">
        <f>IFERROR(VLOOKUP(TRIM(N105),$AP$2:$AQ$12,2,FALSE),"W001")</f>
        <v>W007</v>
      </c>
      <c r="N105" t="s">
        <v>1062</v>
      </c>
      <c r="O105" t="s">
        <v>1055</v>
      </c>
      <c r="P105" t="str">
        <f>VLOOKUP(O105,$AL$2:$AM$12,2,FALSE)</f>
        <v>South</v>
      </c>
      <c r="Q105" t="s">
        <v>1082</v>
      </c>
      <c r="R105">
        <v>1364</v>
      </c>
      <c r="S105" t="s">
        <v>1078</v>
      </c>
      <c r="T105">
        <f t="shared" si="8"/>
        <v>4</v>
      </c>
      <c r="U105">
        <v>545.6</v>
      </c>
      <c r="V105">
        <f t="shared" si="9"/>
        <v>8</v>
      </c>
      <c r="W105" t="s">
        <v>1087</v>
      </c>
      <c r="X105" t="s">
        <v>1091</v>
      </c>
      <c r="Y105">
        <f t="shared" si="10"/>
        <v>0</v>
      </c>
      <c r="Z105" t="s">
        <v>1109</v>
      </c>
      <c r="AA105" t="str">
        <f t="shared" si="11"/>
        <v>High</v>
      </c>
      <c r="AB105" t="s">
        <v>1103</v>
      </c>
      <c r="AC105" t="str">
        <f t="shared" si="12"/>
        <v>No</v>
      </c>
      <c r="AD105">
        <v>2</v>
      </c>
      <c r="AE105">
        <v>23170</v>
      </c>
      <c r="AF105">
        <v>9268</v>
      </c>
      <c r="AG105">
        <f t="shared" si="13"/>
        <v>13356.4</v>
      </c>
    </row>
    <row r="106" spans="1:33" x14ac:dyDescent="0.25">
      <c r="A106">
        <v>1105</v>
      </c>
      <c r="B106" s="1">
        <v>46266</v>
      </c>
      <c r="C106" s="1">
        <v>46269</v>
      </c>
      <c r="D106" s="1">
        <v>46273</v>
      </c>
      <c r="E106" t="s">
        <v>1066</v>
      </c>
      <c r="F106" t="s">
        <v>134</v>
      </c>
      <c r="G106" t="s">
        <v>1068</v>
      </c>
      <c r="H106" t="str">
        <f t="shared" si="7"/>
        <v>Electronics</v>
      </c>
      <c r="I106">
        <v>5</v>
      </c>
      <c r="J106" t="str">
        <f>VLOOKUP(K106,$AJ$2:$AK$7,2,FALSE)</f>
        <v>S004</v>
      </c>
      <c r="K106" t="s">
        <v>1100</v>
      </c>
      <c r="L106">
        <v>4.9000000000000004</v>
      </c>
      <c r="M106" t="str">
        <f>IFERROR(VLOOKUP(TRIM(N106),$AP$2:$AQ$12,2,FALSE),"W001")</f>
        <v>W004</v>
      </c>
      <c r="N106" t="s">
        <v>1053</v>
      </c>
      <c r="O106" t="s">
        <v>1062</v>
      </c>
      <c r="P106" t="str">
        <f>VLOOKUP(O106,$AL$2:$AM$12,2,FALSE)</f>
        <v>North</v>
      </c>
      <c r="Q106" t="s">
        <v>1083</v>
      </c>
      <c r="R106">
        <v>1963</v>
      </c>
      <c r="S106" t="s">
        <v>1078</v>
      </c>
      <c r="T106">
        <f t="shared" si="8"/>
        <v>4</v>
      </c>
      <c r="U106">
        <v>981.5</v>
      </c>
      <c r="V106">
        <f t="shared" si="9"/>
        <v>10</v>
      </c>
      <c r="W106" t="s">
        <v>1087</v>
      </c>
      <c r="X106" t="s">
        <v>1091</v>
      </c>
      <c r="Y106">
        <f t="shared" si="10"/>
        <v>0</v>
      </c>
      <c r="Z106" t="s">
        <v>1109</v>
      </c>
      <c r="AA106" t="str">
        <f t="shared" si="11"/>
        <v>High</v>
      </c>
      <c r="AB106" t="s">
        <v>1103</v>
      </c>
      <c r="AC106" t="str">
        <f t="shared" si="12"/>
        <v>No</v>
      </c>
      <c r="AD106">
        <v>2</v>
      </c>
      <c r="AE106">
        <v>283695</v>
      </c>
      <c r="AF106">
        <v>113478</v>
      </c>
      <c r="AG106">
        <f t="shared" si="13"/>
        <v>169235.5</v>
      </c>
    </row>
    <row r="107" spans="1:33" x14ac:dyDescent="0.25">
      <c r="A107">
        <v>1106</v>
      </c>
      <c r="B107" s="1">
        <v>44442</v>
      </c>
      <c r="C107" s="1">
        <v>44443</v>
      </c>
      <c r="D107" s="1">
        <v>44447</v>
      </c>
      <c r="E107" t="s">
        <v>1065</v>
      </c>
      <c r="F107" t="s">
        <v>135</v>
      </c>
      <c r="G107" t="s">
        <v>1071</v>
      </c>
      <c r="H107" t="str">
        <f t="shared" si="7"/>
        <v>Clothing</v>
      </c>
      <c r="I107">
        <v>5</v>
      </c>
      <c r="J107" t="str">
        <f>VLOOKUP(K107,$AJ$2:$AK$7,2,FALSE)</f>
        <v>S005</v>
      </c>
      <c r="K107" t="s">
        <v>1101</v>
      </c>
      <c r="L107">
        <v>3</v>
      </c>
      <c r="M107" t="str">
        <f>IFERROR(VLOOKUP(TRIM(N107),$AP$2:$AQ$12,2,FALSE),"W001")</f>
        <v>W010</v>
      </c>
      <c r="N107" t="s">
        <v>1063</v>
      </c>
      <c r="O107" t="s">
        <v>1053</v>
      </c>
      <c r="P107" t="str">
        <f>VLOOKUP(O107,$AL$2:$AM$12,2,FALSE)</f>
        <v>South</v>
      </c>
      <c r="Q107" t="s">
        <v>1084</v>
      </c>
      <c r="R107">
        <v>786</v>
      </c>
      <c r="S107" t="s">
        <v>1066</v>
      </c>
      <c r="T107">
        <f t="shared" si="8"/>
        <v>3</v>
      </c>
      <c r="U107">
        <v>235.8</v>
      </c>
      <c r="V107">
        <f t="shared" si="9"/>
        <v>6</v>
      </c>
      <c r="W107" t="s">
        <v>1086</v>
      </c>
      <c r="X107" t="s">
        <v>1091</v>
      </c>
      <c r="Y107">
        <f t="shared" si="10"/>
        <v>235.8</v>
      </c>
      <c r="Z107" t="s">
        <v>1108</v>
      </c>
      <c r="AA107" t="str">
        <f t="shared" si="11"/>
        <v>Low</v>
      </c>
      <c r="AB107" t="s">
        <v>1103</v>
      </c>
      <c r="AC107" t="str">
        <f t="shared" si="12"/>
        <v>Yes</v>
      </c>
      <c r="AD107">
        <v>5</v>
      </c>
      <c r="AE107">
        <v>6810</v>
      </c>
      <c r="AF107">
        <v>2724</v>
      </c>
      <c r="AG107">
        <f t="shared" si="13"/>
        <v>3850.2</v>
      </c>
    </row>
    <row r="108" spans="1:33" x14ac:dyDescent="0.25">
      <c r="A108">
        <v>1107</v>
      </c>
      <c r="B108" s="1">
        <v>46021</v>
      </c>
      <c r="C108" s="1">
        <v>46024</v>
      </c>
      <c r="D108" s="1">
        <v>46027</v>
      </c>
      <c r="E108" t="s">
        <v>1066</v>
      </c>
      <c r="F108" t="s">
        <v>136</v>
      </c>
      <c r="G108" t="s">
        <v>1069</v>
      </c>
      <c r="H108" t="str">
        <f t="shared" si="7"/>
        <v>Furniture</v>
      </c>
      <c r="I108">
        <v>4</v>
      </c>
      <c r="J108" t="str">
        <f>VLOOKUP(K108,$AJ$2:$AK$7,2,FALSE)</f>
        <v>S004</v>
      </c>
      <c r="K108" t="s">
        <v>1100</v>
      </c>
      <c r="L108">
        <v>4.8</v>
      </c>
      <c r="M108" t="str">
        <f>IFERROR(VLOOKUP(TRIM(N108),$AP$2:$AQ$12,2,FALSE),"W001")</f>
        <v>W009</v>
      </c>
      <c r="N108" t="s">
        <v>1060</v>
      </c>
      <c r="O108" t="s">
        <v>1062</v>
      </c>
      <c r="P108" t="str">
        <f>VLOOKUP(O108,$AL$2:$AM$12,2,FALSE)</f>
        <v>North</v>
      </c>
      <c r="Q108" t="s">
        <v>1080</v>
      </c>
      <c r="R108">
        <v>874</v>
      </c>
      <c r="S108" t="s">
        <v>1078</v>
      </c>
      <c r="T108">
        <f t="shared" si="8"/>
        <v>5</v>
      </c>
      <c r="U108">
        <v>131.1</v>
      </c>
      <c r="V108">
        <f t="shared" si="9"/>
        <v>4</v>
      </c>
      <c r="W108" t="s">
        <v>1087</v>
      </c>
      <c r="X108" t="s">
        <v>1091</v>
      </c>
      <c r="Y108">
        <f t="shared" si="10"/>
        <v>0</v>
      </c>
      <c r="Z108" t="s">
        <v>1108</v>
      </c>
      <c r="AA108" t="str">
        <f t="shared" si="11"/>
        <v>Low</v>
      </c>
      <c r="AB108" t="s">
        <v>1103</v>
      </c>
      <c r="AC108" t="str">
        <f t="shared" si="12"/>
        <v>Yes</v>
      </c>
      <c r="AD108">
        <v>4</v>
      </c>
      <c r="AE108">
        <v>23136</v>
      </c>
      <c r="AF108">
        <v>9254.4</v>
      </c>
      <c r="AG108">
        <f t="shared" si="13"/>
        <v>13750.5</v>
      </c>
    </row>
    <row r="109" spans="1:33" x14ac:dyDescent="0.25">
      <c r="A109">
        <v>1108</v>
      </c>
      <c r="B109" s="1">
        <v>44627</v>
      </c>
      <c r="C109" s="1">
        <v>44630</v>
      </c>
      <c r="D109" s="1">
        <v>44636</v>
      </c>
      <c r="E109" t="s">
        <v>1066</v>
      </c>
      <c r="F109" t="s">
        <v>137</v>
      </c>
      <c r="G109" t="s">
        <v>1069</v>
      </c>
      <c r="H109" t="str">
        <f t="shared" si="7"/>
        <v>Furniture</v>
      </c>
      <c r="I109">
        <v>3</v>
      </c>
      <c r="J109" t="str">
        <f>VLOOKUP(K109,$AJ$2:$AK$7,2,FALSE)</f>
        <v>S005</v>
      </c>
      <c r="K109" t="s">
        <v>1101</v>
      </c>
      <c r="L109">
        <v>3</v>
      </c>
      <c r="M109" t="str">
        <f>IFERROR(VLOOKUP(TRIM(N109),$AP$2:$AQ$12,2,FALSE),"W001")</f>
        <v>W009</v>
      </c>
      <c r="N109" t="s">
        <v>1060</v>
      </c>
      <c r="O109" t="s">
        <v>1061</v>
      </c>
      <c r="P109" t="str">
        <f>VLOOKUP(O109,$AL$2:$AM$12,2,FALSE)</f>
        <v>West</v>
      </c>
      <c r="Q109" t="s">
        <v>1082</v>
      </c>
      <c r="R109">
        <v>1419</v>
      </c>
      <c r="S109" t="s">
        <v>1078</v>
      </c>
      <c r="T109">
        <f t="shared" si="8"/>
        <v>4</v>
      </c>
      <c r="U109">
        <v>567.6</v>
      </c>
      <c r="V109">
        <f t="shared" si="9"/>
        <v>8</v>
      </c>
      <c r="W109" t="s">
        <v>1086</v>
      </c>
      <c r="X109" t="s">
        <v>1089</v>
      </c>
      <c r="Y109">
        <f t="shared" si="10"/>
        <v>567.6</v>
      </c>
      <c r="Z109" t="s">
        <v>1109</v>
      </c>
      <c r="AA109" t="str">
        <f t="shared" si="11"/>
        <v>High</v>
      </c>
      <c r="AB109" t="s">
        <v>1103</v>
      </c>
      <c r="AC109" t="str">
        <f t="shared" si="12"/>
        <v>No</v>
      </c>
      <c r="AD109">
        <v>3</v>
      </c>
      <c r="AE109">
        <v>33978</v>
      </c>
      <c r="AF109">
        <v>13591.2</v>
      </c>
      <c r="AG109">
        <f t="shared" si="13"/>
        <v>19819.2</v>
      </c>
    </row>
    <row r="110" spans="1:33" x14ac:dyDescent="0.25">
      <c r="A110">
        <v>1109</v>
      </c>
      <c r="B110" s="1">
        <v>45571</v>
      </c>
      <c r="C110" s="1">
        <v>45573</v>
      </c>
      <c r="D110" s="1">
        <v>45579</v>
      </c>
      <c r="E110" t="s">
        <v>1064</v>
      </c>
      <c r="F110" t="s">
        <v>138</v>
      </c>
      <c r="G110" t="s">
        <v>1072</v>
      </c>
      <c r="H110" t="str">
        <f t="shared" si="7"/>
        <v>Electronics</v>
      </c>
      <c r="I110">
        <v>5</v>
      </c>
      <c r="J110" t="str">
        <f>VLOOKUP(K110,$AJ$2:$AK$7,2,FALSE)</f>
        <v>S004</v>
      </c>
      <c r="K110" t="s">
        <v>1100</v>
      </c>
      <c r="L110">
        <v>4.3</v>
      </c>
      <c r="M110" t="str">
        <f>IFERROR(VLOOKUP(TRIM(N110),$AP$2:$AQ$12,2,FALSE),"W001")</f>
        <v>W011</v>
      </c>
      <c r="N110" t="s">
        <v>1059</v>
      </c>
      <c r="O110" t="s">
        <v>1061</v>
      </c>
      <c r="P110" t="str">
        <f>VLOOKUP(O110,$AL$2:$AM$12,2,FALSE)</f>
        <v>West</v>
      </c>
      <c r="Q110" t="s">
        <v>1085</v>
      </c>
      <c r="R110">
        <v>408</v>
      </c>
      <c r="S110" t="s">
        <v>1066</v>
      </c>
      <c r="T110">
        <f t="shared" si="8"/>
        <v>5</v>
      </c>
      <c r="U110">
        <v>40.799999999999997</v>
      </c>
      <c r="V110">
        <f t="shared" si="9"/>
        <v>3</v>
      </c>
      <c r="W110" t="s">
        <v>1086</v>
      </c>
      <c r="X110" t="s">
        <v>1089</v>
      </c>
      <c r="Y110">
        <f t="shared" si="10"/>
        <v>40.799999999999997</v>
      </c>
      <c r="Z110" t="s">
        <v>1108</v>
      </c>
      <c r="AA110" t="str">
        <f t="shared" si="11"/>
        <v>Low</v>
      </c>
      <c r="AB110" t="s">
        <v>1103</v>
      </c>
      <c r="AC110" t="str">
        <f t="shared" si="12"/>
        <v>Yes</v>
      </c>
      <c r="AD110">
        <v>5</v>
      </c>
      <c r="AE110">
        <v>128765</v>
      </c>
      <c r="AF110">
        <v>51506</v>
      </c>
      <c r="AG110">
        <f t="shared" si="13"/>
        <v>77218.2</v>
      </c>
    </row>
    <row r="111" spans="1:33" x14ac:dyDescent="0.25">
      <c r="A111">
        <v>1110</v>
      </c>
      <c r="B111" s="1">
        <v>44616</v>
      </c>
      <c r="C111" s="1">
        <v>44618</v>
      </c>
      <c r="D111" s="1">
        <v>44620</v>
      </c>
      <c r="E111" t="s">
        <v>1065</v>
      </c>
      <c r="F111" t="s">
        <v>139</v>
      </c>
      <c r="G111" t="s">
        <v>1071</v>
      </c>
      <c r="H111" t="str">
        <f t="shared" si="7"/>
        <v>Clothing</v>
      </c>
      <c r="I111">
        <v>3</v>
      </c>
      <c r="J111" t="str">
        <f>VLOOKUP(K111,$AJ$2:$AK$7,2,FALSE)</f>
        <v>S006</v>
      </c>
      <c r="K111" t="s">
        <v>1102</v>
      </c>
      <c r="L111">
        <v>3.6</v>
      </c>
      <c r="M111" t="str">
        <f>IFERROR(VLOOKUP(TRIM(N111),$AP$2:$AQ$12,2,FALSE),"W001")</f>
        <v>W007</v>
      </c>
      <c r="N111" t="s">
        <v>1062</v>
      </c>
      <c r="O111" t="s">
        <v>1063</v>
      </c>
      <c r="P111" t="str">
        <f>VLOOKUP(O111,$AL$2:$AM$12,2,FALSE)</f>
        <v>South</v>
      </c>
      <c r="Q111" t="s">
        <v>1082</v>
      </c>
      <c r="R111">
        <v>633</v>
      </c>
      <c r="S111" t="s">
        <v>1066</v>
      </c>
      <c r="T111">
        <f t="shared" si="8"/>
        <v>2</v>
      </c>
      <c r="U111">
        <v>253.2</v>
      </c>
      <c r="V111">
        <f t="shared" si="9"/>
        <v>8</v>
      </c>
      <c r="W111" t="s">
        <v>1087</v>
      </c>
      <c r="X111" t="s">
        <v>1089</v>
      </c>
      <c r="Y111">
        <f t="shared" si="10"/>
        <v>0</v>
      </c>
      <c r="Z111" t="s">
        <v>1108</v>
      </c>
      <c r="AA111" t="str">
        <f t="shared" si="11"/>
        <v>Medium</v>
      </c>
      <c r="AB111" t="s">
        <v>1103</v>
      </c>
      <c r="AC111" t="str">
        <f t="shared" si="12"/>
        <v>Yes</v>
      </c>
      <c r="AD111">
        <v>4</v>
      </c>
      <c r="AE111">
        <v>8313</v>
      </c>
      <c r="AF111">
        <v>3325.2000000000003</v>
      </c>
      <c r="AG111">
        <f t="shared" si="13"/>
        <v>4734.5999999999995</v>
      </c>
    </row>
    <row r="112" spans="1:33" x14ac:dyDescent="0.25">
      <c r="A112">
        <v>1111</v>
      </c>
      <c r="B112" s="1">
        <v>44886</v>
      </c>
      <c r="C112" s="1">
        <v>44889</v>
      </c>
      <c r="D112" s="1">
        <v>44893</v>
      </c>
      <c r="E112" t="s">
        <v>1064</v>
      </c>
      <c r="F112" t="s">
        <v>140</v>
      </c>
      <c r="G112" t="s">
        <v>1071</v>
      </c>
      <c r="H112" t="str">
        <f t="shared" si="7"/>
        <v>Clothing</v>
      </c>
      <c r="I112">
        <v>5</v>
      </c>
      <c r="J112" t="str">
        <f>VLOOKUP(K112,$AJ$2:$AK$7,2,FALSE)</f>
        <v>S001</v>
      </c>
      <c r="K112" t="s">
        <v>1097</v>
      </c>
      <c r="L112">
        <v>4.5999999999999996</v>
      </c>
      <c r="M112" t="str">
        <f>IFERROR(VLOOKUP(TRIM(N112),$AP$2:$AQ$12,2,FALSE),"W001")</f>
        <v>W005</v>
      </c>
      <c r="N112" t="s">
        <v>1055</v>
      </c>
      <c r="O112" t="s">
        <v>1049</v>
      </c>
      <c r="P112" t="str">
        <f>VLOOKUP(O112,$AL$2:$AM$12,2,FALSE)</f>
        <v>North</v>
      </c>
      <c r="Q112" t="s">
        <v>1084</v>
      </c>
      <c r="R112">
        <v>439</v>
      </c>
      <c r="S112" t="s">
        <v>1066</v>
      </c>
      <c r="T112">
        <f t="shared" si="8"/>
        <v>2</v>
      </c>
      <c r="U112">
        <v>131.69999999999999</v>
      </c>
      <c r="V112">
        <f t="shared" si="9"/>
        <v>6</v>
      </c>
      <c r="W112" t="s">
        <v>1088</v>
      </c>
      <c r="X112" t="s">
        <v>1091</v>
      </c>
      <c r="Y112">
        <f t="shared" si="10"/>
        <v>0</v>
      </c>
      <c r="Z112" t="s">
        <v>1108</v>
      </c>
      <c r="AA112" t="str">
        <f t="shared" si="11"/>
        <v>Low</v>
      </c>
      <c r="AB112" t="s">
        <v>1103</v>
      </c>
      <c r="AC112" t="str">
        <f t="shared" si="12"/>
        <v>Yes</v>
      </c>
      <c r="AD112">
        <v>5</v>
      </c>
      <c r="AE112">
        <v>8675</v>
      </c>
      <c r="AF112">
        <v>3470</v>
      </c>
      <c r="AG112">
        <f t="shared" si="13"/>
        <v>5073.3</v>
      </c>
    </row>
    <row r="113" spans="1:33" x14ac:dyDescent="0.25">
      <c r="A113">
        <v>1112</v>
      </c>
      <c r="B113" s="1">
        <v>46148</v>
      </c>
      <c r="C113" s="1">
        <v>46149</v>
      </c>
      <c r="D113" s="1">
        <v>46151</v>
      </c>
      <c r="E113" t="s">
        <v>1064</v>
      </c>
      <c r="F113" t="s">
        <v>141</v>
      </c>
      <c r="G113" t="s">
        <v>1069</v>
      </c>
      <c r="H113" t="str">
        <f t="shared" si="7"/>
        <v>Furniture</v>
      </c>
      <c r="I113">
        <v>6</v>
      </c>
      <c r="J113" t="str">
        <f>VLOOKUP(K113,$AJ$2:$AK$7,2,FALSE)</f>
        <v>S006</v>
      </c>
      <c r="K113" t="s">
        <v>1102</v>
      </c>
      <c r="L113">
        <v>4.3</v>
      </c>
      <c r="M113" t="str">
        <f>IFERROR(VLOOKUP(TRIM(N113),$AP$2:$AQ$12,2,FALSE),"W001")</f>
        <v>W008</v>
      </c>
      <c r="N113" t="s">
        <v>1061</v>
      </c>
      <c r="O113" t="s">
        <v>1055</v>
      </c>
      <c r="P113" t="str">
        <f>VLOOKUP(O113,$AL$2:$AM$12,2,FALSE)</f>
        <v>South</v>
      </c>
      <c r="Q113" t="s">
        <v>1084</v>
      </c>
      <c r="R113">
        <v>571</v>
      </c>
      <c r="S113" t="s">
        <v>1066</v>
      </c>
      <c r="T113">
        <f t="shared" si="8"/>
        <v>3</v>
      </c>
      <c r="U113">
        <v>171.3</v>
      </c>
      <c r="V113">
        <f t="shared" si="9"/>
        <v>6</v>
      </c>
      <c r="W113" t="s">
        <v>1088</v>
      </c>
      <c r="X113" t="s">
        <v>1089</v>
      </c>
      <c r="Y113">
        <f t="shared" si="10"/>
        <v>0</v>
      </c>
      <c r="Z113" t="s">
        <v>1108</v>
      </c>
      <c r="AA113" t="str">
        <f t="shared" si="11"/>
        <v>Low</v>
      </c>
      <c r="AB113" t="s">
        <v>1103</v>
      </c>
      <c r="AC113" t="str">
        <f t="shared" si="12"/>
        <v>Yes</v>
      </c>
      <c r="AD113">
        <v>5</v>
      </c>
      <c r="AE113">
        <v>60714</v>
      </c>
      <c r="AF113">
        <v>24285.600000000002</v>
      </c>
      <c r="AG113">
        <f t="shared" si="13"/>
        <v>36257.099999999991</v>
      </c>
    </row>
    <row r="114" spans="1:33" x14ac:dyDescent="0.25">
      <c r="A114">
        <v>1113</v>
      </c>
      <c r="B114" s="1">
        <v>44440</v>
      </c>
      <c r="C114" s="1">
        <v>44443</v>
      </c>
      <c r="D114" s="1">
        <v>44446</v>
      </c>
      <c r="E114" t="s">
        <v>1064</v>
      </c>
      <c r="F114" t="s">
        <v>142</v>
      </c>
      <c r="G114" t="s">
        <v>1072</v>
      </c>
      <c r="H114" t="str">
        <f t="shared" si="7"/>
        <v>Electronics</v>
      </c>
      <c r="I114">
        <v>4</v>
      </c>
      <c r="J114" t="str">
        <f>VLOOKUP(K114,$AJ$2:$AK$7,2,FALSE)</f>
        <v>S005</v>
      </c>
      <c r="K114" t="s">
        <v>1101</v>
      </c>
      <c r="L114">
        <v>3.4</v>
      </c>
      <c r="M114" t="str">
        <f>IFERROR(VLOOKUP(TRIM(N114),$AP$2:$AQ$12,2,FALSE),"W001")</f>
        <v>W008</v>
      </c>
      <c r="N114" t="s">
        <v>1061</v>
      </c>
      <c r="O114" t="s">
        <v>1057</v>
      </c>
      <c r="P114" t="str">
        <f>VLOOKUP(O114,$AL$2:$AM$12,2,FALSE)</f>
        <v>South</v>
      </c>
      <c r="Q114" t="s">
        <v>1085</v>
      </c>
      <c r="R114">
        <v>882</v>
      </c>
      <c r="S114" t="s">
        <v>1078</v>
      </c>
      <c r="T114">
        <f t="shared" si="8"/>
        <v>7</v>
      </c>
      <c r="U114">
        <v>88.2</v>
      </c>
      <c r="V114">
        <f t="shared" si="9"/>
        <v>3</v>
      </c>
      <c r="W114" t="s">
        <v>1088</v>
      </c>
      <c r="X114" t="s">
        <v>1091</v>
      </c>
      <c r="Y114">
        <f t="shared" si="10"/>
        <v>0</v>
      </c>
      <c r="Z114" t="s">
        <v>1108</v>
      </c>
      <c r="AA114" t="str">
        <f t="shared" si="11"/>
        <v>Low</v>
      </c>
      <c r="AB114" t="s">
        <v>1103</v>
      </c>
      <c r="AC114" t="str">
        <f t="shared" si="12"/>
        <v>Yes</v>
      </c>
      <c r="AD114">
        <v>5</v>
      </c>
      <c r="AE114">
        <v>90612</v>
      </c>
      <c r="AF114">
        <v>36244.800000000003</v>
      </c>
      <c r="AG114">
        <f t="shared" si="13"/>
        <v>54279</v>
      </c>
    </row>
    <row r="115" spans="1:33" x14ac:dyDescent="0.25">
      <c r="A115">
        <v>1114</v>
      </c>
      <c r="B115" s="1">
        <v>45411</v>
      </c>
      <c r="C115" s="1">
        <v>45414</v>
      </c>
      <c r="D115" s="1">
        <v>45421</v>
      </c>
      <c r="E115" t="s">
        <v>1064</v>
      </c>
      <c r="F115" t="s">
        <v>143</v>
      </c>
      <c r="G115" t="s">
        <v>1070</v>
      </c>
      <c r="H115" t="str">
        <f t="shared" si="7"/>
        <v>Furniture</v>
      </c>
      <c r="I115">
        <v>7</v>
      </c>
      <c r="J115" t="str">
        <f>VLOOKUP(K115,$AJ$2:$AK$7,2,FALSE)</f>
        <v>S001</v>
      </c>
      <c r="K115" t="s">
        <v>1097</v>
      </c>
      <c r="L115">
        <v>3.5</v>
      </c>
      <c r="M115" t="str">
        <f>IFERROR(VLOOKUP(TRIM(N115),$AP$2:$AQ$12,2,FALSE),"W001")</f>
        <v>W002</v>
      </c>
      <c r="N115" t="s">
        <v>1049</v>
      </c>
      <c r="O115" t="s">
        <v>1053</v>
      </c>
      <c r="P115" t="str">
        <f>VLOOKUP(O115,$AL$2:$AM$12,2,FALSE)</f>
        <v>South</v>
      </c>
      <c r="Q115" t="s">
        <v>1084</v>
      </c>
      <c r="R115">
        <v>317</v>
      </c>
      <c r="S115" t="s">
        <v>1066</v>
      </c>
      <c r="T115">
        <f t="shared" si="8"/>
        <v>2</v>
      </c>
      <c r="U115">
        <v>95.1</v>
      </c>
      <c r="V115">
        <f t="shared" si="9"/>
        <v>6</v>
      </c>
      <c r="W115" t="s">
        <v>1088</v>
      </c>
      <c r="X115" t="s">
        <v>1091</v>
      </c>
      <c r="Y115">
        <f t="shared" si="10"/>
        <v>0</v>
      </c>
      <c r="Z115" t="s">
        <v>1108</v>
      </c>
      <c r="AA115" t="str">
        <f t="shared" si="11"/>
        <v>Low</v>
      </c>
      <c r="AB115" t="s">
        <v>1103</v>
      </c>
      <c r="AC115" t="str">
        <f t="shared" si="12"/>
        <v>Yes</v>
      </c>
      <c r="AD115">
        <v>5</v>
      </c>
      <c r="AE115">
        <v>39305</v>
      </c>
      <c r="AF115">
        <v>15722</v>
      </c>
      <c r="AG115">
        <f t="shared" si="13"/>
        <v>23487.9</v>
      </c>
    </row>
    <row r="116" spans="1:33" x14ac:dyDescent="0.25">
      <c r="A116">
        <v>1115</v>
      </c>
      <c r="B116" s="1">
        <v>45122</v>
      </c>
      <c r="C116" s="1">
        <v>45123</v>
      </c>
      <c r="D116" s="1">
        <v>45126</v>
      </c>
      <c r="E116" t="s">
        <v>1064</v>
      </c>
      <c r="F116" t="s">
        <v>144</v>
      </c>
      <c r="G116" t="s">
        <v>1071</v>
      </c>
      <c r="H116" t="str">
        <f t="shared" si="7"/>
        <v>Clothing</v>
      </c>
      <c r="I116">
        <v>8</v>
      </c>
      <c r="J116" t="str">
        <f>VLOOKUP(K116,$AJ$2:$AK$7,2,FALSE)</f>
        <v>S006</v>
      </c>
      <c r="K116" t="s">
        <v>1102</v>
      </c>
      <c r="L116">
        <v>4.0999999999999996</v>
      </c>
      <c r="M116" t="str">
        <f>IFERROR(VLOOKUP(TRIM(N116),$AP$2:$AQ$12,2,FALSE),"W001")</f>
        <v>W007</v>
      </c>
      <c r="N116" t="s">
        <v>1062</v>
      </c>
      <c r="O116" t="s">
        <v>1063</v>
      </c>
      <c r="P116" t="str">
        <f>VLOOKUP(O116,$AL$2:$AM$12,2,FALSE)</f>
        <v>South</v>
      </c>
      <c r="Q116" t="s">
        <v>1085</v>
      </c>
      <c r="R116">
        <v>1347</v>
      </c>
      <c r="S116" t="s">
        <v>1078</v>
      </c>
      <c r="T116">
        <f t="shared" si="8"/>
        <v>10</v>
      </c>
      <c r="U116">
        <v>134.69999999999999</v>
      </c>
      <c r="V116">
        <f t="shared" si="9"/>
        <v>3</v>
      </c>
      <c r="W116" t="s">
        <v>1088</v>
      </c>
      <c r="X116" t="s">
        <v>1091</v>
      </c>
      <c r="Y116">
        <f t="shared" si="10"/>
        <v>0</v>
      </c>
      <c r="Z116" t="s">
        <v>1108</v>
      </c>
      <c r="AA116" t="str">
        <f t="shared" si="11"/>
        <v>Low</v>
      </c>
      <c r="AB116" t="s">
        <v>1103</v>
      </c>
      <c r="AC116" t="str">
        <f t="shared" si="12"/>
        <v>Yes</v>
      </c>
      <c r="AD116">
        <v>4</v>
      </c>
      <c r="AE116">
        <v>22232</v>
      </c>
      <c r="AF116">
        <v>8892.8000000000011</v>
      </c>
      <c r="AG116">
        <f t="shared" si="13"/>
        <v>13204.499999999998</v>
      </c>
    </row>
    <row r="117" spans="1:33" x14ac:dyDescent="0.25">
      <c r="A117">
        <v>1116</v>
      </c>
      <c r="B117" s="1">
        <v>45400</v>
      </c>
      <c r="C117" s="1">
        <v>45402</v>
      </c>
      <c r="D117" s="1">
        <v>45408</v>
      </c>
      <c r="E117" t="s">
        <v>1064</v>
      </c>
      <c r="F117" t="s">
        <v>145</v>
      </c>
      <c r="G117" t="s">
        <v>1070</v>
      </c>
      <c r="H117" t="str">
        <f t="shared" si="7"/>
        <v>Furniture</v>
      </c>
      <c r="I117">
        <v>2</v>
      </c>
      <c r="J117" t="str">
        <f>VLOOKUP(K117,$AJ$2:$AK$7,2,FALSE)</f>
        <v>S002</v>
      </c>
      <c r="K117" t="s">
        <v>1098</v>
      </c>
      <c r="L117">
        <v>3.4</v>
      </c>
      <c r="M117" t="str">
        <f>IFERROR(VLOOKUP(TRIM(N117),$AP$2:$AQ$12,2,FALSE),"W001")</f>
        <v>W006</v>
      </c>
      <c r="N117" t="s">
        <v>1057</v>
      </c>
      <c r="O117" t="s">
        <v>1057</v>
      </c>
      <c r="P117" t="str">
        <f>VLOOKUP(O117,$AL$2:$AM$12,2,FALSE)</f>
        <v>South</v>
      </c>
      <c r="Q117" t="s">
        <v>1081</v>
      </c>
      <c r="R117">
        <v>26</v>
      </c>
      <c r="S117" t="s">
        <v>1079</v>
      </c>
      <c r="T117">
        <f t="shared" si="8"/>
        <v>1</v>
      </c>
      <c r="U117">
        <v>5.2</v>
      </c>
      <c r="V117">
        <f t="shared" si="9"/>
        <v>5</v>
      </c>
      <c r="W117" t="s">
        <v>1086</v>
      </c>
      <c r="X117" t="s">
        <v>1089</v>
      </c>
      <c r="Y117">
        <f t="shared" si="10"/>
        <v>5.2</v>
      </c>
      <c r="Z117" t="s">
        <v>1108</v>
      </c>
      <c r="AA117" t="str">
        <f t="shared" si="11"/>
        <v>Low</v>
      </c>
      <c r="AB117" t="s">
        <v>1103</v>
      </c>
      <c r="AC117" t="str">
        <f t="shared" si="12"/>
        <v>Yes</v>
      </c>
      <c r="AD117">
        <v>5</v>
      </c>
      <c r="AE117">
        <v>4772</v>
      </c>
      <c r="AF117">
        <v>1908.8000000000002</v>
      </c>
      <c r="AG117">
        <f t="shared" si="13"/>
        <v>2858</v>
      </c>
    </row>
    <row r="118" spans="1:33" x14ac:dyDescent="0.25">
      <c r="A118">
        <v>1117</v>
      </c>
      <c r="B118" s="1">
        <v>46058</v>
      </c>
      <c r="C118" s="1">
        <v>46060</v>
      </c>
      <c r="D118" s="1">
        <v>46062</v>
      </c>
      <c r="E118" t="s">
        <v>1065</v>
      </c>
      <c r="F118" t="s">
        <v>146</v>
      </c>
      <c r="G118" t="s">
        <v>1071</v>
      </c>
      <c r="H118" t="str">
        <f t="shared" si="7"/>
        <v>Clothing</v>
      </c>
      <c r="I118">
        <v>5</v>
      </c>
      <c r="J118" t="str">
        <f>VLOOKUP(K118,$AJ$2:$AK$7,2,FALSE)</f>
        <v>S002</v>
      </c>
      <c r="K118" t="s">
        <v>1098</v>
      </c>
      <c r="L118">
        <v>3.2</v>
      </c>
      <c r="M118" t="str">
        <f>IFERROR(VLOOKUP(TRIM(N118),$AP$2:$AQ$12,2,FALSE),"W001")</f>
        <v>W010</v>
      </c>
      <c r="N118" t="s">
        <v>1063</v>
      </c>
      <c r="O118" t="s">
        <v>1053</v>
      </c>
      <c r="P118" t="str">
        <f>VLOOKUP(O118,$AL$2:$AM$12,2,FALSE)</f>
        <v>South</v>
      </c>
      <c r="Q118" t="s">
        <v>1081</v>
      </c>
      <c r="R118">
        <v>208</v>
      </c>
      <c r="S118" t="s">
        <v>1066</v>
      </c>
      <c r="T118">
        <f t="shared" si="8"/>
        <v>2</v>
      </c>
      <c r="U118">
        <v>41.6</v>
      </c>
      <c r="V118">
        <f t="shared" si="9"/>
        <v>5</v>
      </c>
      <c r="W118" t="s">
        <v>1087</v>
      </c>
      <c r="X118" t="s">
        <v>1091</v>
      </c>
      <c r="Y118">
        <f t="shared" si="10"/>
        <v>0</v>
      </c>
      <c r="Z118" t="s">
        <v>1108</v>
      </c>
      <c r="AA118" t="str">
        <f t="shared" si="11"/>
        <v>Low</v>
      </c>
      <c r="AB118" t="s">
        <v>1103</v>
      </c>
      <c r="AC118" t="str">
        <f t="shared" si="12"/>
        <v>Yes</v>
      </c>
      <c r="AD118">
        <v>4</v>
      </c>
      <c r="AE118">
        <v>9720</v>
      </c>
      <c r="AF118">
        <v>3888</v>
      </c>
      <c r="AG118">
        <f t="shared" si="13"/>
        <v>5790.4</v>
      </c>
    </row>
    <row r="119" spans="1:33" x14ac:dyDescent="0.25">
      <c r="A119">
        <v>1118</v>
      </c>
      <c r="B119" s="1">
        <v>45384</v>
      </c>
      <c r="C119" s="1">
        <v>45386</v>
      </c>
      <c r="D119" s="1">
        <v>45393</v>
      </c>
      <c r="E119" t="s">
        <v>1066</v>
      </c>
      <c r="F119" t="s">
        <v>147</v>
      </c>
      <c r="G119" t="s">
        <v>1069</v>
      </c>
      <c r="H119" t="str">
        <f t="shared" si="7"/>
        <v>Furniture</v>
      </c>
      <c r="I119">
        <v>3</v>
      </c>
      <c r="J119" t="str">
        <f>VLOOKUP(K119,$AJ$2:$AK$7,2,FALSE)</f>
        <v>S005</v>
      </c>
      <c r="K119" t="s">
        <v>1101</v>
      </c>
      <c r="L119">
        <v>4.8</v>
      </c>
      <c r="M119" t="str">
        <f>IFERROR(VLOOKUP(TRIM(N119),$AP$2:$AQ$12,2,FALSE),"W001")</f>
        <v>W006</v>
      </c>
      <c r="N119" t="s">
        <v>1057</v>
      </c>
      <c r="O119" t="s">
        <v>1047</v>
      </c>
      <c r="P119" t="str">
        <f>VLOOKUP(O119,$AL$2:$AM$12,2,FALSE)</f>
        <v>West</v>
      </c>
      <c r="Q119" t="s">
        <v>1084</v>
      </c>
      <c r="R119">
        <v>1685</v>
      </c>
      <c r="S119" t="s">
        <v>1078</v>
      </c>
      <c r="T119">
        <f t="shared" si="8"/>
        <v>6</v>
      </c>
      <c r="U119">
        <v>505.5</v>
      </c>
      <c r="V119">
        <f t="shared" si="9"/>
        <v>6</v>
      </c>
      <c r="W119" t="s">
        <v>1087</v>
      </c>
      <c r="X119" t="s">
        <v>1091</v>
      </c>
      <c r="Y119">
        <f t="shared" si="10"/>
        <v>0</v>
      </c>
      <c r="Z119" t="s">
        <v>1109</v>
      </c>
      <c r="AA119" t="str">
        <f t="shared" si="11"/>
        <v>High</v>
      </c>
      <c r="AB119" t="s">
        <v>1103</v>
      </c>
      <c r="AC119" t="str">
        <f t="shared" si="12"/>
        <v>No</v>
      </c>
      <c r="AD119">
        <v>3</v>
      </c>
      <c r="AE119">
        <v>38568</v>
      </c>
      <c r="AF119">
        <v>15427.2</v>
      </c>
      <c r="AG119">
        <f t="shared" si="13"/>
        <v>22635.3</v>
      </c>
    </row>
    <row r="120" spans="1:33" x14ac:dyDescent="0.25">
      <c r="A120">
        <v>1119</v>
      </c>
      <c r="B120" s="1">
        <v>45194</v>
      </c>
      <c r="C120" s="1">
        <v>45197</v>
      </c>
      <c r="D120" s="1">
        <v>45201</v>
      </c>
      <c r="E120" t="s">
        <v>1065</v>
      </c>
      <c r="F120" t="s">
        <v>148</v>
      </c>
      <c r="G120" t="s">
        <v>1067</v>
      </c>
      <c r="H120" t="str">
        <f t="shared" si="7"/>
        <v>Clothing</v>
      </c>
      <c r="I120">
        <v>7</v>
      </c>
      <c r="J120" t="str">
        <f>VLOOKUP(K120,$AJ$2:$AK$7,2,FALSE)</f>
        <v>S006</v>
      </c>
      <c r="K120" t="s">
        <v>1102</v>
      </c>
      <c r="L120">
        <v>4.3</v>
      </c>
      <c r="M120" t="str">
        <f>IFERROR(VLOOKUP(TRIM(N120),$AP$2:$AQ$12,2,FALSE),"W001")</f>
        <v>W005</v>
      </c>
      <c r="N120" t="s">
        <v>1055</v>
      </c>
      <c r="O120" t="s">
        <v>1062</v>
      </c>
      <c r="P120" t="str">
        <f>VLOOKUP(O120,$AL$2:$AM$12,2,FALSE)</f>
        <v>North</v>
      </c>
      <c r="Q120" t="s">
        <v>1080</v>
      </c>
      <c r="R120">
        <v>1719</v>
      </c>
      <c r="S120" t="s">
        <v>1078</v>
      </c>
      <c r="T120">
        <f t="shared" si="8"/>
        <v>8</v>
      </c>
      <c r="U120">
        <v>257.85000000000002</v>
      </c>
      <c r="V120">
        <f t="shared" si="9"/>
        <v>4</v>
      </c>
      <c r="W120" t="s">
        <v>1086</v>
      </c>
      <c r="X120" t="s">
        <v>1091</v>
      </c>
      <c r="Y120">
        <f t="shared" si="10"/>
        <v>257.85000000000002</v>
      </c>
      <c r="Z120" t="s">
        <v>1108</v>
      </c>
      <c r="AA120" t="str">
        <f t="shared" si="11"/>
        <v>Low</v>
      </c>
      <c r="AB120" t="s">
        <v>1103</v>
      </c>
      <c r="AC120" t="str">
        <f t="shared" si="12"/>
        <v>Yes</v>
      </c>
      <c r="AD120">
        <v>4</v>
      </c>
      <c r="AE120">
        <v>10332</v>
      </c>
      <c r="AF120">
        <v>4132.8</v>
      </c>
      <c r="AG120">
        <f t="shared" si="13"/>
        <v>5941.3499999999995</v>
      </c>
    </row>
    <row r="121" spans="1:33" x14ac:dyDescent="0.25">
      <c r="A121">
        <v>1120</v>
      </c>
      <c r="B121" s="1">
        <v>45805</v>
      </c>
      <c r="C121" s="1">
        <v>45807</v>
      </c>
      <c r="D121" s="1">
        <v>45812</v>
      </c>
      <c r="E121" t="s">
        <v>1066</v>
      </c>
      <c r="F121" t="s">
        <v>149</v>
      </c>
      <c r="G121" t="s">
        <v>1067</v>
      </c>
      <c r="H121" t="str">
        <f t="shared" si="7"/>
        <v>Clothing</v>
      </c>
      <c r="I121">
        <v>10</v>
      </c>
      <c r="J121" t="str">
        <f>VLOOKUP(K121,$AJ$2:$AK$7,2,FALSE)</f>
        <v>S005</v>
      </c>
      <c r="K121" t="s">
        <v>1101</v>
      </c>
      <c r="L121">
        <v>3.1</v>
      </c>
      <c r="M121" t="str">
        <f>IFERROR(VLOOKUP(TRIM(N121),$AP$2:$AQ$12,2,FALSE),"W001")</f>
        <v>W010</v>
      </c>
      <c r="N121" t="s">
        <v>1063</v>
      </c>
      <c r="O121" t="s">
        <v>1053</v>
      </c>
      <c r="P121" t="str">
        <f>VLOOKUP(O121,$AL$2:$AM$12,2,FALSE)</f>
        <v>South</v>
      </c>
      <c r="Q121" t="s">
        <v>1081</v>
      </c>
      <c r="R121">
        <v>1913</v>
      </c>
      <c r="S121" t="s">
        <v>1078</v>
      </c>
      <c r="T121">
        <f t="shared" si="8"/>
        <v>9</v>
      </c>
      <c r="U121">
        <v>382.6</v>
      </c>
      <c r="V121">
        <f t="shared" si="9"/>
        <v>5</v>
      </c>
      <c r="W121" t="s">
        <v>1087</v>
      </c>
      <c r="X121" t="s">
        <v>1091</v>
      </c>
      <c r="Y121">
        <f t="shared" si="10"/>
        <v>0</v>
      </c>
      <c r="Z121" t="s">
        <v>1109</v>
      </c>
      <c r="AA121" t="str">
        <f t="shared" si="11"/>
        <v>High</v>
      </c>
      <c r="AB121" t="s">
        <v>1104</v>
      </c>
      <c r="AC121" t="str">
        <f t="shared" si="12"/>
        <v>No</v>
      </c>
      <c r="AD121">
        <v>1</v>
      </c>
      <c r="AE121">
        <v>11930</v>
      </c>
      <c r="AF121">
        <v>4772</v>
      </c>
      <c r="AG121">
        <f t="shared" si="13"/>
        <v>6775.4</v>
      </c>
    </row>
    <row r="122" spans="1:33" x14ac:dyDescent="0.25">
      <c r="A122">
        <v>1121</v>
      </c>
      <c r="B122" s="1">
        <v>45459</v>
      </c>
      <c r="C122" s="1">
        <v>45461</v>
      </c>
      <c r="D122" s="1">
        <v>45466</v>
      </c>
      <c r="E122" t="s">
        <v>1065</v>
      </c>
      <c r="F122" t="s">
        <v>150</v>
      </c>
      <c r="G122" t="s">
        <v>1068</v>
      </c>
      <c r="H122" t="str">
        <f t="shared" si="7"/>
        <v>Electronics</v>
      </c>
      <c r="I122">
        <v>7</v>
      </c>
      <c r="J122" t="str">
        <f>VLOOKUP(K122,$AJ$2:$AK$7,2,FALSE)</f>
        <v>S003</v>
      </c>
      <c r="K122" t="s">
        <v>1099</v>
      </c>
      <c r="L122">
        <v>4.4000000000000004</v>
      </c>
      <c r="M122" t="str">
        <f>IFERROR(VLOOKUP(TRIM(N122),$AP$2:$AQ$12,2,FALSE),"W001")</f>
        <v>W004</v>
      </c>
      <c r="N122" t="s">
        <v>1053</v>
      </c>
      <c r="O122" t="s">
        <v>1061</v>
      </c>
      <c r="P122" t="str">
        <f>VLOOKUP(O122,$AL$2:$AM$12,2,FALSE)</f>
        <v>West</v>
      </c>
      <c r="Q122" t="s">
        <v>1084</v>
      </c>
      <c r="R122">
        <v>434</v>
      </c>
      <c r="S122" t="s">
        <v>1066</v>
      </c>
      <c r="T122">
        <f t="shared" si="8"/>
        <v>2</v>
      </c>
      <c r="U122">
        <v>130.19999999999999</v>
      </c>
      <c r="V122">
        <f t="shared" si="9"/>
        <v>6</v>
      </c>
      <c r="W122" t="s">
        <v>1088</v>
      </c>
      <c r="X122" t="s">
        <v>1091</v>
      </c>
      <c r="Y122">
        <f t="shared" si="10"/>
        <v>0</v>
      </c>
      <c r="Z122" t="s">
        <v>1108</v>
      </c>
      <c r="AA122" t="str">
        <f t="shared" si="11"/>
        <v>Low</v>
      </c>
      <c r="AB122" t="s">
        <v>1103</v>
      </c>
      <c r="AC122" t="str">
        <f t="shared" si="12"/>
        <v>Yes</v>
      </c>
      <c r="AD122">
        <v>4</v>
      </c>
      <c r="AE122">
        <v>328223</v>
      </c>
      <c r="AF122">
        <v>131289.20000000001</v>
      </c>
      <c r="AG122">
        <f t="shared" si="13"/>
        <v>196803.59999999998</v>
      </c>
    </row>
    <row r="123" spans="1:33" x14ac:dyDescent="0.25">
      <c r="A123">
        <v>1122</v>
      </c>
      <c r="B123" s="1">
        <v>45625</v>
      </c>
      <c r="C123" s="1">
        <v>45626</v>
      </c>
      <c r="D123" s="1">
        <v>45633</v>
      </c>
      <c r="E123" t="s">
        <v>1064</v>
      </c>
      <c r="F123" t="s">
        <v>151</v>
      </c>
      <c r="G123" t="s">
        <v>1068</v>
      </c>
      <c r="H123" t="str">
        <f t="shared" si="7"/>
        <v>Electronics</v>
      </c>
      <c r="I123">
        <v>8</v>
      </c>
      <c r="J123" t="str">
        <f>VLOOKUP(K123,$AJ$2:$AK$7,2,FALSE)</f>
        <v>S001</v>
      </c>
      <c r="K123" t="s">
        <v>1097</v>
      </c>
      <c r="L123">
        <v>4.8</v>
      </c>
      <c r="M123" t="str">
        <f>IFERROR(VLOOKUP(TRIM(N123),$AP$2:$AQ$12,2,FALSE),"W001")</f>
        <v>W008</v>
      </c>
      <c r="N123" t="s">
        <v>1061</v>
      </c>
      <c r="O123" t="s">
        <v>1047</v>
      </c>
      <c r="P123" t="str">
        <f>VLOOKUP(O123,$AL$2:$AM$12,2,FALSE)</f>
        <v>West</v>
      </c>
      <c r="Q123" t="s">
        <v>1084</v>
      </c>
      <c r="R123">
        <v>386</v>
      </c>
      <c r="S123" t="s">
        <v>1066</v>
      </c>
      <c r="T123">
        <f t="shared" si="8"/>
        <v>2</v>
      </c>
      <c r="U123">
        <v>115.8</v>
      </c>
      <c r="V123">
        <f t="shared" si="9"/>
        <v>6</v>
      </c>
      <c r="W123" t="s">
        <v>1086</v>
      </c>
      <c r="X123" t="s">
        <v>1091</v>
      </c>
      <c r="Y123">
        <f t="shared" si="10"/>
        <v>115.8</v>
      </c>
      <c r="Z123" t="s">
        <v>1108</v>
      </c>
      <c r="AA123" t="str">
        <f t="shared" si="11"/>
        <v>Low</v>
      </c>
      <c r="AB123" t="s">
        <v>1103</v>
      </c>
      <c r="AC123" t="str">
        <f t="shared" si="12"/>
        <v>Yes</v>
      </c>
      <c r="AD123">
        <v>4</v>
      </c>
      <c r="AE123">
        <v>545680</v>
      </c>
      <c r="AF123">
        <v>218272</v>
      </c>
      <c r="AG123">
        <f t="shared" si="13"/>
        <v>327292.2</v>
      </c>
    </row>
    <row r="124" spans="1:33" x14ac:dyDescent="0.25">
      <c r="A124">
        <v>1123</v>
      </c>
      <c r="B124" s="1">
        <v>44813</v>
      </c>
      <c r="C124" s="1">
        <v>44814</v>
      </c>
      <c r="D124" s="1">
        <v>44820</v>
      </c>
      <c r="E124" t="s">
        <v>1066</v>
      </c>
      <c r="F124" t="s">
        <v>152</v>
      </c>
      <c r="G124" t="s">
        <v>1069</v>
      </c>
      <c r="H124" t="str">
        <f t="shared" si="7"/>
        <v>Furniture</v>
      </c>
      <c r="I124">
        <v>6</v>
      </c>
      <c r="J124" t="str">
        <f>VLOOKUP(K124,$AJ$2:$AK$7,2,FALSE)</f>
        <v>S001</v>
      </c>
      <c r="K124" t="s">
        <v>1097</v>
      </c>
      <c r="L124">
        <v>4.8</v>
      </c>
      <c r="M124" t="str">
        <f>IFERROR(VLOOKUP(TRIM(N124),$AP$2:$AQ$12,2,FALSE),"W001")</f>
        <v>W010</v>
      </c>
      <c r="N124" t="s">
        <v>1063</v>
      </c>
      <c r="O124" t="s">
        <v>1062</v>
      </c>
      <c r="P124" t="str">
        <f>VLOOKUP(O124,$AL$2:$AM$12,2,FALSE)</f>
        <v>North</v>
      </c>
      <c r="Q124" t="s">
        <v>1083</v>
      </c>
      <c r="R124">
        <v>1474</v>
      </c>
      <c r="S124" t="s">
        <v>1078</v>
      </c>
      <c r="T124">
        <f t="shared" si="8"/>
        <v>3</v>
      </c>
      <c r="U124">
        <v>737</v>
      </c>
      <c r="V124">
        <f t="shared" si="9"/>
        <v>10</v>
      </c>
      <c r="W124" t="s">
        <v>1086</v>
      </c>
      <c r="X124" t="s">
        <v>1091</v>
      </c>
      <c r="Y124">
        <f t="shared" si="10"/>
        <v>737</v>
      </c>
      <c r="Z124" t="s">
        <v>1108</v>
      </c>
      <c r="AA124" t="str">
        <f t="shared" si="11"/>
        <v>Medium</v>
      </c>
      <c r="AB124" t="s">
        <v>1103</v>
      </c>
      <c r="AC124" t="str">
        <f t="shared" si="12"/>
        <v>Yes</v>
      </c>
      <c r="AD124">
        <v>5</v>
      </c>
      <c r="AE124">
        <v>71388</v>
      </c>
      <c r="AF124">
        <v>28555.200000000001</v>
      </c>
      <c r="AG124">
        <f t="shared" si="13"/>
        <v>42095.8</v>
      </c>
    </row>
    <row r="125" spans="1:33" x14ac:dyDescent="0.25">
      <c r="A125">
        <v>1124</v>
      </c>
      <c r="B125" s="1">
        <v>45006</v>
      </c>
      <c r="C125" s="1">
        <v>45008</v>
      </c>
      <c r="D125" s="1">
        <v>45011</v>
      </c>
      <c r="E125" t="s">
        <v>1064</v>
      </c>
      <c r="F125" t="s">
        <v>153</v>
      </c>
      <c r="G125" t="s">
        <v>1071</v>
      </c>
      <c r="H125" t="str">
        <f t="shared" si="7"/>
        <v>Clothing</v>
      </c>
      <c r="I125">
        <v>8</v>
      </c>
      <c r="J125" t="str">
        <f>VLOOKUP(K125,$AJ$2:$AK$7,2,FALSE)</f>
        <v>S005</v>
      </c>
      <c r="K125" t="s">
        <v>1101</v>
      </c>
      <c r="L125">
        <v>4.9000000000000004</v>
      </c>
      <c r="M125" t="str">
        <f>IFERROR(VLOOKUP(TRIM(N125),$AP$2:$AQ$12,2,FALSE),"W001")</f>
        <v>W006</v>
      </c>
      <c r="N125" t="s">
        <v>1057</v>
      </c>
      <c r="O125" t="s">
        <v>1047</v>
      </c>
      <c r="P125" t="str">
        <f>VLOOKUP(O125,$AL$2:$AM$12,2,FALSE)</f>
        <v>West</v>
      </c>
      <c r="Q125" t="s">
        <v>1083</v>
      </c>
      <c r="R125">
        <v>143</v>
      </c>
      <c r="S125" t="s">
        <v>1079</v>
      </c>
      <c r="T125">
        <f t="shared" si="8"/>
        <v>1</v>
      </c>
      <c r="U125">
        <v>71.5</v>
      </c>
      <c r="V125">
        <f t="shared" si="9"/>
        <v>10</v>
      </c>
      <c r="W125" t="s">
        <v>1088</v>
      </c>
      <c r="X125" t="s">
        <v>1089</v>
      </c>
      <c r="Y125">
        <f t="shared" si="10"/>
        <v>0</v>
      </c>
      <c r="Z125" t="s">
        <v>1108</v>
      </c>
      <c r="AA125" t="str">
        <f t="shared" si="11"/>
        <v>Medium</v>
      </c>
      <c r="AB125" t="s">
        <v>1104</v>
      </c>
      <c r="AC125" t="str">
        <f t="shared" si="12"/>
        <v>Yes</v>
      </c>
      <c r="AD125">
        <v>2</v>
      </c>
      <c r="AE125">
        <v>11608</v>
      </c>
      <c r="AF125">
        <v>4643.2</v>
      </c>
      <c r="AG125">
        <f t="shared" si="13"/>
        <v>6893.3</v>
      </c>
    </row>
    <row r="126" spans="1:33" x14ac:dyDescent="0.25">
      <c r="A126">
        <v>1125</v>
      </c>
      <c r="B126" s="1">
        <v>45780</v>
      </c>
      <c r="C126" s="1">
        <v>45781</v>
      </c>
      <c r="D126" s="1">
        <v>45785</v>
      </c>
      <c r="E126" t="s">
        <v>1065</v>
      </c>
      <c r="F126" t="s">
        <v>154</v>
      </c>
      <c r="G126" t="s">
        <v>1072</v>
      </c>
      <c r="H126" t="str">
        <f t="shared" si="7"/>
        <v>Electronics</v>
      </c>
      <c r="I126">
        <v>1</v>
      </c>
      <c r="J126" t="str">
        <f>VLOOKUP(K126,$AJ$2:$AK$7,2,FALSE)</f>
        <v>S004</v>
      </c>
      <c r="K126" t="s">
        <v>1100</v>
      </c>
      <c r="L126">
        <v>3.8</v>
      </c>
      <c r="M126" t="str">
        <f>IFERROR(VLOOKUP(TRIM(N126),$AP$2:$AQ$12,2,FALSE),"W001")</f>
        <v>W006</v>
      </c>
      <c r="N126" t="s">
        <v>1057</v>
      </c>
      <c r="O126" t="s">
        <v>1063</v>
      </c>
      <c r="P126" t="str">
        <f>VLOOKUP(O126,$AL$2:$AM$12,2,FALSE)</f>
        <v>South</v>
      </c>
      <c r="Q126" t="s">
        <v>1085</v>
      </c>
      <c r="R126">
        <v>1725</v>
      </c>
      <c r="S126" t="s">
        <v>1078</v>
      </c>
      <c r="T126">
        <f t="shared" si="8"/>
        <v>12</v>
      </c>
      <c r="U126">
        <v>172.5</v>
      </c>
      <c r="V126">
        <f t="shared" si="9"/>
        <v>3</v>
      </c>
      <c r="W126" t="s">
        <v>1087</v>
      </c>
      <c r="X126" t="s">
        <v>1091</v>
      </c>
      <c r="Y126">
        <f t="shared" si="10"/>
        <v>0</v>
      </c>
      <c r="Z126" t="s">
        <v>1108</v>
      </c>
      <c r="AA126" t="str">
        <f t="shared" si="11"/>
        <v>Low</v>
      </c>
      <c r="AB126" t="s">
        <v>1103</v>
      </c>
      <c r="AC126" t="str">
        <f t="shared" si="12"/>
        <v>Yes</v>
      </c>
      <c r="AD126">
        <v>4</v>
      </c>
      <c r="AE126">
        <v>16365</v>
      </c>
      <c r="AF126">
        <v>6546</v>
      </c>
      <c r="AG126">
        <f t="shared" si="13"/>
        <v>9646.5</v>
      </c>
    </row>
    <row r="127" spans="1:33" x14ac:dyDescent="0.25">
      <c r="A127">
        <v>1126</v>
      </c>
      <c r="B127" s="1">
        <v>46374</v>
      </c>
      <c r="C127" s="1">
        <v>46376</v>
      </c>
      <c r="D127" s="1">
        <v>46381</v>
      </c>
      <c r="E127" t="s">
        <v>1064</v>
      </c>
      <c r="F127" t="s">
        <v>155</v>
      </c>
      <c r="G127" t="s">
        <v>1070</v>
      </c>
      <c r="H127" t="str">
        <f t="shared" si="7"/>
        <v>Furniture</v>
      </c>
      <c r="I127">
        <v>9</v>
      </c>
      <c r="J127" t="str">
        <f>VLOOKUP(K127,$AJ$2:$AK$7,2,FALSE)</f>
        <v>S004</v>
      </c>
      <c r="K127" t="s">
        <v>1100</v>
      </c>
      <c r="L127">
        <v>3</v>
      </c>
      <c r="M127" t="str">
        <f>IFERROR(VLOOKUP(TRIM(N127),$AP$2:$AQ$12,2,FALSE),"W001")</f>
        <v>W001</v>
      </c>
      <c r="N127" t="s">
        <v>1047</v>
      </c>
      <c r="O127" t="s">
        <v>1047</v>
      </c>
      <c r="P127" t="str">
        <f>VLOOKUP(O127,$AL$2:$AM$12,2,FALSE)</f>
        <v>West</v>
      </c>
      <c r="Q127" t="s">
        <v>1084</v>
      </c>
      <c r="R127">
        <v>42</v>
      </c>
      <c r="S127" t="s">
        <v>1079</v>
      </c>
      <c r="T127">
        <f t="shared" si="8"/>
        <v>1</v>
      </c>
      <c r="U127">
        <v>12.6</v>
      </c>
      <c r="V127">
        <f t="shared" si="9"/>
        <v>6</v>
      </c>
      <c r="W127" t="s">
        <v>1088</v>
      </c>
      <c r="X127" t="s">
        <v>1091</v>
      </c>
      <c r="Y127">
        <f t="shared" si="10"/>
        <v>0</v>
      </c>
      <c r="Z127" t="s">
        <v>1108</v>
      </c>
      <c r="AA127" t="str">
        <f t="shared" si="11"/>
        <v>Low</v>
      </c>
      <c r="AB127" t="s">
        <v>1103</v>
      </c>
      <c r="AC127" t="str">
        <f t="shared" si="12"/>
        <v>Yes</v>
      </c>
      <c r="AD127">
        <v>5</v>
      </c>
      <c r="AE127">
        <v>47655</v>
      </c>
      <c r="AF127">
        <v>19062</v>
      </c>
      <c r="AG127">
        <f t="shared" si="13"/>
        <v>28580.400000000001</v>
      </c>
    </row>
    <row r="128" spans="1:33" x14ac:dyDescent="0.25">
      <c r="A128">
        <v>1127</v>
      </c>
      <c r="B128" s="1">
        <v>45025</v>
      </c>
      <c r="C128" s="1">
        <v>45027</v>
      </c>
      <c r="D128" s="1">
        <v>45034</v>
      </c>
      <c r="E128" t="s">
        <v>1066</v>
      </c>
      <c r="F128" t="s">
        <v>156</v>
      </c>
      <c r="G128" t="s">
        <v>1067</v>
      </c>
      <c r="H128" t="str">
        <f t="shared" si="7"/>
        <v>Clothing</v>
      </c>
      <c r="I128">
        <v>6</v>
      </c>
      <c r="J128" t="str">
        <f>VLOOKUP(K128,$AJ$2:$AK$7,2,FALSE)</f>
        <v>S006</v>
      </c>
      <c r="K128" t="s">
        <v>1102</v>
      </c>
      <c r="L128">
        <v>4.5999999999999996</v>
      </c>
      <c r="M128" t="str">
        <f>IFERROR(VLOOKUP(TRIM(N128),$AP$2:$AQ$12,2,FALSE),"W001")</f>
        <v>W003</v>
      </c>
      <c r="N128" t="s">
        <v>1051</v>
      </c>
      <c r="O128" t="s">
        <v>1057</v>
      </c>
      <c r="P128" t="str">
        <f>VLOOKUP(O128,$AL$2:$AM$12,2,FALSE)</f>
        <v>South</v>
      </c>
      <c r="Q128" t="s">
        <v>1082</v>
      </c>
      <c r="R128">
        <v>478</v>
      </c>
      <c r="S128" t="s">
        <v>1066</v>
      </c>
      <c r="T128">
        <f t="shared" si="8"/>
        <v>2</v>
      </c>
      <c r="U128">
        <v>191.2</v>
      </c>
      <c r="V128">
        <f t="shared" si="9"/>
        <v>8</v>
      </c>
      <c r="W128" t="s">
        <v>1086</v>
      </c>
      <c r="X128" t="s">
        <v>1089</v>
      </c>
      <c r="Y128">
        <f t="shared" si="10"/>
        <v>191.2</v>
      </c>
      <c r="Z128" t="s">
        <v>1108</v>
      </c>
      <c r="AA128" t="str">
        <f t="shared" si="11"/>
        <v>Medium</v>
      </c>
      <c r="AB128" t="s">
        <v>1104</v>
      </c>
      <c r="AC128" t="str">
        <f t="shared" si="12"/>
        <v>Yes</v>
      </c>
      <c r="AD128">
        <v>2</v>
      </c>
      <c r="AE128">
        <v>7218</v>
      </c>
      <c r="AF128">
        <v>2887.2000000000003</v>
      </c>
      <c r="AG128">
        <f t="shared" si="13"/>
        <v>4139.5999999999995</v>
      </c>
    </row>
    <row r="129" spans="1:33" x14ac:dyDescent="0.25">
      <c r="A129">
        <v>1128</v>
      </c>
      <c r="B129" s="1">
        <v>45426</v>
      </c>
      <c r="C129" s="1">
        <v>45428</v>
      </c>
      <c r="D129" s="1">
        <v>45434</v>
      </c>
      <c r="E129" t="s">
        <v>1064</v>
      </c>
      <c r="F129" t="s">
        <v>157</v>
      </c>
      <c r="G129" t="s">
        <v>1068</v>
      </c>
      <c r="H129" t="str">
        <f t="shared" si="7"/>
        <v>Electronics</v>
      </c>
      <c r="I129">
        <v>7</v>
      </c>
      <c r="J129" t="str">
        <f>VLOOKUP(K129,$AJ$2:$AK$7,2,FALSE)</f>
        <v>S004</v>
      </c>
      <c r="K129" t="s">
        <v>1100</v>
      </c>
      <c r="L129">
        <v>4.5999999999999996</v>
      </c>
      <c r="M129" t="str">
        <f>IFERROR(VLOOKUP(TRIM(N129),$AP$2:$AQ$12,2,FALSE),"W001")</f>
        <v>W008</v>
      </c>
      <c r="N129" t="s">
        <v>1061</v>
      </c>
      <c r="O129" t="s">
        <v>1062</v>
      </c>
      <c r="P129" t="str">
        <f>VLOOKUP(O129,$AL$2:$AM$12,2,FALSE)</f>
        <v>North</v>
      </c>
      <c r="Q129" t="s">
        <v>1083</v>
      </c>
      <c r="R129">
        <v>118</v>
      </c>
      <c r="S129" t="s">
        <v>1079</v>
      </c>
      <c r="T129">
        <f t="shared" si="8"/>
        <v>1</v>
      </c>
      <c r="U129">
        <v>59</v>
      </c>
      <c r="V129">
        <f t="shared" si="9"/>
        <v>10</v>
      </c>
      <c r="W129" t="s">
        <v>1087</v>
      </c>
      <c r="X129" t="s">
        <v>1090</v>
      </c>
      <c r="Y129">
        <f t="shared" si="10"/>
        <v>0</v>
      </c>
      <c r="Z129" t="s">
        <v>1108</v>
      </c>
      <c r="AA129" t="str">
        <f t="shared" si="11"/>
        <v>Medium</v>
      </c>
      <c r="AB129" t="s">
        <v>1103</v>
      </c>
      <c r="AC129" t="str">
        <f t="shared" si="12"/>
        <v>Yes</v>
      </c>
      <c r="AD129">
        <v>5</v>
      </c>
      <c r="AE129">
        <v>324275</v>
      </c>
      <c r="AF129">
        <v>129710</v>
      </c>
      <c r="AG129">
        <f t="shared" si="13"/>
        <v>194506</v>
      </c>
    </row>
    <row r="130" spans="1:33" x14ac:dyDescent="0.25">
      <c r="A130">
        <v>1129</v>
      </c>
      <c r="B130" s="1">
        <v>45424</v>
      </c>
      <c r="C130" s="1">
        <v>45425</v>
      </c>
      <c r="D130" s="1">
        <v>45431</v>
      </c>
      <c r="E130" t="s">
        <v>1065</v>
      </c>
      <c r="F130" t="s">
        <v>158</v>
      </c>
      <c r="G130" t="s">
        <v>1071</v>
      </c>
      <c r="H130" t="str">
        <f t="shared" si="7"/>
        <v>Clothing</v>
      </c>
      <c r="I130">
        <v>9</v>
      </c>
      <c r="J130" t="str">
        <f>VLOOKUP(K130,$AJ$2:$AK$7,2,FALSE)</f>
        <v>S005</v>
      </c>
      <c r="K130" t="s">
        <v>1101</v>
      </c>
      <c r="L130">
        <v>4.3</v>
      </c>
      <c r="M130" t="str">
        <f>IFERROR(VLOOKUP(TRIM(N130),$AP$2:$AQ$12,2,FALSE),"W001")</f>
        <v>W004</v>
      </c>
      <c r="N130" t="s">
        <v>1053</v>
      </c>
      <c r="O130" t="s">
        <v>1055</v>
      </c>
      <c r="P130" t="str">
        <f>VLOOKUP(O130,$AL$2:$AM$12,2,FALSE)</f>
        <v>South</v>
      </c>
      <c r="Q130" t="s">
        <v>1083</v>
      </c>
      <c r="R130">
        <v>215</v>
      </c>
      <c r="S130" t="s">
        <v>1066</v>
      </c>
      <c r="T130">
        <f t="shared" si="8"/>
        <v>1</v>
      </c>
      <c r="U130">
        <v>107.5</v>
      </c>
      <c r="V130">
        <f t="shared" si="9"/>
        <v>10</v>
      </c>
      <c r="W130" t="s">
        <v>1087</v>
      </c>
      <c r="X130" t="s">
        <v>1090</v>
      </c>
      <c r="Y130">
        <f t="shared" si="10"/>
        <v>0</v>
      </c>
      <c r="Z130" t="s">
        <v>1108</v>
      </c>
      <c r="AA130" t="str">
        <f t="shared" si="11"/>
        <v>Medium</v>
      </c>
      <c r="AB130" t="s">
        <v>1103</v>
      </c>
      <c r="AC130" t="str">
        <f t="shared" si="12"/>
        <v>Yes</v>
      </c>
      <c r="AD130">
        <v>4</v>
      </c>
      <c r="AE130">
        <v>11268</v>
      </c>
      <c r="AF130">
        <v>4507.2</v>
      </c>
      <c r="AG130">
        <f t="shared" si="13"/>
        <v>6653.3</v>
      </c>
    </row>
    <row r="131" spans="1:33" x14ac:dyDescent="0.25">
      <c r="A131">
        <v>1130</v>
      </c>
      <c r="B131" s="1">
        <v>45614</v>
      </c>
      <c r="C131" s="1">
        <v>45617</v>
      </c>
      <c r="D131" s="1">
        <v>45624</v>
      </c>
      <c r="E131" t="s">
        <v>1065</v>
      </c>
      <c r="F131" t="s">
        <v>159</v>
      </c>
      <c r="G131" t="s">
        <v>1067</v>
      </c>
      <c r="H131" t="str">
        <f t="shared" ref="H131:H194" si="14">IF(OR(G131="Laptop",G131="Mobile"),"Electronics",
IF(OR(G131="T-Shirt",G131="Jeans"),"Clothing",
IF(OR(G131="Table",G131="Chair"),"Furniture","")))</f>
        <v>Clothing</v>
      </c>
      <c r="I131">
        <v>8</v>
      </c>
      <c r="J131" t="str">
        <f>VLOOKUP(K131,$AJ$2:$AK$7,2,FALSE)</f>
        <v>S005</v>
      </c>
      <c r="K131" t="s">
        <v>1101</v>
      </c>
      <c r="L131">
        <v>3.1</v>
      </c>
      <c r="M131" t="str">
        <f>IFERROR(VLOOKUP(TRIM(N131),$AP$2:$AQ$12,2,FALSE),"W001")</f>
        <v>W008</v>
      </c>
      <c r="N131" t="s">
        <v>1061</v>
      </c>
      <c r="O131" t="s">
        <v>1060</v>
      </c>
      <c r="P131" t="str">
        <f>VLOOKUP(O131,$AL$2:$AM$12,2,FALSE)</f>
        <v>North</v>
      </c>
      <c r="Q131" t="s">
        <v>1084</v>
      </c>
      <c r="R131">
        <v>875</v>
      </c>
      <c r="S131" t="s">
        <v>1078</v>
      </c>
      <c r="T131">
        <f t="shared" ref="T131:T194" si="15">IF(Q131="Air",ROUND(R131/700,0)+1,
IF(Q131="Express",ROUND(R131/500,0)+1,
IF(Q131="Courier",ROUND(R131/350,0)+1,
IF(Q131="Road",ROUND(R131/250,0)+1,
IF(Q131="Rail",ROUND(R131/300,0)+2,
IF(Q131="Ship",ROUND(R131/200,0)+3,""))))))</f>
        <v>4</v>
      </c>
      <c r="U131">
        <v>262.5</v>
      </c>
      <c r="V131">
        <f t="shared" ref="V131:V194" si="16">IF(Q131="Road",5,
IF(Q131="Rail",4,
IF(Q131="Air",10,
IF(Q131="Ship",3,
IF(Q131="Courier",6,
IF(Q131="Express",8))))))</f>
        <v>6</v>
      </c>
      <c r="W131" t="s">
        <v>1087</v>
      </c>
      <c r="X131" t="s">
        <v>1089</v>
      </c>
      <c r="Y131">
        <f t="shared" ref="Y131:Y194" si="17">IF(W131="COD",U131,0)</f>
        <v>0</v>
      </c>
      <c r="Z131" t="s">
        <v>1108</v>
      </c>
      <c r="AA131" t="str">
        <f t="shared" ref="AA131:AA194" si="18">IF(Z131="Delayed","High",
IF(OR(Q131="Air",Q131="Express"),"Medium","Low"))</f>
        <v>Low</v>
      </c>
      <c r="AB131" t="s">
        <v>1103</v>
      </c>
      <c r="AC131" t="str">
        <f t="shared" ref="AC131:AC194" si="19">IF(Z131="Delayed","No","Yes")</f>
        <v>Yes</v>
      </c>
      <c r="AD131">
        <v>5</v>
      </c>
      <c r="AE131">
        <v>10664</v>
      </c>
      <c r="AF131">
        <v>4265.6000000000004</v>
      </c>
      <c r="AG131">
        <f t="shared" ref="AG131:AG194" si="20">AE131 - AF131-U131</f>
        <v>6135.9</v>
      </c>
    </row>
    <row r="132" spans="1:33" x14ac:dyDescent="0.25">
      <c r="A132">
        <v>1131</v>
      </c>
      <c r="B132" s="1">
        <v>45069</v>
      </c>
      <c r="C132" s="1">
        <v>45071</v>
      </c>
      <c r="D132" s="1">
        <v>45078</v>
      </c>
      <c r="E132" t="s">
        <v>1065</v>
      </c>
      <c r="F132" t="s">
        <v>160</v>
      </c>
      <c r="G132" t="s">
        <v>1070</v>
      </c>
      <c r="H132" t="str">
        <f t="shared" si="14"/>
        <v>Furniture</v>
      </c>
      <c r="I132">
        <v>8</v>
      </c>
      <c r="J132" t="str">
        <f>VLOOKUP(K132,$AJ$2:$AK$7,2,FALSE)</f>
        <v>S005</v>
      </c>
      <c r="K132" t="s">
        <v>1101</v>
      </c>
      <c r="L132">
        <v>4.5</v>
      </c>
      <c r="M132" t="str">
        <f>IFERROR(VLOOKUP(TRIM(N132),$AP$2:$AQ$12,2,FALSE),"W001")</f>
        <v>W006</v>
      </c>
      <c r="N132" t="s">
        <v>1057</v>
      </c>
      <c r="O132" t="s">
        <v>1059</v>
      </c>
      <c r="P132" t="str">
        <f>VLOOKUP(O132,$AL$2:$AM$12,2,FALSE)</f>
        <v>North</v>
      </c>
      <c r="Q132" t="s">
        <v>1085</v>
      </c>
      <c r="R132">
        <v>881</v>
      </c>
      <c r="S132" t="s">
        <v>1078</v>
      </c>
      <c r="T132">
        <f t="shared" si="15"/>
        <v>7</v>
      </c>
      <c r="U132">
        <v>88.1</v>
      </c>
      <c r="V132">
        <f t="shared" si="16"/>
        <v>3</v>
      </c>
      <c r="W132" t="s">
        <v>1087</v>
      </c>
      <c r="X132" t="s">
        <v>1089</v>
      </c>
      <c r="Y132">
        <f t="shared" si="17"/>
        <v>0</v>
      </c>
      <c r="Z132" t="s">
        <v>1108</v>
      </c>
      <c r="AA132" t="str">
        <f t="shared" si="18"/>
        <v>Low</v>
      </c>
      <c r="AB132" t="s">
        <v>1103</v>
      </c>
      <c r="AC132" t="str">
        <f t="shared" si="19"/>
        <v>Yes</v>
      </c>
      <c r="AD132">
        <v>5</v>
      </c>
      <c r="AE132">
        <v>37176</v>
      </c>
      <c r="AF132">
        <v>14870.400000000001</v>
      </c>
      <c r="AG132">
        <f t="shared" si="20"/>
        <v>22217.5</v>
      </c>
    </row>
    <row r="133" spans="1:33" x14ac:dyDescent="0.25">
      <c r="A133">
        <v>1132</v>
      </c>
      <c r="B133" s="1">
        <v>46187</v>
      </c>
      <c r="C133" s="1">
        <v>46189</v>
      </c>
      <c r="D133" s="1">
        <v>46195</v>
      </c>
      <c r="E133" t="s">
        <v>1064</v>
      </c>
      <c r="F133" t="s">
        <v>161</v>
      </c>
      <c r="G133" t="s">
        <v>1069</v>
      </c>
      <c r="H133" t="str">
        <f t="shared" si="14"/>
        <v>Furniture</v>
      </c>
      <c r="I133">
        <v>9</v>
      </c>
      <c r="J133" t="str">
        <f>VLOOKUP(K133,$AJ$2:$AK$7,2,FALSE)</f>
        <v>S003</v>
      </c>
      <c r="K133" t="s">
        <v>1099</v>
      </c>
      <c r="L133">
        <v>3.2</v>
      </c>
      <c r="M133" t="str">
        <f>IFERROR(VLOOKUP(TRIM(N133),$AP$2:$AQ$12,2,FALSE),"W001")</f>
        <v>W011</v>
      </c>
      <c r="N133" t="s">
        <v>1059</v>
      </c>
      <c r="O133" t="s">
        <v>1051</v>
      </c>
      <c r="P133" t="str">
        <f>VLOOKUP(O133,$AL$2:$AM$12,2,FALSE)</f>
        <v>West</v>
      </c>
      <c r="Q133" t="s">
        <v>1082</v>
      </c>
      <c r="R133">
        <v>223</v>
      </c>
      <c r="S133" t="s">
        <v>1066</v>
      </c>
      <c r="T133">
        <f t="shared" si="15"/>
        <v>1</v>
      </c>
      <c r="U133">
        <v>89.2</v>
      </c>
      <c r="V133">
        <f t="shared" si="16"/>
        <v>8</v>
      </c>
      <c r="W133" t="s">
        <v>1086</v>
      </c>
      <c r="X133" t="s">
        <v>1091</v>
      </c>
      <c r="Y133">
        <f t="shared" si="17"/>
        <v>89.2</v>
      </c>
      <c r="Z133" t="s">
        <v>1108</v>
      </c>
      <c r="AA133" t="str">
        <f t="shared" si="18"/>
        <v>Medium</v>
      </c>
      <c r="AB133" t="s">
        <v>1104</v>
      </c>
      <c r="AC133" t="str">
        <f t="shared" si="19"/>
        <v>Yes</v>
      </c>
      <c r="AD133">
        <v>2</v>
      </c>
      <c r="AE133">
        <v>56088</v>
      </c>
      <c r="AF133">
        <v>22435.200000000001</v>
      </c>
      <c r="AG133">
        <f t="shared" si="20"/>
        <v>33563.600000000006</v>
      </c>
    </row>
    <row r="134" spans="1:33" x14ac:dyDescent="0.25">
      <c r="A134">
        <v>1133</v>
      </c>
      <c r="B134" s="1">
        <v>45569</v>
      </c>
      <c r="C134" s="1">
        <v>45572</v>
      </c>
      <c r="D134" s="1">
        <v>45578</v>
      </c>
      <c r="E134" t="s">
        <v>1064</v>
      </c>
      <c r="F134" t="s">
        <v>162</v>
      </c>
      <c r="G134" t="s">
        <v>1070</v>
      </c>
      <c r="H134" t="str">
        <f t="shared" si="14"/>
        <v>Furniture</v>
      </c>
      <c r="I134">
        <v>10</v>
      </c>
      <c r="J134" t="str">
        <f>VLOOKUP(K134,$AJ$2:$AK$7,2,FALSE)</f>
        <v>S004</v>
      </c>
      <c r="K134" t="s">
        <v>1100</v>
      </c>
      <c r="L134">
        <v>4.5999999999999996</v>
      </c>
      <c r="M134" t="str">
        <f>IFERROR(VLOOKUP(TRIM(N134),$AP$2:$AQ$12,2,FALSE),"W001")</f>
        <v>W001</v>
      </c>
      <c r="N134" t="s">
        <v>1047</v>
      </c>
      <c r="O134" t="s">
        <v>1049</v>
      </c>
      <c r="P134" t="str">
        <f>VLOOKUP(O134,$AL$2:$AM$12,2,FALSE)</f>
        <v>North</v>
      </c>
      <c r="Q134" t="s">
        <v>1084</v>
      </c>
      <c r="R134">
        <v>1978</v>
      </c>
      <c r="S134" t="s">
        <v>1078</v>
      </c>
      <c r="T134">
        <f t="shared" si="15"/>
        <v>7</v>
      </c>
      <c r="U134">
        <v>593.4</v>
      </c>
      <c r="V134">
        <f t="shared" si="16"/>
        <v>6</v>
      </c>
      <c r="W134" t="s">
        <v>1086</v>
      </c>
      <c r="X134" t="s">
        <v>1089</v>
      </c>
      <c r="Y134">
        <f t="shared" si="17"/>
        <v>593.4</v>
      </c>
      <c r="Z134" t="s">
        <v>1109</v>
      </c>
      <c r="AA134" t="str">
        <f t="shared" si="18"/>
        <v>High</v>
      </c>
      <c r="AB134" t="s">
        <v>1103</v>
      </c>
      <c r="AC134" t="str">
        <f t="shared" si="19"/>
        <v>No</v>
      </c>
      <c r="AD134">
        <v>3</v>
      </c>
      <c r="AE134">
        <v>37890</v>
      </c>
      <c r="AF134">
        <v>15156</v>
      </c>
      <c r="AG134">
        <f t="shared" si="20"/>
        <v>22140.6</v>
      </c>
    </row>
    <row r="135" spans="1:33" x14ac:dyDescent="0.25">
      <c r="A135">
        <v>1134</v>
      </c>
      <c r="B135" s="1">
        <v>45936</v>
      </c>
      <c r="C135" s="1">
        <v>45937</v>
      </c>
      <c r="D135" s="1">
        <v>45944</v>
      </c>
      <c r="E135" t="s">
        <v>1065</v>
      </c>
      <c r="F135" t="s">
        <v>163</v>
      </c>
      <c r="G135" t="s">
        <v>1071</v>
      </c>
      <c r="H135" t="str">
        <f t="shared" si="14"/>
        <v>Clothing</v>
      </c>
      <c r="I135">
        <v>2</v>
      </c>
      <c r="J135" t="str">
        <f>VLOOKUP(K135,$AJ$2:$AK$7,2,FALSE)</f>
        <v>S005</v>
      </c>
      <c r="K135" t="s">
        <v>1101</v>
      </c>
      <c r="L135">
        <v>4.3</v>
      </c>
      <c r="M135" t="str">
        <f>IFERROR(VLOOKUP(TRIM(N135),$AP$2:$AQ$12,2,FALSE),"W001")</f>
        <v>W007</v>
      </c>
      <c r="N135" t="s">
        <v>1062</v>
      </c>
      <c r="O135" t="s">
        <v>1053</v>
      </c>
      <c r="P135" t="str">
        <f>VLOOKUP(O135,$AL$2:$AM$12,2,FALSE)</f>
        <v>South</v>
      </c>
      <c r="Q135" t="s">
        <v>1082</v>
      </c>
      <c r="R135">
        <v>1402</v>
      </c>
      <c r="S135" t="s">
        <v>1078</v>
      </c>
      <c r="T135">
        <f t="shared" si="15"/>
        <v>4</v>
      </c>
      <c r="U135">
        <v>560.79999999999995</v>
      </c>
      <c r="V135">
        <f t="shared" si="16"/>
        <v>8</v>
      </c>
      <c r="W135" t="s">
        <v>1087</v>
      </c>
      <c r="X135" t="s">
        <v>1091</v>
      </c>
      <c r="Y135">
        <f t="shared" si="17"/>
        <v>0</v>
      </c>
      <c r="Z135" t="s">
        <v>1109</v>
      </c>
      <c r="AA135" t="str">
        <f t="shared" si="18"/>
        <v>High</v>
      </c>
      <c r="AB135" t="s">
        <v>1104</v>
      </c>
      <c r="AC135" t="str">
        <f t="shared" si="19"/>
        <v>No</v>
      </c>
      <c r="AD135">
        <v>2</v>
      </c>
      <c r="AE135">
        <v>3658</v>
      </c>
      <c r="AF135">
        <v>1463.2</v>
      </c>
      <c r="AG135">
        <f t="shared" si="20"/>
        <v>1634.0000000000002</v>
      </c>
    </row>
    <row r="136" spans="1:33" x14ac:dyDescent="0.25">
      <c r="A136">
        <v>1135</v>
      </c>
      <c r="B136" s="1">
        <v>45986</v>
      </c>
      <c r="C136" s="1">
        <v>45988</v>
      </c>
      <c r="D136" s="1">
        <v>45993</v>
      </c>
      <c r="E136" t="s">
        <v>1064</v>
      </c>
      <c r="F136" t="s">
        <v>164</v>
      </c>
      <c r="G136" t="s">
        <v>1068</v>
      </c>
      <c r="H136" t="str">
        <f t="shared" si="14"/>
        <v>Electronics</v>
      </c>
      <c r="I136">
        <v>9</v>
      </c>
      <c r="J136" t="str">
        <f>VLOOKUP(K136,$AJ$2:$AK$7,2,FALSE)</f>
        <v>S002</v>
      </c>
      <c r="K136" t="s">
        <v>1098</v>
      </c>
      <c r="L136">
        <v>3.1</v>
      </c>
      <c r="M136" t="str">
        <f>IFERROR(VLOOKUP(TRIM(N136),$AP$2:$AQ$12,2,FALSE),"W001")</f>
        <v>W007</v>
      </c>
      <c r="N136" t="s">
        <v>1062</v>
      </c>
      <c r="O136" t="s">
        <v>1063</v>
      </c>
      <c r="P136" t="str">
        <f>VLOOKUP(O136,$AL$2:$AM$12,2,FALSE)</f>
        <v>South</v>
      </c>
      <c r="Q136" t="s">
        <v>1084</v>
      </c>
      <c r="R136">
        <v>1392</v>
      </c>
      <c r="S136" t="s">
        <v>1078</v>
      </c>
      <c r="T136">
        <f t="shared" si="15"/>
        <v>5</v>
      </c>
      <c r="U136">
        <v>417.6</v>
      </c>
      <c r="V136">
        <f t="shared" si="16"/>
        <v>6</v>
      </c>
      <c r="W136" t="s">
        <v>1086</v>
      </c>
      <c r="X136" t="s">
        <v>1091</v>
      </c>
      <c r="Y136">
        <f t="shared" si="17"/>
        <v>417.6</v>
      </c>
      <c r="Z136" t="s">
        <v>1108</v>
      </c>
      <c r="AA136" t="str">
        <f t="shared" si="18"/>
        <v>Low</v>
      </c>
      <c r="AB136" t="s">
        <v>1103</v>
      </c>
      <c r="AC136" t="str">
        <f t="shared" si="19"/>
        <v>Yes</v>
      </c>
      <c r="AD136">
        <v>4</v>
      </c>
      <c r="AE136">
        <v>498654</v>
      </c>
      <c r="AF136">
        <v>199461.6</v>
      </c>
      <c r="AG136">
        <f t="shared" si="20"/>
        <v>298774.80000000005</v>
      </c>
    </row>
    <row r="137" spans="1:33" x14ac:dyDescent="0.25">
      <c r="A137">
        <v>1136</v>
      </c>
      <c r="B137" s="1">
        <v>44234</v>
      </c>
      <c r="C137" s="1">
        <v>44236</v>
      </c>
      <c r="D137" s="1">
        <v>44240</v>
      </c>
      <c r="E137" t="s">
        <v>1064</v>
      </c>
      <c r="F137" t="s">
        <v>165</v>
      </c>
      <c r="G137" t="s">
        <v>1068</v>
      </c>
      <c r="H137" t="str">
        <f t="shared" si="14"/>
        <v>Electronics</v>
      </c>
      <c r="I137">
        <v>7</v>
      </c>
      <c r="J137" t="str">
        <f>VLOOKUP(K137,$AJ$2:$AK$7,2,FALSE)</f>
        <v>S005</v>
      </c>
      <c r="K137" t="s">
        <v>1101</v>
      </c>
      <c r="L137">
        <v>3.3</v>
      </c>
      <c r="M137" t="str">
        <f>IFERROR(VLOOKUP(TRIM(N137),$AP$2:$AQ$12,2,FALSE),"W001")</f>
        <v>W010</v>
      </c>
      <c r="N137" t="s">
        <v>1063</v>
      </c>
      <c r="O137" t="s">
        <v>1049</v>
      </c>
      <c r="P137" t="str">
        <f>VLOOKUP(O137,$AL$2:$AM$12,2,FALSE)</f>
        <v>North</v>
      </c>
      <c r="Q137" t="s">
        <v>1085</v>
      </c>
      <c r="R137">
        <v>1022</v>
      </c>
      <c r="S137" t="s">
        <v>1078</v>
      </c>
      <c r="T137">
        <f t="shared" si="15"/>
        <v>8</v>
      </c>
      <c r="U137">
        <v>102.2</v>
      </c>
      <c r="V137">
        <f t="shared" si="16"/>
        <v>3</v>
      </c>
      <c r="W137" t="s">
        <v>1087</v>
      </c>
      <c r="X137" t="s">
        <v>1090</v>
      </c>
      <c r="Y137">
        <f t="shared" si="17"/>
        <v>0</v>
      </c>
      <c r="Z137" t="s">
        <v>1108</v>
      </c>
      <c r="AA137" t="str">
        <f t="shared" si="18"/>
        <v>Low</v>
      </c>
      <c r="AB137" t="s">
        <v>1103</v>
      </c>
      <c r="AC137" t="str">
        <f t="shared" si="19"/>
        <v>Yes</v>
      </c>
      <c r="AD137">
        <v>5</v>
      </c>
      <c r="AE137">
        <v>325584</v>
      </c>
      <c r="AF137">
        <v>130233.60000000001</v>
      </c>
      <c r="AG137">
        <f t="shared" si="20"/>
        <v>195248.19999999998</v>
      </c>
    </row>
    <row r="138" spans="1:33" x14ac:dyDescent="0.25">
      <c r="A138">
        <v>1137</v>
      </c>
      <c r="B138" s="1">
        <v>46070</v>
      </c>
      <c r="C138" s="1">
        <v>46073</v>
      </c>
      <c r="D138" s="1">
        <v>46076</v>
      </c>
      <c r="E138" t="s">
        <v>1066</v>
      </c>
      <c r="F138" t="s">
        <v>166</v>
      </c>
      <c r="G138" t="s">
        <v>1071</v>
      </c>
      <c r="H138" t="str">
        <f t="shared" si="14"/>
        <v>Clothing</v>
      </c>
      <c r="I138">
        <v>4</v>
      </c>
      <c r="J138" t="str">
        <f>VLOOKUP(K138,$AJ$2:$AK$7,2,FALSE)</f>
        <v>S003</v>
      </c>
      <c r="K138" t="s">
        <v>1099</v>
      </c>
      <c r="L138">
        <v>4.5</v>
      </c>
      <c r="M138" t="str">
        <f>IFERROR(VLOOKUP(TRIM(N138),$AP$2:$AQ$12,2,FALSE),"W001")</f>
        <v>W008</v>
      </c>
      <c r="N138" t="s">
        <v>1061</v>
      </c>
      <c r="O138" t="s">
        <v>1049</v>
      </c>
      <c r="P138" t="str">
        <f>VLOOKUP(O138,$AL$2:$AM$12,2,FALSE)</f>
        <v>North</v>
      </c>
      <c r="Q138" t="s">
        <v>1082</v>
      </c>
      <c r="R138">
        <v>1807</v>
      </c>
      <c r="S138" t="s">
        <v>1078</v>
      </c>
      <c r="T138">
        <f t="shared" si="15"/>
        <v>5</v>
      </c>
      <c r="U138">
        <v>722.8</v>
      </c>
      <c r="V138">
        <f t="shared" si="16"/>
        <v>8</v>
      </c>
      <c r="W138" t="s">
        <v>1086</v>
      </c>
      <c r="X138" t="s">
        <v>1091</v>
      </c>
      <c r="Y138">
        <f t="shared" si="17"/>
        <v>722.8</v>
      </c>
      <c r="Z138" t="s">
        <v>1109</v>
      </c>
      <c r="AA138" t="str">
        <f t="shared" si="18"/>
        <v>High</v>
      </c>
      <c r="AB138" t="s">
        <v>1103</v>
      </c>
      <c r="AC138" t="str">
        <f t="shared" si="19"/>
        <v>No</v>
      </c>
      <c r="AD138">
        <v>2</v>
      </c>
      <c r="AE138">
        <v>11940</v>
      </c>
      <c r="AF138">
        <v>4776</v>
      </c>
      <c r="AG138">
        <f t="shared" si="20"/>
        <v>6441.2</v>
      </c>
    </row>
    <row r="139" spans="1:33" x14ac:dyDescent="0.25">
      <c r="A139">
        <v>1138</v>
      </c>
      <c r="B139" s="1">
        <v>44695</v>
      </c>
      <c r="C139" s="1">
        <v>44698</v>
      </c>
      <c r="D139" s="1">
        <v>44700</v>
      </c>
      <c r="E139" t="s">
        <v>1066</v>
      </c>
      <c r="F139" t="s">
        <v>167</v>
      </c>
      <c r="G139" t="s">
        <v>1070</v>
      </c>
      <c r="H139" t="str">
        <f t="shared" si="14"/>
        <v>Furniture</v>
      </c>
      <c r="I139">
        <v>2</v>
      </c>
      <c r="J139" t="str">
        <f>VLOOKUP(K139,$AJ$2:$AK$7,2,FALSE)</f>
        <v>S001</v>
      </c>
      <c r="K139" t="s">
        <v>1097</v>
      </c>
      <c r="L139">
        <v>4.8</v>
      </c>
      <c r="M139" t="str">
        <f>IFERROR(VLOOKUP(TRIM(N139),$AP$2:$AQ$12,2,FALSE),"W001")</f>
        <v>W004</v>
      </c>
      <c r="N139" t="s">
        <v>1053</v>
      </c>
      <c r="O139" t="s">
        <v>1059</v>
      </c>
      <c r="P139" t="str">
        <f>VLOOKUP(O139,$AL$2:$AM$12,2,FALSE)</f>
        <v>North</v>
      </c>
      <c r="Q139" t="s">
        <v>1085</v>
      </c>
      <c r="R139">
        <v>715</v>
      </c>
      <c r="S139" t="s">
        <v>1066</v>
      </c>
      <c r="T139">
        <f t="shared" si="15"/>
        <v>7</v>
      </c>
      <c r="U139">
        <v>71.5</v>
      </c>
      <c r="V139">
        <f t="shared" si="16"/>
        <v>3</v>
      </c>
      <c r="W139" t="s">
        <v>1087</v>
      </c>
      <c r="X139" t="s">
        <v>1089</v>
      </c>
      <c r="Y139">
        <f t="shared" si="17"/>
        <v>0</v>
      </c>
      <c r="Z139" t="s">
        <v>1108</v>
      </c>
      <c r="AA139" t="str">
        <f t="shared" si="18"/>
        <v>Low</v>
      </c>
      <c r="AB139" t="s">
        <v>1103</v>
      </c>
      <c r="AC139" t="str">
        <f t="shared" si="19"/>
        <v>Yes</v>
      </c>
      <c r="AD139">
        <v>4</v>
      </c>
      <c r="AE139">
        <v>5190</v>
      </c>
      <c r="AF139">
        <v>2076</v>
      </c>
      <c r="AG139">
        <f t="shared" si="20"/>
        <v>3042.5</v>
      </c>
    </row>
    <row r="140" spans="1:33" x14ac:dyDescent="0.25">
      <c r="A140">
        <v>1139</v>
      </c>
      <c r="B140" s="1">
        <v>45708</v>
      </c>
      <c r="C140" s="1">
        <v>45711</v>
      </c>
      <c r="D140" s="1">
        <v>45717</v>
      </c>
      <c r="E140" t="s">
        <v>1065</v>
      </c>
      <c r="F140" t="s">
        <v>168</v>
      </c>
      <c r="G140" t="s">
        <v>1070</v>
      </c>
      <c r="H140" t="str">
        <f t="shared" si="14"/>
        <v>Furniture</v>
      </c>
      <c r="I140">
        <v>4</v>
      </c>
      <c r="J140" t="str">
        <f>VLOOKUP(K140,$AJ$2:$AK$7,2,FALSE)</f>
        <v>S002</v>
      </c>
      <c r="K140" t="s">
        <v>1098</v>
      </c>
      <c r="L140">
        <v>3.8</v>
      </c>
      <c r="M140" t="str">
        <f>IFERROR(VLOOKUP(TRIM(N140),$AP$2:$AQ$12,2,FALSE),"W001")</f>
        <v>W001</v>
      </c>
      <c r="N140" t="s">
        <v>1047</v>
      </c>
      <c r="O140" t="s">
        <v>1063</v>
      </c>
      <c r="P140" t="str">
        <f>VLOOKUP(O140,$AL$2:$AM$12,2,FALSE)</f>
        <v>South</v>
      </c>
      <c r="Q140" t="s">
        <v>1080</v>
      </c>
      <c r="R140">
        <v>383</v>
      </c>
      <c r="S140" t="s">
        <v>1066</v>
      </c>
      <c r="T140">
        <f t="shared" si="15"/>
        <v>3</v>
      </c>
      <c r="U140">
        <v>57.45</v>
      </c>
      <c r="V140">
        <f t="shared" si="16"/>
        <v>4</v>
      </c>
      <c r="W140" t="s">
        <v>1088</v>
      </c>
      <c r="X140" t="s">
        <v>1091</v>
      </c>
      <c r="Y140">
        <f t="shared" si="17"/>
        <v>0</v>
      </c>
      <c r="Z140" t="s">
        <v>1108</v>
      </c>
      <c r="AA140" t="str">
        <f t="shared" si="18"/>
        <v>Low</v>
      </c>
      <c r="AB140" t="s">
        <v>1103</v>
      </c>
      <c r="AC140" t="str">
        <f t="shared" si="19"/>
        <v>Yes</v>
      </c>
      <c r="AD140">
        <v>4</v>
      </c>
      <c r="AE140">
        <v>12420</v>
      </c>
      <c r="AF140">
        <v>4968</v>
      </c>
      <c r="AG140">
        <f t="shared" si="20"/>
        <v>7394.55</v>
      </c>
    </row>
    <row r="141" spans="1:33" x14ac:dyDescent="0.25">
      <c r="A141">
        <v>1140</v>
      </c>
      <c r="B141" s="1">
        <v>46196</v>
      </c>
      <c r="C141" s="1">
        <v>46197</v>
      </c>
      <c r="D141" s="1">
        <v>46201</v>
      </c>
      <c r="E141" t="s">
        <v>1066</v>
      </c>
      <c r="F141" t="s">
        <v>169</v>
      </c>
      <c r="G141" t="s">
        <v>1068</v>
      </c>
      <c r="H141" t="str">
        <f t="shared" si="14"/>
        <v>Electronics</v>
      </c>
      <c r="I141">
        <v>8</v>
      </c>
      <c r="J141" t="str">
        <f>VLOOKUP(K141,$AJ$2:$AK$7,2,FALSE)</f>
        <v>S004</v>
      </c>
      <c r="K141" t="s">
        <v>1100</v>
      </c>
      <c r="L141">
        <v>3.4</v>
      </c>
      <c r="M141" t="str">
        <f>IFERROR(VLOOKUP(TRIM(N141),$AP$2:$AQ$12,2,FALSE),"W001")</f>
        <v>W011</v>
      </c>
      <c r="N141" t="s">
        <v>1059</v>
      </c>
      <c r="O141" t="s">
        <v>1061</v>
      </c>
      <c r="P141" t="str">
        <f>VLOOKUP(O141,$AL$2:$AM$12,2,FALSE)</f>
        <v>West</v>
      </c>
      <c r="Q141" t="s">
        <v>1084</v>
      </c>
      <c r="R141">
        <v>806</v>
      </c>
      <c r="S141" t="s">
        <v>1078</v>
      </c>
      <c r="T141">
        <f t="shared" si="15"/>
        <v>3</v>
      </c>
      <c r="U141">
        <v>241.8</v>
      </c>
      <c r="V141">
        <f t="shared" si="16"/>
        <v>6</v>
      </c>
      <c r="W141" t="s">
        <v>1088</v>
      </c>
      <c r="X141" t="s">
        <v>1089</v>
      </c>
      <c r="Y141">
        <f t="shared" si="17"/>
        <v>0</v>
      </c>
      <c r="Z141" t="s">
        <v>1108</v>
      </c>
      <c r="AA141" t="str">
        <f t="shared" si="18"/>
        <v>Low</v>
      </c>
      <c r="AB141" t="s">
        <v>1103</v>
      </c>
      <c r="AC141" t="str">
        <f t="shared" si="19"/>
        <v>Yes</v>
      </c>
      <c r="AD141">
        <v>5</v>
      </c>
      <c r="AE141">
        <v>433080</v>
      </c>
      <c r="AF141">
        <v>173232</v>
      </c>
      <c r="AG141">
        <f t="shared" si="20"/>
        <v>259606.2</v>
      </c>
    </row>
    <row r="142" spans="1:33" x14ac:dyDescent="0.25">
      <c r="A142">
        <v>1141</v>
      </c>
      <c r="B142" s="1">
        <v>45633</v>
      </c>
      <c r="C142" s="1">
        <v>45635</v>
      </c>
      <c r="D142" s="1">
        <v>45642</v>
      </c>
      <c r="E142" t="s">
        <v>1066</v>
      </c>
      <c r="F142" t="s">
        <v>170</v>
      </c>
      <c r="G142" t="s">
        <v>1069</v>
      </c>
      <c r="H142" t="str">
        <f t="shared" si="14"/>
        <v>Furniture</v>
      </c>
      <c r="I142">
        <v>4</v>
      </c>
      <c r="J142" t="str">
        <f>VLOOKUP(K142,$AJ$2:$AK$7,2,FALSE)</f>
        <v>S003</v>
      </c>
      <c r="K142" t="s">
        <v>1099</v>
      </c>
      <c r="L142">
        <v>4.4000000000000004</v>
      </c>
      <c r="M142" t="str">
        <f>IFERROR(VLOOKUP(TRIM(N142),$AP$2:$AQ$12,2,FALSE),"W001")</f>
        <v>W006</v>
      </c>
      <c r="N142" t="s">
        <v>1057</v>
      </c>
      <c r="O142" t="s">
        <v>1061</v>
      </c>
      <c r="P142" t="str">
        <f>VLOOKUP(O142,$AL$2:$AM$12,2,FALSE)</f>
        <v>West</v>
      </c>
      <c r="Q142" t="s">
        <v>1085</v>
      </c>
      <c r="R142">
        <v>1300</v>
      </c>
      <c r="S142" t="s">
        <v>1078</v>
      </c>
      <c r="T142">
        <f t="shared" si="15"/>
        <v>10</v>
      </c>
      <c r="U142">
        <v>130</v>
      </c>
      <c r="V142">
        <f t="shared" si="16"/>
        <v>3</v>
      </c>
      <c r="W142" t="s">
        <v>1087</v>
      </c>
      <c r="X142" t="s">
        <v>1091</v>
      </c>
      <c r="Y142">
        <f t="shared" si="17"/>
        <v>0</v>
      </c>
      <c r="Z142" t="s">
        <v>1108</v>
      </c>
      <c r="AA142" t="str">
        <f t="shared" si="18"/>
        <v>Low</v>
      </c>
      <c r="AB142" t="s">
        <v>1103</v>
      </c>
      <c r="AC142" t="str">
        <f t="shared" si="19"/>
        <v>Yes</v>
      </c>
      <c r="AD142">
        <v>5</v>
      </c>
      <c r="AE142">
        <v>50528</v>
      </c>
      <c r="AF142">
        <v>20211.2</v>
      </c>
      <c r="AG142">
        <f t="shared" si="20"/>
        <v>30186.799999999999</v>
      </c>
    </row>
    <row r="143" spans="1:33" x14ac:dyDescent="0.25">
      <c r="A143">
        <v>1142</v>
      </c>
      <c r="B143" s="1">
        <v>45269</v>
      </c>
      <c r="C143" s="1">
        <v>45271</v>
      </c>
      <c r="D143" s="1">
        <v>45275</v>
      </c>
      <c r="E143" t="s">
        <v>1066</v>
      </c>
      <c r="F143" t="s">
        <v>171</v>
      </c>
      <c r="G143" t="s">
        <v>1071</v>
      </c>
      <c r="H143" t="str">
        <f t="shared" si="14"/>
        <v>Clothing</v>
      </c>
      <c r="I143">
        <v>7</v>
      </c>
      <c r="J143" t="str">
        <f>VLOOKUP(K143,$AJ$2:$AK$7,2,FALSE)</f>
        <v>S003</v>
      </c>
      <c r="K143" t="s">
        <v>1099</v>
      </c>
      <c r="L143">
        <v>4.8</v>
      </c>
      <c r="M143" t="str">
        <f>IFERROR(VLOOKUP(TRIM(N143),$AP$2:$AQ$12,2,FALSE),"W001")</f>
        <v>W002</v>
      </c>
      <c r="N143" t="s">
        <v>1049</v>
      </c>
      <c r="O143" t="s">
        <v>1062</v>
      </c>
      <c r="P143" t="str">
        <f>VLOOKUP(O143,$AL$2:$AM$12,2,FALSE)</f>
        <v>North</v>
      </c>
      <c r="Q143" t="s">
        <v>1080</v>
      </c>
      <c r="R143">
        <v>1433</v>
      </c>
      <c r="S143" t="s">
        <v>1078</v>
      </c>
      <c r="T143">
        <f t="shared" si="15"/>
        <v>7</v>
      </c>
      <c r="U143">
        <v>214.95</v>
      </c>
      <c r="V143">
        <f t="shared" si="16"/>
        <v>4</v>
      </c>
      <c r="W143" t="s">
        <v>1086</v>
      </c>
      <c r="X143" t="s">
        <v>1089</v>
      </c>
      <c r="Y143">
        <f t="shared" si="17"/>
        <v>214.95</v>
      </c>
      <c r="Z143" t="s">
        <v>1108</v>
      </c>
      <c r="AA143" t="str">
        <f t="shared" si="18"/>
        <v>Low</v>
      </c>
      <c r="AB143" t="s">
        <v>1103</v>
      </c>
      <c r="AC143" t="str">
        <f t="shared" si="19"/>
        <v>Yes</v>
      </c>
      <c r="AD143">
        <v>5</v>
      </c>
      <c r="AE143">
        <v>9121</v>
      </c>
      <c r="AF143">
        <v>3648.4</v>
      </c>
      <c r="AG143">
        <f t="shared" si="20"/>
        <v>5257.6500000000005</v>
      </c>
    </row>
    <row r="144" spans="1:33" x14ac:dyDescent="0.25">
      <c r="A144">
        <v>1143</v>
      </c>
      <c r="B144" s="1">
        <v>45571</v>
      </c>
      <c r="C144" s="1">
        <v>45573</v>
      </c>
      <c r="D144" s="1">
        <v>45575</v>
      </c>
      <c r="E144" t="s">
        <v>1066</v>
      </c>
      <c r="F144" t="s">
        <v>172</v>
      </c>
      <c r="G144" t="s">
        <v>1067</v>
      </c>
      <c r="H144" t="str">
        <f t="shared" si="14"/>
        <v>Clothing</v>
      </c>
      <c r="I144">
        <v>5</v>
      </c>
      <c r="J144" t="str">
        <f>VLOOKUP(K144,$AJ$2:$AK$7,2,FALSE)</f>
        <v>S004</v>
      </c>
      <c r="K144" t="s">
        <v>1100</v>
      </c>
      <c r="L144">
        <v>4.5</v>
      </c>
      <c r="M144" t="str">
        <f>IFERROR(VLOOKUP(TRIM(N144),$AP$2:$AQ$12,2,FALSE),"W001")</f>
        <v>W004</v>
      </c>
      <c r="N144" t="s">
        <v>1053</v>
      </c>
      <c r="O144" t="s">
        <v>1061</v>
      </c>
      <c r="P144" t="str">
        <f>VLOOKUP(O144,$AL$2:$AM$12,2,FALSE)</f>
        <v>West</v>
      </c>
      <c r="Q144" t="s">
        <v>1080</v>
      </c>
      <c r="R144">
        <v>1995</v>
      </c>
      <c r="S144" t="s">
        <v>1078</v>
      </c>
      <c r="T144">
        <f t="shared" si="15"/>
        <v>9</v>
      </c>
      <c r="U144">
        <v>299.25</v>
      </c>
      <c r="V144">
        <f t="shared" si="16"/>
        <v>4</v>
      </c>
      <c r="W144" t="s">
        <v>1088</v>
      </c>
      <c r="X144" t="s">
        <v>1091</v>
      </c>
      <c r="Y144">
        <f t="shared" si="17"/>
        <v>0</v>
      </c>
      <c r="Z144" t="s">
        <v>1109</v>
      </c>
      <c r="AA144" t="str">
        <f t="shared" si="18"/>
        <v>High</v>
      </c>
      <c r="AB144" t="s">
        <v>1104</v>
      </c>
      <c r="AC144" t="str">
        <f t="shared" si="19"/>
        <v>No</v>
      </c>
      <c r="AD144">
        <v>2</v>
      </c>
      <c r="AE144">
        <v>4805</v>
      </c>
      <c r="AF144">
        <v>1922</v>
      </c>
      <c r="AG144">
        <f t="shared" si="20"/>
        <v>2583.75</v>
      </c>
    </row>
    <row r="145" spans="1:33" x14ac:dyDescent="0.25">
      <c r="A145">
        <v>1144</v>
      </c>
      <c r="B145" s="1">
        <v>45651</v>
      </c>
      <c r="C145" s="1">
        <v>45652</v>
      </c>
      <c r="D145" s="1">
        <v>45659</v>
      </c>
      <c r="E145" t="s">
        <v>1064</v>
      </c>
      <c r="F145" t="s">
        <v>173</v>
      </c>
      <c r="G145" t="s">
        <v>1071</v>
      </c>
      <c r="H145" t="str">
        <f t="shared" si="14"/>
        <v>Clothing</v>
      </c>
      <c r="I145">
        <v>7</v>
      </c>
      <c r="J145" t="str">
        <f>VLOOKUP(K145,$AJ$2:$AK$7,2,FALSE)</f>
        <v>S001</v>
      </c>
      <c r="K145" t="s">
        <v>1097</v>
      </c>
      <c r="L145">
        <v>3</v>
      </c>
      <c r="M145" t="str">
        <f>IFERROR(VLOOKUP(TRIM(N145),$AP$2:$AQ$12,2,FALSE),"W001")</f>
        <v>W001</v>
      </c>
      <c r="N145" t="s">
        <v>1047</v>
      </c>
      <c r="O145" t="s">
        <v>1051</v>
      </c>
      <c r="P145" t="str">
        <f>VLOOKUP(O145,$AL$2:$AM$12,2,FALSE)</f>
        <v>West</v>
      </c>
      <c r="Q145" t="s">
        <v>1084</v>
      </c>
      <c r="R145">
        <v>134</v>
      </c>
      <c r="S145" t="s">
        <v>1079</v>
      </c>
      <c r="T145">
        <f t="shared" si="15"/>
        <v>1</v>
      </c>
      <c r="U145">
        <v>40.200000000000003</v>
      </c>
      <c r="V145">
        <f t="shared" si="16"/>
        <v>6</v>
      </c>
      <c r="W145" t="s">
        <v>1086</v>
      </c>
      <c r="X145" t="s">
        <v>1089</v>
      </c>
      <c r="Y145">
        <f t="shared" si="17"/>
        <v>40.200000000000003</v>
      </c>
      <c r="Z145" t="s">
        <v>1108</v>
      </c>
      <c r="AA145" t="str">
        <f t="shared" si="18"/>
        <v>Low</v>
      </c>
      <c r="AB145" t="s">
        <v>1103</v>
      </c>
      <c r="AC145" t="str">
        <f t="shared" si="19"/>
        <v>Yes</v>
      </c>
      <c r="AD145">
        <v>4</v>
      </c>
      <c r="AE145">
        <v>14518</v>
      </c>
      <c r="AF145">
        <v>5807.2000000000007</v>
      </c>
      <c r="AG145">
        <f t="shared" si="20"/>
        <v>8670.5999999999985</v>
      </c>
    </row>
    <row r="146" spans="1:33" x14ac:dyDescent="0.25">
      <c r="A146">
        <v>1145</v>
      </c>
      <c r="B146" s="1">
        <v>45005</v>
      </c>
      <c r="C146" s="1">
        <v>45008</v>
      </c>
      <c r="D146" s="1">
        <v>45012</v>
      </c>
      <c r="E146" t="s">
        <v>1064</v>
      </c>
      <c r="F146" t="s">
        <v>174</v>
      </c>
      <c r="G146" t="s">
        <v>1071</v>
      </c>
      <c r="H146" t="str">
        <f t="shared" si="14"/>
        <v>Clothing</v>
      </c>
      <c r="I146">
        <v>1</v>
      </c>
      <c r="J146" t="str">
        <f>VLOOKUP(K146,$AJ$2:$AK$7,2,FALSE)</f>
        <v>S002</v>
      </c>
      <c r="K146" t="s">
        <v>1098</v>
      </c>
      <c r="L146">
        <v>3.2</v>
      </c>
      <c r="M146" t="str">
        <f>IFERROR(VLOOKUP(TRIM(N146),$AP$2:$AQ$12,2,FALSE),"W001")</f>
        <v>W009</v>
      </c>
      <c r="N146" t="s">
        <v>1060</v>
      </c>
      <c r="O146" t="s">
        <v>1062</v>
      </c>
      <c r="P146" t="str">
        <f>VLOOKUP(O146,$AL$2:$AM$12,2,FALSE)</f>
        <v>North</v>
      </c>
      <c r="Q146" t="s">
        <v>1080</v>
      </c>
      <c r="R146">
        <v>669</v>
      </c>
      <c r="S146" t="s">
        <v>1066</v>
      </c>
      <c r="T146">
        <f t="shared" si="15"/>
        <v>4</v>
      </c>
      <c r="U146">
        <v>100.35</v>
      </c>
      <c r="V146">
        <f t="shared" si="16"/>
        <v>4</v>
      </c>
      <c r="W146" t="s">
        <v>1088</v>
      </c>
      <c r="X146" t="s">
        <v>1091</v>
      </c>
      <c r="Y146">
        <f t="shared" si="17"/>
        <v>0</v>
      </c>
      <c r="Z146" t="s">
        <v>1108</v>
      </c>
      <c r="AA146" t="str">
        <f t="shared" si="18"/>
        <v>Low</v>
      </c>
      <c r="AB146" t="s">
        <v>1103</v>
      </c>
      <c r="AC146" t="str">
        <f t="shared" si="19"/>
        <v>Yes</v>
      </c>
      <c r="AD146">
        <v>4</v>
      </c>
      <c r="AE146">
        <v>2676</v>
      </c>
      <c r="AF146">
        <v>1070.4000000000001</v>
      </c>
      <c r="AG146">
        <f t="shared" si="20"/>
        <v>1505.25</v>
      </c>
    </row>
    <row r="147" spans="1:33" x14ac:dyDescent="0.25">
      <c r="A147">
        <v>1146</v>
      </c>
      <c r="B147" s="1">
        <v>44344</v>
      </c>
      <c r="C147" s="1">
        <v>44345</v>
      </c>
      <c r="D147" s="1">
        <v>44352</v>
      </c>
      <c r="E147" t="s">
        <v>1065</v>
      </c>
      <c r="F147" t="s">
        <v>175</v>
      </c>
      <c r="G147" t="s">
        <v>1071</v>
      </c>
      <c r="H147" t="str">
        <f t="shared" si="14"/>
        <v>Clothing</v>
      </c>
      <c r="I147">
        <v>8</v>
      </c>
      <c r="J147" t="str">
        <f>VLOOKUP(K147,$AJ$2:$AK$7,2,FALSE)</f>
        <v>S004</v>
      </c>
      <c r="K147" t="s">
        <v>1100</v>
      </c>
      <c r="L147">
        <v>3.2</v>
      </c>
      <c r="M147" t="str">
        <f>IFERROR(VLOOKUP(TRIM(N147),$AP$2:$AQ$12,2,FALSE),"W001")</f>
        <v>W010</v>
      </c>
      <c r="N147" t="s">
        <v>1063</v>
      </c>
      <c r="O147" t="s">
        <v>1047</v>
      </c>
      <c r="P147" t="str">
        <f>VLOOKUP(O147,$AL$2:$AM$12,2,FALSE)</f>
        <v>West</v>
      </c>
      <c r="Q147" t="s">
        <v>1084</v>
      </c>
      <c r="R147">
        <v>129</v>
      </c>
      <c r="S147" t="s">
        <v>1079</v>
      </c>
      <c r="T147">
        <f t="shared" si="15"/>
        <v>1</v>
      </c>
      <c r="U147">
        <v>38.700000000000003</v>
      </c>
      <c r="V147">
        <f t="shared" si="16"/>
        <v>6</v>
      </c>
      <c r="W147" t="s">
        <v>1087</v>
      </c>
      <c r="X147" t="s">
        <v>1090</v>
      </c>
      <c r="Y147">
        <f t="shared" si="17"/>
        <v>0</v>
      </c>
      <c r="Z147" t="s">
        <v>1108</v>
      </c>
      <c r="AA147" t="str">
        <f t="shared" si="18"/>
        <v>Low</v>
      </c>
      <c r="AB147" t="s">
        <v>1103</v>
      </c>
      <c r="AC147" t="str">
        <f t="shared" si="19"/>
        <v>Yes</v>
      </c>
      <c r="AD147">
        <v>5</v>
      </c>
      <c r="AE147">
        <v>23104</v>
      </c>
      <c r="AF147">
        <v>9241.6</v>
      </c>
      <c r="AG147">
        <f t="shared" si="20"/>
        <v>13823.699999999999</v>
      </c>
    </row>
    <row r="148" spans="1:33" x14ac:dyDescent="0.25">
      <c r="A148">
        <v>1147</v>
      </c>
      <c r="B148" s="1">
        <v>45906</v>
      </c>
      <c r="C148" s="1">
        <v>45907</v>
      </c>
      <c r="D148" s="1">
        <v>45914</v>
      </c>
      <c r="E148" t="s">
        <v>1065</v>
      </c>
      <c r="F148" t="s">
        <v>176</v>
      </c>
      <c r="G148" t="s">
        <v>1067</v>
      </c>
      <c r="H148" t="str">
        <f t="shared" si="14"/>
        <v>Clothing</v>
      </c>
      <c r="I148">
        <v>8</v>
      </c>
      <c r="J148" t="str">
        <f>VLOOKUP(K148,$AJ$2:$AK$7,2,FALSE)</f>
        <v>S003</v>
      </c>
      <c r="K148" t="s">
        <v>1099</v>
      </c>
      <c r="L148">
        <v>4.3</v>
      </c>
      <c r="M148" t="str">
        <f>IFERROR(VLOOKUP(TRIM(N148),$AP$2:$AQ$12,2,FALSE),"W001")</f>
        <v>W006</v>
      </c>
      <c r="N148" t="s">
        <v>1057</v>
      </c>
      <c r="O148" t="s">
        <v>1049</v>
      </c>
      <c r="P148" t="str">
        <f>VLOOKUP(O148,$AL$2:$AM$12,2,FALSE)</f>
        <v>North</v>
      </c>
      <c r="Q148" t="s">
        <v>1084</v>
      </c>
      <c r="R148">
        <v>1994</v>
      </c>
      <c r="S148" t="s">
        <v>1078</v>
      </c>
      <c r="T148">
        <f t="shared" si="15"/>
        <v>7</v>
      </c>
      <c r="U148">
        <v>598.20000000000005</v>
      </c>
      <c r="V148">
        <f t="shared" si="16"/>
        <v>6</v>
      </c>
      <c r="W148" t="s">
        <v>1087</v>
      </c>
      <c r="X148" t="s">
        <v>1089</v>
      </c>
      <c r="Y148">
        <f t="shared" si="17"/>
        <v>0</v>
      </c>
      <c r="Z148" t="s">
        <v>1109</v>
      </c>
      <c r="AA148" t="str">
        <f t="shared" si="18"/>
        <v>High</v>
      </c>
      <c r="AB148" t="s">
        <v>1103</v>
      </c>
      <c r="AC148" t="str">
        <f t="shared" si="19"/>
        <v>No</v>
      </c>
      <c r="AD148">
        <v>2</v>
      </c>
      <c r="AE148">
        <v>8552</v>
      </c>
      <c r="AF148">
        <v>3420.8</v>
      </c>
      <c r="AG148">
        <f t="shared" si="20"/>
        <v>4533</v>
      </c>
    </row>
    <row r="149" spans="1:33" x14ac:dyDescent="0.25">
      <c r="A149">
        <v>1148</v>
      </c>
      <c r="B149" s="1">
        <v>44745</v>
      </c>
      <c r="C149" s="1">
        <v>44747</v>
      </c>
      <c r="D149" s="1">
        <v>44754</v>
      </c>
      <c r="E149" t="s">
        <v>1064</v>
      </c>
      <c r="F149" t="s">
        <v>177</v>
      </c>
      <c r="G149" t="s">
        <v>1070</v>
      </c>
      <c r="H149" t="str">
        <f t="shared" si="14"/>
        <v>Furniture</v>
      </c>
      <c r="I149">
        <v>5</v>
      </c>
      <c r="J149" t="str">
        <f>VLOOKUP(K149,$AJ$2:$AK$7,2,FALSE)</f>
        <v>S006</v>
      </c>
      <c r="K149" t="s">
        <v>1102</v>
      </c>
      <c r="L149">
        <v>3.3</v>
      </c>
      <c r="M149" t="str">
        <f>IFERROR(VLOOKUP(TRIM(N149),$AP$2:$AQ$12,2,FALSE),"W001")</f>
        <v>W007</v>
      </c>
      <c r="N149" t="s">
        <v>1062</v>
      </c>
      <c r="O149" t="s">
        <v>1053</v>
      </c>
      <c r="P149" t="str">
        <f>VLOOKUP(O149,$AL$2:$AM$12,2,FALSE)</f>
        <v>South</v>
      </c>
      <c r="Q149" t="s">
        <v>1080</v>
      </c>
      <c r="R149">
        <v>1845</v>
      </c>
      <c r="S149" t="s">
        <v>1078</v>
      </c>
      <c r="T149">
        <f t="shared" si="15"/>
        <v>8</v>
      </c>
      <c r="U149">
        <v>276.75</v>
      </c>
      <c r="V149">
        <f t="shared" si="16"/>
        <v>4</v>
      </c>
      <c r="W149" t="s">
        <v>1088</v>
      </c>
      <c r="X149" t="s">
        <v>1089</v>
      </c>
      <c r="Y149">
        <f t="shared" si="17"/>
        <v>0</v>
      </c>
      <c r="Z149" t="s">
        <v>1108</v>
      </c>
      <c r="AA149" t="str">
        <f t="shared" si="18"/>
        <v>Low</v>
      </c>
      <c r="AB149" t="s">
        <v>1103</v>
      </c>
      <c r="AC149" t="str">
        <f t="shared" si="19"/>
        <v>Yes</v>
      </c>
      <c r="AD149">
        <v>4</v>
      </c>
      <c r="AE149">
        <v>38315</v>
      </c>
      <c r="AF149">
        <v>15326</v>
      </c>
      <c r="AG149">
        <f t="shared" si="20"/>
        <v>22712.25</v>
      </c>
    </row>
    <row r="150" spans="1:33" x14ac:dyDescent="0.25">
      <c r="A150">
        <v>1149</v>
      </c>
      <c r="B150" s="1">
        <v>44894</v>
      </c>
      <c r="C150" s="1">
        <v>44897</v>
      </c>
      <c r="D150" s="1">
        <v>44903</v>
      </c>
      <c r="E150" t="s">
        <v>1066</v>
      </c>
      <c r="F150" t="s">
        <v>178</v>
      </c>
      <c r="G150" t="s">
        <v>1071</v>
      </c>
      <c r="H150" t="str">
        <f t="shared" si="14"/>
        <v>Clothing</v>
      </c>
      <c r="I150">
        <v>1</v>
      </c>
      <c r="J150" t="str">
        <f>VLOOKUP(K150,$AJ$2:$AK$7,2,FALSE)</f>
        <v>S001</v>
      </c>
      <c r="K150" t="s">
        <v>1097</v>
      </c>
      <c r="L150">
        <v>4.9000000000000004</v>
      </c>
      <c r="M150" t="str">
        <f>IFERROR(VLOOKUP(TRIM(N150),$AP$2:$AQ$12,2,FALSE),"W001")</f>
        <v>W008</v>
      </c>
      <c r="N150" t="s">
        <v>1061</v>
      </c>
      <c r="O150" t="s">
        <v>1055</v>
      </c>
      <c r="P150" t="str">
        <f>VLOOKUP(O150,$AL$2:$AM$12,2,FALSE)</f>
        <v>South</v>
      </c>
      <c r="Q150" t="s">
        <v>1081</v>
      </c>
      <c r="R150">
        <v>1538</v>
      </c>
      <c r="S150" t="s">
        <v>1078</v>
      </c>
      <c r="T150">
        <f t="shared" si="15"/>
        <v>7</v>
      </c>
      <c r="U150">
        <v>307.60000000000002</v>
      </c>
      <c r="V150">
        <f t="shared" si="16"/>
        <v>5</v>
      </c>
      <c r="W150" t="s">
        <v>1086</v>
      </c>
      <c r="X150" t="s">
        <v>1091</v>
      </c>
      <c r="Y150">
        <f t="shared" si="17"/>
        <v>307.60000000000002</v>
      </c>
      <c r="Z150" t="s">
        <v>1108</v>
      </c>
      <c r="AA150" t="str">
        <f t="shared" si="18"/>
        <v>Low</v>
      </c>
      <c r="AB150" t="s">
        <v>1103</v>
      </c>
      <c r="AC150" t="str">
        <f t="shared" si="19"/>
        <v>Yes</v>
      </c>
      <c r="AD150">
        <v>5</v>
      </c>
      <c r="AE150">
        <v>1344</v>
      </c>
      <c r="AF150">
        <v>537.6</v>
      </c>
      <c r="AG150">
        <f t="shared" si="20"/>
        <v>498.79999999999995</v>
      </c>
    </row>
    <row r="151" spans="1:33" x14ac:dyDescent="0.25">
      <c r="A151">
        <v>1150</v>
      </c>
      <c r="B151" s="1">
        <v>46193</v>
      </c>
      <c r="C151" s="1">
        <v>46196</v>
      </c>
      <c r="D151" s="1">
        <v>46199</v>
      </c>
      <c r="E151" t="s">
        <v>1064</v>
      </c>
      <c r="F151" t="s">
        <v>179</v>
      </c>
      <c r="G151" t="s">
        <v>1067</v>
      </c>
      <c r="H151" t="str">
        <f t="shared" si="14"/>
        <v>Clothing</v>
      </c>
      <c r="I151">
        <v>6</v>
      </c>
      <c r="J151" t="str">
        <f>VLOOKUP(K151,$AJ$2:$AK$7,2,FALSE)</f>
        <v>S001</v>
      </c>
      <c r="K151" t="s">
        <v>1097</v>
      </c>
      <c r="L151">
        <v>4.0999999999999996</v>
      </c>
      <c r="M151" t="str">
        <f>IFERROR(VLOOKUP(TRIM(N151),$AP$2:$AQ$12,2,FALSE),"W001")</f>
        <v>W001</v>
      </c>
      <c r="N151" t="s">
        <v>1047</v>
      </c>
      <c r="O151" t="s">
        <v>1057</v>
      </c>
      <c r="P151" t="str">
        <f>VLOOKUP(O151,$AL$2:$AM$12,2,FALSE)</f>
        <v>South</v>
      </c>
      <c r="Q151" t="s">
        <v>1081</v>
      </c>
      <c r="R151">
        <v>1128</v>
      </c>
      <c r="S151" t="s">
        <v>1078</v>
      </c>
      <c r="T151">
        <f t="shared" si="15"/>
        <v>6</v>
      </c>
      <c r="U151">
        <v>225.6</v>
      </c>
      <c r="V151">
        <f t="shared" si="16"/>
        <v>5</v>
      </c>
      <c r="W151" t="s">
        <v>1087</v>
      </c>
      <c r="X151" t="s">
        <v>1089</v>
      </c>
      <c r="Y151">
        <f t="shared" si="17"/>
        <v>0</v>
      </c>
      <c r="Z151" t="s">
        <v>1108</v>
      </c>
      <c r="AA151" t="str">
        <f t="shared" si="18"/>
        <v>Low</v>
      </c>
      <c r="AB151" t="s">
        <v>1103</v>
      </c>
      <c r="AC151" t="str">
        <f t="shared" si="19"/>
        <v>Yes</v>
      </c>
      <c r="AD151">
        <v>4</v>
      </c>
      <c r="AE151">
        <v>4182</v>
      </c>
      <c r="AF151">
        <v>1672.8000000000002</v>
      </c>
      <c r="AG151">
        <f t="shared" si="20"/>
        <v>2283.6</v>
      </c>
    </row>
    <row r="152" spans="1:33" x14ac:dyDescent="0.25">
      <c r="A152">
        <v>1151</v>
      </c>
      <c r="B152" s="1">
        <v>46193</v>
      </c>
      <c r="C152" s="1">
        <v>46194</v>
      </c>
      <c r="D152" s="1">
        <v>46201</v>
      </c>
      <c r="E152" t="s">
        <v>1065</v>
      </c>
      <c r="F152" t="s">
        <v>180</v>
      </c>
      <c r="G152" t="s">
        <v>1069</v>
      </c>
      <c r="H152" t="str">
        <f t="shared" si="14"/>
        <v>Furniture</v>
      </c>
      <c r="I152">
        <v>8</v>
      </c>
      <c r="J152" t="str">
        <f>VLOOKUP(K152,$AJ$2:$AK$7,2,FALSE)</f>
        <v>S001</v>
      </c>
      <c r="K152" t="s">
        <v>1097</v>
      </c>
      <c r="L152">
        <v>4.4000000000000004</v>
      </c>
      <c r="M152" t="str">
        <f>IFERROR(VLOOKUP(TRIM(N152),$AP$2:$AQ$12,2,FALSE),"W001")</f>
        <v>W006</v>
      </c>
      <c r="N152" t="s">
        <v>1057</v>
      </c>
      <c r="O152" t="s">
        <v>1053</v>
      </c>
      <c r="P152" t="str">
        <f>VLOOKUP(O152,$AL$2:$AM$12,2,FALSE)</f>
        <v>South</v>
      </c>
      <c r="Q152" t="s">
        <v>1083</v>
      </c>
      <c r="R152">
        <v>1199</v>
      </c>
      <c r="S152" t="s">
        <v>1078</v>
      </c>
      <c r="T152">
        <f t="shared" si="15"/>
        <v>3</v>
      </c>
      <c r="U152">
        <v>599.5</v>
      </c>
      <c r="V152">
        <f t="shared" si="16"/>
        <v>10</v>
      </c>
      <c r="W152" t="s">
        <v>1087</v>
      </c>
      <c r="X152" t="s">
        <v>1089</v>
      </c>
      <c r="Y152">
        <f t="shared" si="17"/>
        <v>0</v>
      </c>
      <c r="Z152" t="s">
        <v>1108</v>
      </c>
      <c r="AA152" t="str">
        <f t="shared" si="18"/>
        <v>Medium</v>
      </c>
      <c r="AB152" t="s">
        <v>1103</v>
      </c>
      <c r="AC152" t="str">
        <f t="shared" si="19"/>
        <v>Yes</v>
      </c>
      <c r="AD152">
        <v>5</v>
      </c>
      <c r="AE152">
        <v>48504</v>
      </c>
      <c r="AF152">
        <v>19401.600000000002</v>
      </c>
      <c r="AG152">
        <f t="shared" si="20"/>
        <v>28502.899999999998</v>
      </c>
    </row>
    <row r="153" spans="1:33" x14ac:dyDescent="0.25">
      <c r="A153">
        <v>1152</v>
      </c>
      <c r="B153" s="1">
        <v>45657</v>
      </c>
      <c r="C153" s="1">
        <v>45660</v>
      </c>
      <c r="D153" s="1">
        <v>45662</v>
      </c>
      <c r="E153" t="s">
        <v>1065</v>
      </c>
      <c r="F153" t="s">
        <v>181</v>
      </c>
      <c r="G153" t="s">
        <v>1071</v>
      </c>
      <c r="H153" t="str">
        <f t="shared" si="14"/>
        <v>Clothing</v>
      </c>
      <c r="I153">
        <v>1</v>
      </c>
      <c r="J153" t="str">
        <f>VLOOKUP(K153,$AJ$2:$AK$7,2,FALSE)</f>
        <v>S006</v>
      </c>
      <c r="K153" t="s">
        <v>1102</v>
      </c>
      <c r="L153">
        <v>4.5</v>
      </c>
      <c r="M153" t="str">
        <f>IFERROR(VLOOKUP(TRIM(N153),$AP$2:$AQ$12,2,FALSE),"W001")</f>
        <v>W006</v>
      </c>
      <c r="N153" t="s">
        <v>1057</v>
      </c>
      <c r="O153" t="s">
        <v>1060</v>
      </c>
      <c r="P153" t="str">
        <f>VLOOKUP(O153,$AL$2:$AM$12,2,FALSE)</f>
        <v>North</v>
      </c>
      <c r="Q153" t="s">
        <v>1081</v>
      </c>
      <c r="R153">
        <v>1069</v>
      </c>
      <c r="S153" t="s">
        <v>1078</v>
      </c>
      <c r="T153">
        <f t="shared" si="15"/>
        <v>5</v>
      </c>
      <c r="U153">
        <v>213.8</v>
      </c>
      <c r="V153">
        <f t="shared" si="16"/>
        <v>5</v>
      </c>
      <c r="W153" t="s">
        <v>1088</v>
      </c>
      <c r="X153" t="s">
        <v>1091</v>
      </c>
      <c r="Y153">
        <f t="shared" si="17"/>
        <v>0</v>
      </c>
      <c r="Z153" t="s">
        <v>1108</v>
      </c>
      <c r="AA153" t="str">
        <f t="shared" si="18"/>
        <v>Low</v>
      </c>
      <c r="AB153" t="s">
        <v>1103</v>
      </c>
      <c r="AC153" t="str">
        <f t="shared" si="19"/>
        <v>Yes</v>
      </c>
      <c r="AD153">
        <v>4</v>
      </c>
      <c r="AE153">
        <v>1523</v>
      </c>
      <c r="AF153">
        <v>609.20000000000005</v>
      </c>
      <c r="AG153">
        <f t="shared" si="20"/>
        <v>700</v>
      </c>
    </row>
    <row r="154" spans="1:33" x14ac:dyDescent="0.25">
      <c r="A154">
        <v>1153</v>
      </c>
      <c r="B154" s="1">
        <v>45166</v>
      </c>
      <c r="C154" s="1">
        <v>45169</v>
      </c>
      <c r="D154" s="1">
        <v>45175</v>
      </c>
      <c r="E154" t="s">
        <v>1064</v>
      </c>
      <c r="F154" t="s">
        <v>182</v>
      </c>
      <c r="G154" t="s">
        <v>1068</v>
      </c>
      <c r="H154" t="str">
        <f t="shared" si="14"/>
        <v>Electronics</v>
      </c>
      <c r="I154">
        <v>8</v>
      </c>
      <c r="J154" t="str">
        <f>VLOOKUP(K154,$AJ$2:$AK$7,2,FALSE)</f>
        <v>S004</v>
      </c>
      <c r="K154" t="s">
        <v>1100</v>
      </c>
      <c r="L154">
        <v>3.5</v>
      </c>
      <c r="M154" t="str">
        <f>IFERROR(VLOOKUP(TRIM(N154),$AP$2:$AQ$12,2,FALSE),"W001")</f>
        <v>W009</v>
      </c>
      <c r="N154" t="s">
        <v>1060</v>
      </c>
      <c r="O154" t="s">
        <v>1063</v>
      </c>
      <c r="P154" t="str">
        <f>VLOOKUP(O154,$AL$2:$AM$12,2,FALSE)</f>
        <v>South</v>
      </c>
      <c r="Q154" t="s">
        <v>1083</v>
      </c>
      <c r="R154">
        <v>1450</v>
      </c>
      <c r="S154" t="s">
        <v>1078</v>
      </c>
      <c r="T154">
        <f t="shared" si="15"/>
        <v>3</v>
      </c>
      <c r="U154">
        <v>725</v>
      </c>
      <c r="V154">
        <f t="shared" si="16"/>
        <v>10</v>
      </c>
      <c r="W154" t="s">
        <v>1086</v>
      </c>
      <c r="X154" t="s">
        <v>1089</v>
      </c>
      <c r="Y154">
        <f t="shared" si="17"/>
        <v>725</v>
      </c>
      <c r="Z154" t="s">
        <v>1108</v>
      </c>
      <c r="AA154" t="str">
        <f t="shared" si="18"/>
        <v>Medium</v>
      </c>
      <c r="AB154" t="s">
        <v>1103</v>
      </c>
      <c r="AC154" t="str">
        <f t="shared" si="19"/>
        <v>Yes</v>
      </c>
      <c r="AD154">
        <v>4</v>
      </c>
      <c r="AE154">
        <v>364912</v>
      </c>
      <c r="AF154">
        <v>145964.80000000002</v>
      </c>
      <c r="AG154">
        <f t="shared" si="20"/>
        <v>218222.19999999998</v>
      </c>
    </row>
    <row r="155" spans="1:33" x14ac:dyDescent="0.25">
      <c r="A155">
        <v>1154</v>
      </c>
      <c r="B155" s="1">
        <v>44436</v>
      </c>
      <c r="C155" s="1">
        <v>44437</v>
      </c>
      <c r="D155" s="1">
        <v>44442</v>
      </c>
      <c r="E155" t="s">
        <v>1065</v>
      </c>
      <c r="F155" t="s">
        <v>183</v>
      </c>
      <c r="G155" t="s">
        <v>1071</v>
      </c>
      <c r="H155" t="str">
        <f t="shared" si="14"/>
        <v>Clothing</v>
      </c>
      <c r="I155">
        <v>2</v>
      </c>
      <c r="J155" t="str">
        <f>VLOOKUP(K155,$AJ$2:$AK$7,2,FALSE)</f>
        <v>S006</v>
      </c>
      <c r="K155" t="s">
        <v>1102</v>
      </c>
      <c r="L155">
        <v>4.4000000000000004</v>
      </c>
      <c r="M155" t="str">
        <f>IFERROR(VLOOKUP(TRIM(N155),$AP$2:$AQ$12,2,FALSE),"W001")</f>
        <v>W004</v>
      </c>
      <c r="N155" t="s">
        <v>1053</v>
      </c>
      <c r="O155" t="s">
        <v>1057</v>
      </c>
      <c r="P155" t="str">
        <f>VLOOKUP(O155,$AL$2:$AM$12,2,FALSE)</f>
        <v>South</v>
      </c>
      <c r="Q155" t="s">
        <v>1084</v>
      </c>
      <c r="R155">
        <v>1844</v>
      </c>
      <c r="S155" t="s">
        <v>1078</v>
      </c>
      <c r="T155">
        <f t="shared" si="15"/>
        <v>6</v>
      </c>
      <c r="U155">
        <v>553.20000000000005</v>
      </c>
      <c r="V155">
        <f t="shared" si="16"/>
        <v>6</v>
      </c>
      <c r="W155" t="s">
        <v>1088</v>
      </c>
      <c r="X155" t="s">
        <v>1090</v>
      </c>
      <c r="Y155">
        <f t="shared" si="17"/>
        <v>0</v>
      </c>
      <c r="Z155" t="s">
        <v>1109</v>
      </c>
      <c r="AA155" t="str">
        <f t="shared" si="18"/>
        <v>High</v>
      </c>
      <c r="AB155" t="s">
        <v>1104</v>
      </c>
      <c r="AC155" t="str">
        <f t="shared" si="19"/>
        <v>No</v>
      </c>
      <c r="AD155">
        <v>1</v>
      </c>
      <c r="AE155">
        <v>5884</v>
      </c>
      <c r="AF155">
        <v>2353.6</v>
      </c>
      <c r="AG155">
        <f t="shared" si="20"/>
        <v>2977.2</v>
      </c>
    </row>
    <row r="156" spans="1:33" x14ac:dyDescent="0.25">
      <c r="A156">
        <v>1155</v>
      </c>
      <c r="B156" s="1">
        <v>45184</v>
      </c>
      <c r="C156" s="1">
        <v>45187</v>
      </c>
      <c r="D156" s="1">
        <v>45191</v>
      </c>
      <c r="E156" t="s">
        <v>1066</v>
      </c>
      <c r="F156" t="s">
        <v>184</v>
      </c>
      <c r="G156" t="s">
        <v>1071</v>
      </c>
      <c r="H156" t="str">
        <f t="shared" si="14"/>
        <v>Clothing</v>
      </c>
      <c r="I156">
        <v>4</v>
      </c>
      <c r="J156" t="str">
        <f>VLOOKUP(K156,$AJ$2:$AK$7,2,FALSE)</f>
        <v>S004</v>
      </c>
      <c r="K156" t="s">
        <v>1100</v>
      </c>
      <c r="L156">
        <v>3.2</v>
      </c>
      <c r="M156" t="str">
        <f>IFERROR(VLOOKUP(TRIM(N156),$AP$2:$AQ$12,2,FALSE),"W001")</f>
        <v>W003</v>
      </c>
      <c r="N156" t="s">
        <v>1051</v>
      </c>
      <c r="O156" t="s">
        <v>1061</v>
      </c>
      <c r="P156" t="str">
        <f>VLOOKUP(O156,$AL$2:$AM$12,2,FALSE)</f>
        <v>West</v>
      </c>
      <c r="Q156" t="s">
        <v>1081</v>
      </c>
      <c r="R156">
        <v>1698</v>
      </c>
      <c r="S156" t="s">
        <v>1078</v>
      </c>
      <c r="T156">
        <f t="shared" si="15"/>
        <v>8</v>
      </c>
      <c r="U156">
        <v>339.6</v>
      </c>
      <c r="V156">
        <f t="shared" si="16"/>
        <v>5</v>
      </c>
      <c r="W156" t="s">
        <v>1087</v>
      </c>
      <c r="X156" t="s">
        <v>1091</v>
      </c>
      <c r="Y156">
        <f t="shared" si="17"/>
        <v>0</v>
      </c>
      <c r="Z156" t="s">
        <v>1109</v>
      </c>
      <c r="AA156" t="str">
        <f t="shared" si="18"/>
        <v>High</v>
      </c>
      <c r="AB156" t="s">
        <v>1103</v>
      </c>
      <c r="AC156" t="str">
        <f t="shared" si="19"/>
        <v>No</v>
      </c>
      <c r="AD156">
        <v>3</v>
      </c>
      <c r="AE156">
        <v>4848</v>
      </c>
      <c r="AF156">
        <v>1939.2</v>
      </c>
      <c r="AG156">
        <f t="shared" si="20"/>
        <v>2569.2000000000003</v>
      </c>
    </row>
    <row r="157" spans="1:33" x14ac:dyDescent="0.25">
      <c r="A157">
        <v>1156</v>
      </c>
      <c r="B157" s="1">
        <v>45779</v>
      </c>
      <c r="C157" s="1">
        <v>45781</v>
      </c>
      <c r="D157" s="1">
        <v>45787</v>
      </c>
      <c r="E157" t="s">
        <v>1065</v>
      </c>
      <c r="F157" t="s">
        <v>185</v>
      </c>
      <c r="G157" t="s">
        <v>1068</v>
      </c>
      <c r="H157" t="str">
        <f t="shared" si="14"/>
        <v>Electronics</v>
      </c>
      <c r="I157">
        <v>9</v>
      </c>
      <c r="J157" t="str">
        <f>VLOOKUP(K157,$AJ$2:$AK$7,2,FALSE)</f>
        <v>S003</v>
      </c>
      <c r="K157" t="s">
        <v>1099</v>
      </c>
      <c r="L157">
        <v>4.5</v>
      </c>
      <c r="M157" t="str">
        <f>IFERROR(VLOOKUP(TRIM(N157),$AP$2:$AQ$12,2,FALSE),"W001")</f>
        <v>W005</v>
      </c>
      <c r="N157" t="s">
        <v>1055</v>
      </c>
      <c r="O157" t="s">
        <v>1053</v>
      </c>
      <c r="P157" t="str">
        <f>VLOOKUP(O157,$AL$2:$AM$12,2,FALSE)</f>
        <v>South</v>
      </c>
      <c r="Q157" t="s">
        <v>1080</v>
      </c>
      <c r="R157">
        <v>438</v>
      </c>
      <c r="S157" t="s">
        <v>1066</v>
      </c>
      <c r="T157">
        <f t="shared" si="15"/>
        <v>3</v>
      </c>
      <c r="U157">
        <v>65.7</v>
      </c>
      <c r="V157">
        <f t="shared" si="16"/>
        <v>4</v>
      </c>
      <c r="W157" t="s">
        <v>1086</v>
      </c>
      <c r="X157" t="s">
        <v>1091</v>
      </c>
      <c r="Y157">
        <f t="shared" si="17"/>
        <v>65.7</v>
      </c>
      <c r="Z157" t="s">
        <v>1108</v>
      </c>
      <c r="AA157" t="str">
        <f t="shared" si="18"/>
        <v>Low</v>
      </c>
      <c r="AB157" t="s">
        <v>1103</v>
      </c>
      <c r="AC157" t="str">
        <f t="shared" si="19"/>
        <v>Yes</v>
      </c>
      <c r="AD157">
        <v>5</v>
      </c>
      <c r="AE157">
        <v>370530</v>
      </c>
      <c r="AF157">
        <v>148212</v>
      </c>
      <c r="AG157">
        <f t="shared" si="20"/>
        <v>222252.3</v>
      </c>
    </row>
    <row r="158" spans="1:33" x14ac:dyDescent="0.25">
      <c r="A158">
        <v>1157</v>
      </c>
      <c r="B158" s="1">
        <v>46063</v>
      </c>
      <c r="C158" s="1">
        <v>46065</v>
      </c>
      <c r="D158" s="1">
        <v>46069</v>
      </c>
      <c r="E158" t="s">
        <v>1065</v>
      </c>
      <c r="F158" t="s">
        <v>186</v>
      </c>
      <c r="G158" t="s">
        <v>1068</v>
      </c>
      <c r="H158" t="str">
        <f t="shared" si="14"/>
        <v>Electronics</v>
      </c>
      <c r="I158">
        <v>4</v>
      </c>
      <c r="J158" t="str">
        <f>VLOOKUP(K158,$AJ$2:$AK$7,2,FALSE)</f>
        <v>S001</v>
      </c>
      <c r="K158" t="s">
        <v>1097</v>
      </c>
      <c r="L158">
        <v>4</v>
      </c>
      <c r="M158" t="str">
        <f>IFERROR(VLOOKUP(TRIM(N158),$AP$2:$AQ$12,2,FALSE),"W001")</f>
        <v>W011</v>
      </c>
      <c r="N158" t="s">
        <v>1059</v>
      </c>
      <c r="O158" t="s">
        <v>1060</v>
      </c>
      <c r="P158" t="str">
        <f>VLOOKUP(O158,$AL$2:$AM$12,2,FALSE)</f>
        <v>North</v>
      </c>
      <c r="Q158" t="s">
        <v>1083</v>
      </c>
      <c r="R158">
        <v>954</v>
      </c>
      <c r="S158" t="s">
        <v>1078</v>
      </c>
      <c r="T158">
        <f t="shared" si="15"/>
        <v>2</v>
      </c>
      <c r="U158">
        <v>477</v>
      </c>
      <c r="V158">
        <f t="shared" si="16"/>
        <v>10</v>
      </c>
      <c r="W158" t="s">
        <v>1086</v>
      </c>
      <c r="X158" t="s">
        <v>1091</v>
      </c>
      <c r="Y158">
        <f t="shared" si="17"/>
        <v>477</v>
      </c>
      <c r="Z158" t="s">
        <v>1108</v>
      </c>
      <c r="AA158" t="str">
        <f t="shared" si="18"/>
        <v>Medium</v>
      </c>
      <c r="AB158" t="s">
        <v>1103</v>
      </c>
      <c r="AC158" t="str">
        <f t="shared" si="19"/>
        <v>Yes</v>
      </c>
      <c r="AD158">
        <v>5</v>
      </c>
      <c r="AE158">
        <v>230568</v>
      </c>
      <c r="AF158">
        <v>92227.200000000012</v>
      </c>
      <c r="AG158">
        <f t="shared" si="20"/>
        <v>137863.79999999999</v>
      </c>
    </row>
    <row r="159" spans="1:33" x14ac:dyDescent="0.25">
      <c r="A159">
        <v>1158</v>
      </c>
      <c r="B159" s="1">
        <v>44655</v>
      </c>
      <c r="C159" s="1">
        <v>44657</v>
      </c>
      <c r="D159" s="1">
        <v>44659</v>
      </c>
      <c r="E159" t="s">
        <v>1066</v>
      </c>
      <c r="F159" t="s">
        <v>187</v>
      </c>
      <c r="G159" t="s">
        <v>1070</v>
      </c>
      <c r="H159" t="str">
        <f t="shared" si="14"/>
        <v>Furniture</v>
      </c>
      <c r="I159">
        <v>9</v>
      </c>
      <c r="J159" t="str">
        <f>VLOOKUP(K159,$AJ$2:$AK$7,2,FALSE)</f>
        <v>S003</v>
      </c>
      <c r="K159" t="s">
        <v>1099</v>
      </c>
      <c r="L159">
        <v>3.8</v>
      </c>
      <c r="M159" t="str">
        <f>IFERROR(VLOOKUP(TRIM(N159),$AP$2:$AQ$12,2,FALSE),"W001")</f>
        <v>W003</v>
      </c>
      <c r="N159" t="s">
        <v>1051</v>
      </c>
      <c r="O159" t="s">
        <v>1051</v>
      </c>
      <c r="P159" t="str">
        <f>VLOOKUP(O159,$AL$2:$AM$12,2,FALSE)</f>
        <v>West</v>
      </c>
      <c r="Q159" t="s">
        <v>1084</v>
      </c>
      <c r="R159">
        <v>23</v>
      </c>
      <c r="S159" t="s">
        <v>1079</v>
      </c>
      <c r="T159">
        <f t="shared" si="15"/>
        <v>1</v>
      </c>
      <c r="U159">
        <v>6.9</v>
      </c>
      <c r="V159">
        <f t="shared" si="16"/>
        <v>6</v>
      </c>
      <c r="W159" t="s">
        <v>1086</v>
      </c>
      <c r="X159" t="s">
        <v>1089</v>
      </c>
      <c r="Y159">
        <f t="shared" si="17"/>
        <v>6.9</v>
      </c>
      <c r="Z159" t="s">
        <v>1108</v>
      </c>
      <c r="AA159" t="str">
        <f t="shared" si="18"/>
        <v>Low</v>
      </c>
      <c r="AB159" t="s">
        <v>1103</v>
      </c>
      <c r="AC159" t="str">
        <f t="shared" si="19"/>
        <v>Yes</v>
      </c>
      <c r="AD159">
        <v>5</v>
      </c>
      <c r="AE159">
        <v>35550</v>
      </c>
      <c r="AF159">
        <v>14220</v>
      </c>
      <c r="AG159">
        <f t="shared" si="20"/>
        <v>21323.1</v>
      </c>
    </row>
    <row r="160" spans="1:33" x14ac:dyDescent="0.25">
      <c r="A160">
        <v>1159</v>
      </c>
      <c r="B160" s="1">
        <v>45581</v>
      </c>
      <c r="C160" s="1">
        <v>45584</v>
      </c>
      <c r="D160" s="1">
        <v>45586</v>
      </c>
      <c r="E160" t="s">
        <v>1066</v>
      </c>
      <c r="F160" t="s">
        <v>188</v>
      </c>
      <c r="G160" t="s">
        <v>1072</v>
      </c>
      <c r="H160" t="str">
        <f t="shared" si="14"/>
        <v>Electronics</v>
      </c>
      <c r="I160">
        <v>8</v>
      </c>
      <c r="J160" t="str">
        <f>VLOOKUP(K160,$AJ$2:$AK$7,2,FALSE)</f>
        <v>S006</v>
      </c>
      <c r="K160" t="s">
        <v>1102</v>
      </c>
      <c r="L160">
        <v>3.5</v>
      </c>
      <c r="M160" t="str">
        <f>IFERROR(VLOOKUP(TRIM(N160),$AP$2:$AQ$12,2,FALSE),"W001")</f>
        <v>W009</v>
      </c>
      <c r="N160" t="s">
        <v>1060</v>
      </c>
      <c r="O160" t="s">
        <v>1057</v>
      </c>
      <c r="P160" t="str">
        <f>VLOOKUP(O160,$AL$2:$AM$12,2,FALSE)</f>
        <v>South</v>
      </c>
      <c r="Q160" t="s">
        <v>1084</v>
      </c>
      <c r="R160">
        <v>1838</v>
      </c>
      <c r="S160" t="s">
        <v>1078</v>
      </c>
      <c r="T160">
        <f t="shared" si="15"/>
        <v>6</v>
      </c>
      <c r="U160">
        <v>551.4</v>
      </c>
      <c r="V160">
        <f t="shared" si="16"/>
        <v>6</v>
      </c>
      <c r="W160" t="s">
        <v>1087</v>
      </c>
      <c r="X160" t="s">
        <v>1091</v>
      </c>
      <c r="Y160">
        <f t="shared" si="17"/>
        <v>0</v>
      </c>
      <c r="Z160" t="s">
        <v>1109</v>
      </c>
      <c r="AA160" t="str">
        <f t="shared" si="18"/>
        <v>High</v>
      </c>
      <c r="AB160" t="s">
        <v>1104</v>
      </c>
      <c r="AC160" t="str">
        <f t="shared" si="19"/>
        <v>No</v>
      </c>
      <c r="AD160">
        <v>2</v>
      </c>
      <c r="AE160">
        <v>132712</v>
      </c>
      <c r="AF160">
        <v>53084.800000000003</v>
      </c>
      <c r="AG160">
        <f t="shared" si="20"/>
        <v>79075.8</v>
      </c>
    </row>
    <row r="161" spans="1:33" x14ac:dyDescent="0.25">
      <c r="A161">
        <v>1160</v>
      </c>
      <c r="B161" s="1">
        <v>44915</v>
      </c>
      <c r="C161" s="1">
        <v>44917</v>
      </c>
      <c r="D161" s="1">
        <v>44922</v>
      </c>
      <c r="E161" t="s">
        <v>1066</v>
      </c>
      <c r="F161" t="s">
        <v>189</v>
      </c>
      <c r="G161" t="s">
        <v>1069</v>
      </c>
      <c r="H161" t="str">
        <f t="shared" si="14"/>
        <v>Furniture</v>
      </c>
      <c r="I161">
        <v>7</v>
      </c>
      <c r="J161" t="str">
        <f>VLOOKUP(K161,$AJ$2:$AK$7,2,FALSE)</f>
        <v>S004</v>
      </c>
      <c r="K161" t="s">
        <v>1100</v>
      </c>
      <c r="L161">
        <v>4.9000000000000004</v>
      </c>
      <c r="M161" t="str">
        <f>IFERROR(VLOOKUP(TRIM(N161),$AP$2:$AQ$12,2,FALSE),"W001")</f>
        <v>W010</v>
      </c>
      <c r="N161" t="s">
        <v>1063</v>
      </c>
      <c r="O161" t="s">
        <v>1057</v>
      </c>
      <c r="P161" t="str">
        <f>VLOOKUP(O161,$AL$2:$AM$12,2,FALSE)</f>
        <v>South</v>
      </c>
      <c r="Q161" t="s">
        <v>1080</v>
      </c>
      <c r="R161">
        <v>1612</v>
      </c>
      <c r="S161" t="s">
        <v>1078</v>
      </c>
      <c r="T161">
        <f t="shared" si="15"/>
        <v>7</v>
      </c>
      <c r="U161">
        <v>241.8</v>
      </c>
      <c r="V161">
        <f t="shared" si="16"/>
        <v>4</v>
      </c>
      <c r="W161" t="s">
        <v>1087</v>
      </c>
      <c r="X161" t="s">
        <v>1090</v>
      </c>
      <c r="Y161">
        <f t="shared" si="17"/>
        <v>0</v>
      </c>
      <c r="Z161" t="s">
        <v>1108</v>
      </c>
      <c r="AA161" t="str">
        <f t="shared" si="18"/>
        <v>Low</v>
      </c>
      <c r="AB161" t="s">
        <v>1103</v>
      </c>
      <c r="AC161" t="str">
        <f t="shared" si="19"/>
        <v>Yes</v>
      </c>
      <c r="AD161">
        <v>4</v>
      </c>
      <c r="AE161">
        <v>79051</v>
      </c>
      <c r="AF161">
        <v>31620.400000000001</v>
      </c>
      <c r="AG161">
        <f t="shared" si="20"/>
        <v>47188.799999999996</v>
      </c>
    </row>
    <row r="162" spans="1:33" x14ac:dyDescent="0.25">
      <c r="A162">
        <v>1161</v>
      </c>
      <c r="B162" s="1">
        <v>44324</v>
      </c>
      <c r="C162" s="1">
        <v>44327</v>
      </c>
      <c r="D162" s="1">
        <v>44333</v>
      </c>
      <c r="E162" t="s">
        <v>1066</v>
      </c>
      <c r="F162" t="s">
        <v>190</v>
      </c>
      <c r="G162" t="s">
        <v>1072</v>
      </c>
      <c r="H162" t="str">
        <f t="shared" si="14"/>
        <v>Electronics</v>
      </c>
      <c r="I162">
        <v>3</v>
      </c>
      <c r="J162" t="str">
        <f>VLOOKUP(K162,$AJ$2:$AK$7,2,FALSE)</f>
        <v>S002</v>
      </c>
      <c r="K162" t="s">
        <v>1098</v>
      </c>
      <c r="L162">
        <v>3.3</v>
      </c>
      <c r="M162" t="str">
        <f>IFERROR(VLOOKUP(TRIM(N162),$AP$2:$AQ$12,2,FALSE),"W001")</f>
        <v>W001</v>
      </c>
      <c r="N162" t="s">
        <v>1047</v>
      </c>
      <c r="O162" t="s">
        <v>1060</v>
      </c>
      <c r="P162" t="str">
        <f>VLOOKUP(O162,$AL$2:$AM$12,2,FALSE)</f>
        <v>North</v>
      </c>
      <c r="Q162" t="s">
        <v>1083</v>
      </c>
      <c r="R162">
        <v>1583</v>
      </c>
      <c r="S162" t="s">
        <v>1078</v>
      </c>
      <c r="T162">
        <f t="shared" si="15"/>
        <v>3</v>
      </c>
      <c r="U162">
        <v>791.5</v>
      </c>
      <c r="V162">
        <f t="shared" si="16"/>
        <v>10</v>
      </c>
      <c r="W162" t="s">
        <v>1087</v>
      </c>
      <c r="X162" t="s">
        <v>1091</v>
      </c>
      <c r="Y162">
        <f t="shared" si="17"/>
        <v>0</v>
      </c>
      <c r="Z162" t="s">
        <v>1108</v>
      </c>
      <c r="AA162" t="str">
        <f t="shared" si="18"/>
        <v>Medium</v>
      </c>
      <c r="AB162" t="s">
        <v>1103</v>
      </c>
      <c r="AC162" t="str">
        <f t="shared" si="19"/>
        <v>Yes</v>
      </c>
      <c r="AD162">
        <v>5</v>
      </c>
      <c r="AE162">
        <v>69579</v>
      </c>
      <c r="AF162">
        <v>27831.600000000002</v>
      </c>
      <c r="AG162">
        <f t="shared" si="20"/>
        <v>40955.899999999994</v>
      </c>
    </row>
    <row r="163" spans="1:33" x14ac:dyDescent="0.25">
      <c r="A163">
        <v>1162</v>
      </c>
      <c r="B163" s="1">
        <v>45080</v>
      </c>
      <c r="C163" s="1">
        <v>45083</v>
      </c>
      <c r="D163" s="1">
        <v>45085</v>
      </c>
      <c r="E163" t="s">
        <v>1066</v>
      </c>
      <c r="F163" t="s">
        <v>191</v>
      </c>
      <c r="G163" t="s">
        <v>1067</v>
      </c>
      <c r="H163" t="str">
        <f t="shared" si="14"/>
        <v>Clothing</v>
      </c>
      <c r="I163">
        <v>7</v>
      </c>
      <c r="J163" t="str">
        <f>VLOOKUP(K163,$AJ$2:$AK$7,2,FALSE)</f>
        <v>S006</v>
      </c>
      <c r="K163" t="s">
        <v>1102</v>
      </c>
      <c r="L163">
        <v>4.0999999999999996</v>
      </c>
      <c r="M163" t="str">
        <f>IFERROR(VLOOKUP(TRIM(N163),$AP$2:$AQ$12,2,FALSE),"W001")</f>
        <v>W007</v>
      </c>
      <c r="N163" t="s">
        <v>1062</v>
      </c>
      <c r="O163" t="s">
        <v>1049</v>
      </c>
      <c r="P163" t="str">
        <f>VLOOKUP(O163,$AL$2:$AM$12,2,FALSE)</f>
        <v>North</v>
      </c>
      <c r="Q163" t="s">
        <v>1084</v>
      </c>
      <c r="R163">
        <v>1862</v>
      </c>
      <c r="S163" t="s">
        <v>1078</v>
      </c>
      <c r="T163">
        <f t="shared" si="15"/>
        <v>6</v>
      </c>
      <c r="U163">
        <v>558.6</v>
      </c>
      <c r="V163">
        <f t="shared" si="16"/>
        <v>6</v>
      </c>
      <c r="W163" t="s">
        <v>1088</v>
      </c>
      <c r="X163" t="s">
        <v>1091</v>
      </c>
      <c r="Y163">
        <f t="shared" si="17"/>
        <v>0</v>
      </c>
      <c r="Z163" t="s">
        <v>1109</v>
      </c>
      <c r="AA163" t="str">
        <f t="shared" si="18"/>
        <v>High</v>
      </c>
      <c r="AB163" t="s">
        <v>1103</v>
      </c>
      <c r="AC163" t="str">
        <f t="shared" si="19"/>
        <v>No</v>
      </c>
      <c r="AD163">
        <v>3</v>
      </c>
      <c r="AE163">
        <v>6909</v>
      </c>
      <c r="AF163">
        <v>2763.6000000000004</v>
      </c>
      <c r="AG163">
        <f t="shared" si="20"/>
        <v>3586.7999999999997</v>
      </c>
    </row>
    <row r="164" spans="1:33" x14ac:dyDescent="0.25">
      <c r="A164">
        <v>1163</v>
      </c>
      <c r="B164" s="1">
        <v>46361</v>
      </c>
      <c r="C164" s="1">
        <v>46363</v>
      </c>
      <c r="D164" s="1">
        <v>46365</v>
      </c>
      <c r="E164" t="s">
        <v>1065</v>
      </c>
      <c r="F164" t="s">
        <v>192</v>
      </c>
      <c r="G164" t="s">
        <v>1069</v>
      </c>
      <c r="H164" t="str">
        <f t="shared" si="14"/>
        <v>Furniture</v>
      </c>
      <c r="I164">
        <v>2</v>
      </c>
      <c r="J164" t="str">
        <f>VLOOKUP(K164,$AJ$2:$AK$7,2,FALSE)</f>
        <v>S002</v>
      </c>
      <c r="K164" t="s">
        <v>1098</v>
      </c>
      <c r="L164">
        <v>3.4</v>
      </c>
      <c r="M164" t="str">
        <f>IFERROR(VLOOKUP(TRIM(N164),$AP$2:$AQ$12,2,FALSE),"W001")</f>
        <v>W010</v>
      </c>
      <c r="N164" t="s">
        <v>1063</v>
      </c>
      <c r="O164" t="s">
        <v>1060</v>
      </c>
      <c r="P164" t="str">
        <f>VLOOKUP(O164,$AL$2:$AM$12,2,FALSE)</f>
        <v>North</v>
      </c>
      <c r="Q164" t="s">
        <v>1085</v>
      </c>
      <c r="R164">
        <v>349</v>
      </c>
      <c r="S164" t="s">
        <v>1066</v>
      </c>
      <c r="T164">
        <f t="shared" si="15"/>
        <v>5</v>
      </c>
      <c r="U164">
        <v>34.9</v>
      </c>
      <c r="V164">
        <f t="shared" si="16"/>
        <v>3</v>
      </c>
      <c r="W164" t="s">
        <v>1087</v>
      </c>
      <c r="X164" t="s">
        <v>1091</v>
      </c>
      <c r="Y164">
        <f t="shared" si="17"/>
        <v>0</v>
      </c>
      <c r="Z164" t="s">
        <v>1108</v>
      </c>
      <c r="AA164" t="str">
        <f t="shared" si="18"/>
        <v>Low</v>
      </c>
      <c r="AB164" t="s">
        <v>1103</v>
      </c>
      <c r="AC164" t="str">
        <f t="shared" si="19"/>
        <v>Yes</v>
      </c>
      <c r="AD164">
        <v>5</v>
      </c>
      <c r="AE164">
        <v>18154</v>
      </c>
      <c r="AF164">
        <v>7261.6</v>
      </c>
      <c r="AG164">
        <f t="shared" si="20"/>
        <v>10857.5</v>
      </c>
    </row>
    <row r="165" spans="1:33" x14ac:dyDescent="0.25">
      <c r="A165">
        <v>1164</v>
      </c>
      <c r="B165" s="1">
        <v>44957</v>
      </c>
      <c r="C165" s="1">
        <v>44960</v>
      </c>
      <c r="D165" s="1">
        <v>44963</v>
      </c>
      <c r="E165" t="s">
        <v>1064</v>
      </c>
      <c r="F165" t="s">
        <v>193</v>
      </c>
      <c r="G165" t="s">
        <v>1069</v>
      </c>
      <c r="H165" t="str">
        <f t="shared" si="14"/>
        <v>Furniture</v>
      </c>
      <c r="I165">
        <v>10</v>
      </c>
      <c r="J165" t="str">
        <f>VLOOKUP(K165,$AJ$2:$AK$7,2,FALSE)</f>
        <v>S001</v>
      </c>
      <c r="K165" t="s">
        <v>1097</v>
      </c>
      <c r="L165">
        <v>4.0999999999999996</v>
      </c>
      <c r="M165" t="str">
        <f>IFERROR(VLOOKUP(TRIM(N165),$AP$2:$AQ$12,2,FALSE),"W001")</f>
        <v>W003</v>
      </c>
      <c r="N165" t="s">
        <v>1051</v>
      </c>
      <c r="O165" t="s">
        <v>1049</v>
      </c>
      <c r="P165" t="str">
        <f>VLOOKUP(O165,$AL$2:$AM$12,2,FALSE)</f>
        <v>North</v>
      </c>
      <c r="Q165" t="s">
        <v>1081</v>
      </c>
      <c r="R165">
        <v>122</v>
      </c>
      <c r="S165" t="s">
        <v>1079</v>
      </c>
      <c r="T165">
        <f t="shared" si="15"/>
        <v>1</v>
      </c>
      <c r="U165">
        <v>24.4</v>
      </c>
      <c r="V165">
        <f t="shared" si="16"/>
        <v>5</v>
      </c>
      <c r="W165" t="s">
        <v>1086</v>
      </c>
      <c r="X165" t="s">
        <v>1089</v>
      </c>
      <c r="Y165">
        <f t="shared" si="17"/>
        <v>24.4</v>
      </c>
      <c r="Z165" t="s">
        <v>1108</v>
      </c>
      <c r="AA165" t="str">
        <f t="shared" si="18"/>
        <v>Low</v>
      </c>
      <c r="AB165" t="s">
        <v>1103</v>
      </c>
      <c r="AC165" t="str">
        <f t="shared" si="19"/>
        <v>Yes</v>
      </c>
      <c r="AD165">
        <v>4</v>
      </c>
      <c r="AE165">
        <v>99230</v>
      </c>
      <c r="AF165">
        <v>39692</v>
      </c>
      <c r="AG165">
        <f t="shared" si="20"/>
        <v>59513.599999999999</v>
      </c>
    </row>
    <row r="166" spans="1:33" x14ac:dyDescent="0.25">
      <c r="A166">
        <v>1165</v>
      </c>
      <c r="B166" s="1">
        <v>45573</v>
      </c>
      <c r="C166" s="1">
        <v>45576</v>
      </c>
      <c r="D166" s="1">
        <v>45579</v>
      </c>
      <c r="E166" t="s">
        <v>1065</v>
      </c>
      <c r="F166" t="s">
        <v>194</v>
      </c>
      <c r="G166" t="s">
        <v>1070</v>
      </c>
      <c r="H166" t="str">
        <f t="shared" si="14"/>
        <v>Furniture</v>
      </c>
      <c r="I166">
        <v>3</v>
      </c>
      <c r="J166" t="str">
        <f>VLOOKUP(K166,$AJ$2:$AK$7,2,FALSE)</f>
        <v>S003</v>
      </c>
      <c r="K166" t="s">
        <v>1099</v>
      </c>
      <c r="L166">
        <v>4.5</v>
      </c>
      <c r="M166" t="str">
        <f>IFERROR(VLOOKUP(TRIM(N166),$AP$2:$AQ$12,2,FALSE),"W001")</f>
        <v>W006</v>
      </c>
      <c r="N166" t="s">
        <v>1057</v>
      </c>
      <c r="O166" t="s">
        <v>1060</v>
      </c>
      <c r="P166" t="str">
        <f>VLOOKUP(O166,$AL$2:$AM$12,2,FALSE)</f>
        <v>North</v>
      </c>
      <c r="Q166" t="s">
        <v>1081</v>
      </c>
      <c r="R166">
        <v>1621</v>
      </c>
      <c r="S166" t="s">
        <v>1078</v>
      </c>
      <c r="T166">
        <f t="shared" si="15"/>
        <v>7</v>
      </c>
      <c r="U166">
        <v>324.2</v>
      </c>
      <c r="V166">
        <f t="shared" si="16"/>
        <v>5</v>
      </c>
      <c r="W166" t="s">
        <v>1087</v>
      </c>
      <c r="X166" t="s">
        <v>1091</v>
      </c>
      <c r="Y166">
        <f t="shared" si="17"/>
        <v>0</v>
      </c>
      <c r="Z166" t="s">
        <v>1108</v>
      </c>
      <c r="AA166" t="str">
        <f t="shared" si="18"/>
        <v>Low</v>
      </c>
      <c r="AB166" t="s">
        <v>1103</v>
      </c>
      <c r="AC166" t="str">
        <f t="shared" si="19"/>
        <v>Yes</v>
      </c>
      <c r="AD166">
        <v>5</v>
      </c>
      <c r="AE166">
        <v>22965</v>
      </c>
      <c r="AF166">
        <v>9186</v>
      </c>
      <c r="AG166">
        <f t="shared" si="20"/>
        <v>13454.8</v>
      </c>
    </row>
    <row r="167" spans="1:33" x14ac:dyDescent="0.25">
      <c r="A167">
        <v>1166</v>
      </c>
      <c r="B167" s="1">
        <v>44439</v>
      </c>
      <c r="C167" s="1">
        <v>44440</v>
      </c>
      <c r="D167" s="1">
        <v>44442</v>
      </c>
      <c r="E167" t="s">
        <v>1065</v>
      </c>
      <c r="F167" t="s">
        <v>195</v>
      </c>
      <c r="G167" t="s">
        <v>1070</v>
      </c>
      <c r="H167" t="str">
        <f t="shared" si="14"/>
        <v>Furniture</v>
      </c>
      <c r="I167">
        <v>7</v>
      </c>
      <c r="J167" t="str">
        <f>VLOOKUP(K167,$AJ$2:$AK$7,2,FALSE)</f>
        <v>S005</v>
      </c>
      <c r="K167" t="s">
        <v>1101</v>
      </c>
      <c r="L167">
        <v>4.5999999999999996</v>
      </c>
      <c r="M167" t="str">
        <f>IFERROR(VLOOKUP(TRIM(N167),$AP$2:$AQ$12,2,FALSE),"W001")</f>
        <v>W003</v>
      </c>
      <c r="N167" t="s">
        <v>1051</v>
      </c>
      <c r="O167" t="s">
        <v>1062</v>
      </c>
      <c r="P167" t="str">
        <f>VLOOKUP(O167,$AL$2:$AM$12,2,FALSE)</f>
        <v>North</v>
      </c>
      <c r="Q167" t="s">
        <v>1084</v>
      </c>
      <c r="R167">
        <v>876</v>
      </c>
      <c r="S167" t="s">
        <v>1078</v>
      </c>
      <c r="T167">
        <f t="shared" si="15"/>
        <v>4</v>
      </c>
      <c r="U167">
        <v>262.8</v>
      </c>
      <c r="V167">
        <f t="shared" si="16"/>
        <v>6</v>
      </c>
      <c r="W167" t="s">
        <v>1088</v>
      </c>
      <c r="X167" t="s">
        <v>1090</v>
      </c>
      <c r="Y167">
        <f t="shared" si="17"/>
        <v>0</v>
      </c>
      <c r="Z167" t="s">
        <v>1108</v>
      </c>
      <c r="AA167" t="str">
        <f t="shared" si="18"/>
        <v>Low</v>
      </c>
      <c r="AB167" t="s">
        <v>1103</v>
      </c>
      <c r="AC167" t="str">
        <f t="shared" si="19"/>
        <v>Yes</v>
      </c>
      <c r="AD167">
        <v>5</v>
      </c>
      <c r="AE167">
        <v>40054</v>
      </c>
      <c r="AF167">
        <v>16021.6</v>
      </c>
      <c r="AG167">
        <f t="shared" si="20"/>
        <v>23769.600000000002</v>
      </c>
    </row>
    <row r="168" spans="1:33" x14ac:dyDescent="0.25">
      <c r="A168">
        <v>1167</v>
      </c>
      <c r="B168" s="1">
        <v>45746</v>
      </c>
      <c r="C168" s="1">
        <v>45749</v>
      </c>
      <c r="D168" s="1">
        <v>45753</v>
      </c>
      <c r="E168" t="s">
        <v>1064</v>
      </c>
      <c r="F168" t="s">
        <v>196</v>
      </c>
      <c r="G168" t="s">
        <v>1071</v>
      </c>
      <c r="H168" t="str">
        <f t="shared" si="14"/>
        <v>Clothing</v>
      </c>
      <c r="I168">
        <v>3</v>
      </c>
      <c r="J168" t="str">
        <f>VLOOKUP(K168,$AJ$2:$AK$7,2,FALSE)</f>
        <v>S005</v>
      </c>
      <c r="K168" t="s">
        <v>1101</v>
      </c>
      <c r="L168">
        <v>3.2</v>
      </c>
      <c r="M168" t="str">
        <f>IFERROR(VLOOKUP(TRIM(N168),$AP$2:$AQ$12,2,FALSE),"W001")</f>
        <v>W009</v>
      </c>
      <c r="N168" t="s">
        <v>1060</v>
      </c>
      <c r="O168" t="s">
        <v>1051</v>
      </c>
      <c r="P168" t="str">
        <f>VLOOKUP(O168,$AL$2:$AM$12,2,FALSE)</f>
        <v>West</v>
      </c>
      <c r="Q168" t="s">
        <v>1081</v>
      </c>
      <c r="R168">
        <v>857</v>
      </c>
      <c r="S168" t="s">
        <v>1078</v>
      </c>
      <c r="T168">
        <f t="shared" si="15"/>
        <v>4</v>
      </c>
      <c r="U168">
        <v>171.4</v>
      </c>
      <c r="V168">
        <f t="shared" si="16"/>
        <v>5</v>
      </c>
      <c r="W168" t="s">
        <v>1086</v>
      </c>
      <c r="X168" t="s">
        <v>1090</v>
      </c>
      <c r="Y168">
        <f t="shared" si="17"/>
        <v>171.4</v>
      </c>
      <c r="Z168" t="s">
        <v>1108</v>
      </c>
      <c r="AA168" t="str">
        <f t="shared" si="18"/>
        <v>Low</v>
      </c>
      <c r="AB168" t="s">
        <v>1103</v>
      </c>
      <c r="AC168" t="str">
        <f t="shared" si="19"/>
        <v>Yes</v>
      </c>
      <c r="AD168">
        <v>4</v>
      </c>
      <c r="AE168">
        <v>5601</v>
      </c>
      <c r="AF168">
        <v>2240.4</v>
      </c>
      <c r="AG168">
        <f t="shared" si="20"/>
        <v>3189.2</v>
      </c>
    </row>
    <row r="169" spans="1:33" x14ac:dyDescent="0.25">
      <c r="A169">
        <v>1168</v>
      </c>
      <c r="B169" s="1">
        <v>44413</v>
      </c>
      <c r="C169" s="1">
        <v>44415</v>
      </c>
      <c r="D169" s="1">
        <v>44417</v>
      </c>
      <c r="E169" t="s">
        <v>1066</v>
      </c>
      <c r="F169" t="s">
        <v>197</v>
      </c>
      <c r="G169" t="s">
        <v>1072</v>
      </c>
      <c r="H169" t="str">
        <f t="shared" si="14"/>
        <v>Electronics</v>
      </c>
      <c r="I169">
        <v>1</v>
      </c>
      <c r="J169" t="str">
        <f>VLOOKUP(K169,$AJ$2:$AK$7,2,FALSE)</f>
        <v>S006</v>
      </c>
      <c r="K169" t="s">
        <v>1102</v>
      </c>
      <c r="L169">
        <v>3.9</v>
      </c>
      <c r="M169" t="str">
        <f>IFERROR(VLOOKUP(TRIM(N169),$AP$2:$AQ$12,2,FALSE),"W001")</f>
        <v>W001</v>
      </c>
      <c r="N169" t="s">
        <v>1047</v>
      </c>
      <c r="O169" t="s">
        <v>1061</v>
      </c>
      <c r="P169" t="str">
        <f>VLOOKUP(O169,$AL$2:$AM$12,2,FALSE)</f>
        <v>West</v>
      </c>
      <c r="Q169" t="s">
        <v>1085</v>
      </c>
      <c r="R169">
        <v>908</v>
      </c>
      <c r="S169" t="s">
        <v>1078</v>
      </c>
      <c r="T169">
        <f t="shared" si="15"/>
        <v>8</v>
      </c>
      <c r="U169">
        <v>90.8</v>
      </c>
      <c r="V169">
        <f t="shared" si="16"/>
        <v>3</v>
      </c>
      <c r="W169" t="s">
        <v>1086</v>
      </c>
      <c r="X169" t="s">
        <v>1091</v>
      </c>
      <c r="Y169">
        <f t="shared" si="17"/>
        <v>90.8</v>
      </c>
      <c r="Z169" t="s">
        <v>1108</v>
      </c>
      <c r="AA169" t="str">
        <f t="shared" si="18"/>
        <v>Low</v>
      </c>
      <c r="AB169" t="s">
        <v>1103</v>
      </c>
      <c r="AC169" t="str">
        <f t="shared" si="19"/>
        <v>Yes</v>
      </c>
      <c r="AD169">
        <v>5</v>
      </c>
      <c r="AE169">
        <v>13877</v>
      </c>
      <c r="AF169">
        <v>5550.8</v>
      </c>
      <c r="AG169">
        <f t="shared" si="20"/>
        <v>8235.4000000000015</v>
      </c>
    </row>
    <row r="170" spans="1:33" x14ac:dyDescent="0.25">
      <c r="A170">
        <v>1169</v>
      </c>
      <c r="B170" s="1">
        <v>44926</v>
      </c>
      <c r="C170" s="1">
        <v>44929</v>
      </c>
      <c r="D170" s="1">
        <v>44932</v>
      </c>
      <c r="E170" t="s">
        <v>1066</v>
      </c>
      <c r="F170" t="s">
        <v>198</v>
      </c>
      <c r="G170" t="s">
        <v>1069</v>
      </c>
      <c r="H170" t="str">
        <f t="shared" si="14"/>
        <v>Furniture</v>
      </c>
      <c r="I170">
        <v>6</v>
      </c>
      <c r="J170" t="str">
        <f>VLOOKUP(K170,$AJ$2:$AK$7,2,FALSE)</f>
        <v>S003</v>
      </c>
      <c r="K170" t="s">
        <v>1099</v>
      </c>
      <c r="L170">
        <v>5</v>
      </c>
      <c r="M170" t="str">
        <f>IFERROR(VLOOKUP(TRIM(N170),$AP$2:$AQ$12,2,FALSE),"W001")</f>
        <v>W009</v>
      </c>
      <c r="N170" t="s">
        <v>1060</v>
      </c>
      <c r="O170" t="s">
        <v>1063</v>
      </c>
      <c r="P170" t="str">
        <f>VLOOKUP(O170,$AL$2:$AM$12,2,FALSE)</f>
        <v>South</v>
      </c>
      <c r="Q170" t="s">
        <v>1082</v>
      </c>
      <c r="R170">
        <v>818</v>
      </c>
      <c r="S170" t="s">
        <v>1078</v>
      </c>
      <c r="T170">
        <f t="shared" si="15"/>
        <v>3</v>
      </c>
      <c r="U170">
        <v>327.2</v>
      </c>
      <c r="V170">
        <f t="shared" si="16"/>
        <v>8</v>
      </c>
      <c r="W170" t="s">
        <v>1086</v>
      </c>
      <c r="X170" t="s">
        <v>1091</v>
      </c>
      <c r="Y170">
        <f t="shared" si="17"/>
        <v>327.2</v>
      </c>
      <c r="Z170" t="s">
        <v>1109</v>
      </c>
      <c r="AA170" t="str">
        <f t="shared" si="18"/>
        <v>High</v>
      </c>
      <c r="AB170" t="s">
        <v>1104</v>
      </c>
      <c r="AC170" t="str">
        <f t="shared" si="19"/>
        <v>No</v>
      </c>
      <c r="AD170">
        <v>1</v>
      </c>
      <c r="AE170">
        <v>86712</v>
      </c>
      <c r="AF170">
        <v>34684.800000000003</v>
      </c>
      <c r="AG170">
        <f t="shared" si="20"/>
        <v>51700</v>
      </c>
    </row>
    <row r="171" spans="1:33" x14ac:dyDescent="0.25">
      <c r="A171">
        <v>1170</v>
      </c>
      <c r="B171" s="1">
        <v>46054</v>
      </c>
      <c r="C171" s="1">
        <v>46055</v>
      </c>
      <c r="D171" s="1">
        <v>46057</v>
      </c>
      <c r="E171" t="s">
        <v>1064</v>
      </c>
      <c r="F171" t="s">
        <v>199</v>
      </c>
      <c r="G171" t="s">
        <v>1072</v>
      </c>
      <c r="H171" t="str">
        <f t="shared" si="14"/>
        <v>Electronics</v>
      </c>
      <c r="I171">
        <v>7</v>
      </c>
      <c r="J171" t="str">
        <f>VLOOKUP(K171,$AJ$2:$AK$7,2,FALSE)</f>
        <v>S002</v>
      </c>
      <c r="K171" t="s">
        <v>1098</v>
      </c>
      <c r="L171">
        <v>3</v>
      </c>
      <c r="M171" t="str">
        <f>IFERROR(VLOOKUP(TRIM(N171),$AP$2:$AQ$12,2,FALSE),"W001")</f>
        <v>W006</v>
      </c>
      <c r="N171" t="s">
        <v>1057</v>
      </c>
      <c r="O171" t="s">
        <v>1053</v>
      </c>
      <c r="P171" t="str">
        <f>VLOOKUP(O171,$AL$2:$AM$12,2,FALSE)</f>
        <v>South</v>
      </c>
      <c r="Q171" t="s">
        <v>1085</v>
      </c>
      <c r="R171">
        <v>139</v>
      </c>
      <c r="S171" t="s">
        <v>1079</v>
      </c>
      <c r="T171">
        <f t="shared" si="15"/>
        <v>4</v>
      </c>
      <c r="U171">
        <v>13.9</v>
      </c>
      <c r="V171">
        <f t="shared" si="16"/>
        <v>3</v>
      </c>
      <c r="W171" t="s">
        <v>1087</v>
      </c>
      <c r="X171" t="s">
        <v>1091</v>
      </c>
      <c r="Y171">
        <f t="shared" si="17"/>
        <v>0</v>
      </c>
      <c r="Z171" t="s">
        <v>1108</v>
      </c>
      <c r="AA171" t="str">
        <f t="shared" si="18"/>
        <v>Low</v>
      </c>
      <c r="AB171" t="s">
        <v>1103</v>
      </c>
      <c r="AC171" t="str">
        <f t="shared" si="19"/>
        <v>Yes</v>
      </c>
      <c r="AD171">
        <v>5</v>
      </c>
      <c r="AE171">
        <v>85652</v>
      </c>
      <c r="AF171">
        <v>34260.800000000003</v>
      </c>
      <c r="AG171">
        <f t="shared" si="20"/>
        <v>51377.299999999996</v>
      </c>
    </row>
    <row r="172" spans="1:33" x14ac:dyDescent="0.25">
      <c r="A172">
        <v>1171</v>
      </c>
      <c r="B172" s="1">
        <v>46346</v>
      </c>
      <c r="C172" s="1">
        <v>46348</v>
      </c>
      <c r="D172" s="1">
        <v>46351</v>
      </c>
      <c r="E172" t="s">
        <v>1065</v>
      </c>
      <c r="F172" t="s">
        <v>200</v>
      </c>
      <c r="G172" t="s">
        <v>1069</v>
      </c>
      <c r="H172" t="str">
        <f t="shared" si="14"/>
        <v>Furniture</v>
      </c>
      <c r="I172">
        <v>4</v>
      </c>
      <c r="J172" t="str">
        <f>VLOOKUP(K172,$AJ$2:$AK$7,2,FALSE)</f>
        <v>S001</v>
      </c>
      <c r="K172" t="s">
        <v>1097</v>
      </c>
      <c r="L172">
        <v>4.5999999999999996</v>
      </c>
      <c r="M172" t="str">
        <f>IFERROR(VLOOKUP(TRIM(N172),$AP$2:$AQ$12,2,FALSE),"W001")</f>
        <v>W005</v>
      </c>
      <c r="N172" t="s">
        <v>1055</v>
      </c>
      <c r="O172" t="s">
        <v>1047</v>
      </c>
      <c r="P172" t="str">
        <f>VLOOKUP(O172,$AL$2:$AM$12,2,FALSE)</f>
        <v>West</v>
      </c>
      <c r="Q172" t="s">
        <v>1084</v>
      </c>
      <c r="R172">
        <v>1801</v>
      </c>
      <c r="S172" t="s">
        <v>1078</v>
      </c>
      <c r="T172">
        <f t="shared" si="15"/>
        <v>6</v>
      </c>
      <c r="U172">
        <v>540.29999999999995</v>
      </c>
      <c r="V172">
        <f t="shared" si="16"/>
        <v>6</v>
      </c>
      <c r="W172" t="s">
        <v>1086</v>
      </c>
      <c r="X172" t="s">
        <v>1091</v>
      </c>
      <c r="Y172">
        <f t="shared" si="17"/>
        <v>540.29999999999995</v>
      </c>
      <c r="Z172" t="s">
        <v>1109</v>
      </c>
      <c r="AA172" t="str">
        <f t="shared" si="18"/>
        <v>High</v>
      </c>
      <c r="AB172" t="s">
        <v>1103</v>
      </c>
      <c r="AC172" t="str">
        <f t="shared" si="19"/>
        <v>No</v>
      </c>
      <c r="AD172">
        <v>3</v>
      </c>
      <c r="AE172">
        <v>56916</v>
      </c>
      <c r="AF172">
        <v>22766.400000000001</v>
      </c>
      <c r="AG172">
        <f t="shared" si="20"/>
        <v>33609.299999999996</v>
      </c>
    </row>
    <row r="173" spans="1:33" x14ac:dyDescent="0.25">
      <c r="A173">
        <v>1172</v>
      </c>
      <c r="B173" s="1">
        <v>45681</v>
      </c>
      <c r="C173" s="1">
        <v>45682</v>
      </c>
      <c r="D173" s="1">
        <v>45684</v>
      </c>
      <c r="E173" t="s">
        <v>1065</v>
      </c>
      <c r="F173" t="s">
        <v>201</v>
      </c>
      <c r="G173" t="s">
        <v>1072</v>
      </c>
      <c r="H173" t="str">
        <f t="shared" si="14"/>
        <v>Electronics</v>
      </c>
      <c r="I173">
        <v>5</v>
      </c>
      <c r="J173" t="str">
        <f>VLOOKUP(K173,$AJ$2:$AK$7,2,FALSE)</f>
        <v>S005</v>
      </c>
      <c r="K173" t="s">
        <v>1101</v>
      </c>
      <c r="L173">
        <v>4.0999999999999996</v>
      </c>
      <c r="M173" t="str">
        <f>IFERROR(VLOOKUP(TRIM(N173),$AP$2:$AQ$12,2,FALSE),"W001")</f>
        <v>W007</v>
      </c>
      <c r="N173" t="s">
        <v>1062</v>
      </c>
      <c r="O173" t="s">
        <v>1049</v>
      </c>
      <c r="P173" t="str">
        <f>VLOOKUP(O173,$AL$2:$AM$12,2,FALSE)</f>
        <v>North</v>
      </c>
      <c r="Q173" t="s">
        <v>1085</v>
      </c>
      <c r="R173">
        <v>1572</v>
      </c>
      <c r="S173" t="s">
        <v>1078</v>
      </c>
      <c r="T173">
        <f t="shared" si="15"/>
        <v>11</v>
      </c>
      <c r="U173">
        <v>157.19999999999999</v>
      </c>
      <c r="V173">
        <f t="shared" si="16"/>
        <v>3</v>
      </c>
      <c r="W173" t="s">
        <v>1086</v>
      </c>
      <c r="X173" t="s">
        <v>1089</v>
      </c>
      <c r="Y173">
        <f t="shared" si="17"/>
        <v>157.19999999999999</v>
      </c>
      <c r="Z173" t="s">
        <v>1108</v>
      </c>
      <c r="AA173" t="str">
        <f t="shared" si="18"/>
        <v>Low</v>
      </c>
      <c r="AB173" t="s">
        <v>1103</v>
      </c>
      <c r="AC173" t="str">
        <f t="shared" si="19"/>
        <v>Yes</v>
      </c>
      <c r="AD173">
        <v>4</v>
      </c>
      <c r="AE173">
        <v>139340</v>
      </c>
      <c r="AF173">
        <v>55736</v>
      </c>
      <c r="AG173">
        <f t="shared" si="20"/>
        <v>83446.8</v>
      </c>
    </row>
    <row r="174" spans="1:33" x14ac:dyDescent="0.25">
      <c r="A174">
        <v>1173</v>
      </c>
      <c r="B174" s="1">
        <v>45333</v>
      </c>
      <c r="C174" s="1">
        <v>45336</v>
      </c>
      <c r="D174" s="1">
        <v>45341</v>
      </c>
      <c r="E174" t="s">
        <v>1065</v>
      </c>
      <c r="F174" t="s">
        <v>202</v>
      </c>
      <c r="G174" t="s">
        <v>1068</v>
      </c>
      <c r="H174" t="str">
        <f t="shared" si="14"/>
        <v>Electronics</v>
      </c>
      <c r="I174">
        <v>6</v>
      </c>
      <c r="J174" t="str">
        <f>VLOOKUP(K174,$AJ$2:$AK$7,2,FALSE)</f>
        <v>S006</v>
      </c>
      <c r="K174" t="s">
        <v>1102</v>
      </c>
      <c r="L174">
        <v>4.5</v>
      </c>
      <c r="M174" t="str">
        <f>IFERROR(VLOOKUP(TRIM(N174),$AP$2:$AQ$12,2,FALSE),"W001")</f>
        <v>W010</v>
      </c>
      <c r="N174" t="s">
        <v>1063</v>
      </c>
      <c r="O174" t="s">
        <v>1060</v>
      </c>
      <c r="P174" t="str">
        <f>VLOOKUP(O174,$AL$2:$AM$12,2,FALSE)</f>
        <v>North</v>
      </c>
      <c r="Q174" t="s">
        <v>1083</v>
      </c>
      <c r="R174">
        <v>1265</v>
      </c>
      <c r="S174" t="s">
        <v>1078</v>
      </c>
      <c r="T174">
        <f t="shared" si="15"/>
        <v>3</v>
      </c>
      <c r="U174">
        <v>632.5</v>
      </c>
      <c r="V174">
        <f t="shared" si="16"/>
        <v>10</v>
      </c>
      <c r="W174" t="s">
        <v>1087</v>
      </c>
      <c r="X174" t="s">
        <v>1091</v>
      </c>
      <c r="Y174">
        <f t="shared" si="17"/>
        <v>0</v>
      </c>
      <c r="Z174" t="s">
        <v>1108</v>
      </c>
      <c r="AA174" t="str">
        <f t="shared" si="18"/>
        <v>Medium</v>
      </c>
      <c r="AB174" t="s">
        <v>1103</v>
      </c>
      <c r="AC174" t="str">
        <f t="shared" si="19"/>
        <v>Yes</v>
      </c>
      <c r="AD174">
        <v>4</v>
      </c>
      <c r="AE174">
        <v>392394</v>
      </c>
      <c r="AF174">
        <v>156957.6</v>
      </c>
      <c r="AG174">
        <f t="shared" si="20"/>
        <v>234803.9</v>
      </c>
    </row>
    <row r="175" spans="1:33" x14ac:dyDescent="0.25">
      <c r="A175">
        <v>1174</v>
      </c>
      <c r="B175" s="1">
        <v>46145</v>
      </c>
      <c r="C175" s="1">
        <v>46147</v>
      </c>
      <c r="D175" s="1">
        <v>46153</v>
      </c>
      <c r="E175" t="s">
        <v>1065</v>
      </c>
      <c r="F175" t="s">
        <v>203</v>
      </c>
      <c r="G175" t="s">
        <v>1071</v>
      </c>
      <c r="H175" t="str">
        <f t="shared" si="14"/>
        <v>Clothing</v>
      </c>
      <c r="I175">
        <v>1</v>
      </c>
      <c r="J175" t="str">
        <f>VLOOKUP(K175,$AJ$2:$AK$7,2,FALSE)</f>
        <v>S006</v>
      </c>
      <c r="K175" t="s">
        <v>1102</v>
      </c>
      <c r="L175">
        <v>4.2</v>
      </c>
      <c r="M175" t="str">
        <f>IFERROR(VLOOKUP(TRIM(N175),$AP$2:$AQ$12,2,FALSE),"W001")</f>
        <v>W009</v>
      </c>
      <c r="N175" t="s">
        <v>1060</v>
      </c>
      <c r="O175" t="s">
        <v>1060</v>
      </c>
      <c r="P175" t="str">
        <f>VLOOKUP(O175,$AL$2:$AM$12,2,FALSE)</f>
        <v>North</v>
      </c>
      <c r="Q175" t="s">
        <v>1083</v>
      </c>
      <c r="R175">
        <v>27</v>
      </c>
      <c r="S175" t="s">
        <v>1079</v>
      </c>
      <c r="T175">
        <f t="shared" si="15"/>
        <v>1</v>
      </c>
      <c r="U175">
        <v>13.5</v>
      </c>
      <c r="V175">
        <f t="shared" si="16"/>
        <v>10</v>
      </c>
      <c r="W175" t="s">
        <v>1088</v>
      </c>
      <c r="X175" t="s">
        <v>1090</v>
      </c>
      <c r="Y175">
        <f t="shared" si="17"/>
        <v>0</v>
      </c>
      <c r="Z175" t="s">
        <v>1108</v>
      </c>
      <c r="AA175" t="str">
        <f t="shared" si="18"/>
        <v>Medium</v>
      </c>
      <c r="AB175" t="s">
        <v>1104</v>
      </c>
      <c r="AC175" t="str">
        <f t="shared" si="19"/>
        <v>Yes</v>
      </c>
      <c r="AD175">
        <v>2</v>
      </c>
      <c r="AE175">
        <v>2495</v>
      </c>
      <c r="AF175">
        <v>998</v>
      </c>
      <c r="AG175">
        <f t="shared" si="20"/>
        <v>1483.5</v>
      </c>
    </row>
    <row r="176" spans="1:33" x14ac:dyDescent="0.25">
      <c r="A176">
        <v>1175</v>
      </c>
      <c r="B176" s="1">
        <v>46361</v>
      </c>
      <c r="C176" s="1">
        <v>46362</v>
      </c>
      <c r="D176" s="1">
        <v>46365</v>
      </c>
      <c r="E176" t="s">
        <v>1064</v>
      </c>
      <c r="F176" t="s">
        <v>204</v>
      </c>
      <c r="G176" t="s">
        <v>1067</v>
      </c>
      <c r="H176" t="str">
        <f t="shared" si="14"/>
        <v>Clothing</v>
      </c>
      <c r="I176">
        <v>3</v>
      </c>
      <c r="J176" t="str">
        <f>VLOOKUP(K176,$AJ$2:$AK$7,2,FALSE)</f>
        <v>S005</v>
      </c>
      <c r="K176" t="s">
        <v>1101</v>
      </c>
      <c r="L176">
        <v>4.2</v>
      </c>
      <c r="M176" t="str">
        <f>IFERROR(VLOOKUP(TRIM(N176),$AP$2:$AQ$12,2,FALSE),"W001")</f>
        <v>W010</v>
      </c>
      <c r="N176" t="s">
        <v>1063</v>
      </c>
      <c r="O176" t="s">
        <v>1063</v>
      </c>
      <c r="P176" t="str">
        <f>VLOOKUP(O176,$AL$2:$AM$12,2,FALSE)</f>
        <v>South</v>
      </c>
      <c r="Q176" t="s">
        <v>1083</v>
      </c>
      <c r="R176">
        <v>44</v>
      </c>
      <c r="S176" t="s">
        <v>1079</v>
      </c>
      <c r="T176">
        <f t="shared" si="15"/>
        <v>1</v>
      </c>
      <c r="U176">
        <v>22</v>
      </c>
      <c r="V176">
        <f t="shared" si="16"/>
        <v>10</v>
      </c>
      <c r="W176" t="s">
        <v>1086</v>
      </c>
      <c r="X176" t="s">
        <v>1091</v>
      </c>
      <c r="Y176">
        <f t="shared" si="17"/>
        <v>22</v>
      </c>
      <c r="Z176" t="s">
        <v>1108</v>
      </c>
      <c r="AA176" t="str">
        <f t="shared" si="18"/>
        <v>Medium</v>
      </c>
      <c r="AB176" t="s">
        <v>1103</v>
      </c>
      <c r="AC176" t="str">
        <f t="shared" si="19"/>
        <v>Yes</v>
      </c>
      <c r="AD176">
        <v>4</v>
      </c>
      <c r="AE176">
        <v>3057</v>
      </c>
      <c r="AF176">
        <v>1222.8</v>
      </c>
      <c r="AG176">
        <f t="shared" si="20"/>
        <v>1812.2</v>
      </c>
    </row>
    <row r="177" spans="1:33" x14ac:dyDescent="0.25">
      <c r="A177">
        <v>1176</v>
      </c>
      <c r="B177" s="1">
        <v>45966</v>
      </c>
      <c r="C177" s="1">
        <v>45969</v>
      </c>
      <c r="D177" s="1">
        <v>45976</v>
      </c>
      <c r="E177" t="s">
        <v>1066</v>
      </c>
      <c r="F177" t="s">
        <v>205</v>
      </c>
      <c r="G177" t="s">
        <v>1069</v>
      </c>
      <c r="H177" t="str">
        <f t="shared" si="14"/>
        <v>Furniture</v>
      </c>
      <c r="I177">
        <v>2</v>
      </c>
      <c r="J177" t="str">
        <f>VLOOKUP(K177,$AJ$2:$AK$7,2,FALSE)</f>
        <v>S004</v>
      </c>
      <c r="K177" t="s">
        <v>1100</v>
      </c>
      <c r="L177">
        <v>4.4000000000000004</v>
      </c>
      <c r="M177" t="str">
        <f>IFERROR(VLOOKUP(TRIM(N177),$AP$2:$AQ$12,2,FALSE),"W001")</f>
        <v>W005</v>
      </c>
      <c r="N177" t="s">
        <v>1055</v>
      </c>
      <c r="O177" t="s">
        <v>1055</v>
      </c>
      <c r="P177" t="str">
        <f>VLOOKUP(O177,$AL$2:$AM$12,2,FALSE)</f>
        <v>South</v>
      </c>
      <c r="Q177" t="s">
        <v>1080</v>
      </c>
      <c r="R177">
        <v>20</v>
      </c>
      <c r="S177" t="s">
        <v>1079</v>
      </c>
      <c r="T177">
        <f t="shared" si="15"/>
        <v>2</v>
      </c>
      <c r="U177">
        <v>3</v>
      </c>
      <c r="V177">
        <f t="shared" si="16"/>
        <v>4</v>
      </c>
      <c r="W177" t="s">
        <v>1086</v>
      </c>
      <c r="X177" t="s">
        <v>1089</v>
      </c>
      <c r="Y177">
        <f t="shared" si="17"/>
        <v>3</v>
      </c>
      <c r="Z177" t="s">
        <v>1108</v>
      </c>
      <c r="AA177" t="str">
        <f t="shared" si="18"/>
        <v>Low</v>
      </c>
      <c r="AB177" t="s">
        <v>1103</v>
      </c>
      <c r="AC177" t="str">
        <f t="shared" si="19"/>
        <v>Yes</v>
      </c>
      <c r="AD177">
        <v>4</v>
      </c>
      <c r="AE177">
        <v>22382</v>
      </c>
      <c r="AF177">
        <v>8952.8000000000011</v>
      </c>
      <c r="AG177">
        <f t="shared" si="20"/>
        <v>13426.199999999999</v>
      </c>
    </row>
    <row r="178" spans="1:33" x14ac:dyDescent="0.25">
      <c r="A178">
        <v>1177</v>
      </c>
      <c r="B178" s="1">
        <v>46177</v>
      </c>
      <c r="C178" s="1">
        <v>46178</v>
      </c>
      <c r="D178" s="1">
        <v>46185</v>
      </c>
      <c r="E178" t="s">
        <v>1066</v>
      </c>
      <c r="F178" t="s">
        <v>206</v>
      </c>
      <c r="G178" t="s">
        <v>1067</v>
      </c>
      <c r="H178" t="str">
        <f t="shared" si="14"/>
        <v>Clothing</v>
      </c>
      <c r="I178">
        <v>2</v>
      </c>
      <c r="J178" t="str">
        <f>VLOOKUP(K178,$AJ$2:$AK$7,2,FALSE)</f>
        <v>S001</v>
      </c>
      <c r="K178" t="s">
        <v>1097</v>
      </c>
      <c r="L178">
        <v>4.4000000000000004</v>
      </c>
      <c r="M178" t="str">
        <f>IFERROR(VLOOKUP(TRIM(N178),$AP$2:$AQ$12,2,FALSE),"W001")</f>
        <v>W004</v>
      </c>
      <c r="N178" t="s">
        <v>1053</v>
      </c>
      <c r="O178" t="s">
        <v>1059</v>
      </c>
      <c r="P178" t="str">
        <f>VLOOKUP(O178,$AL$2:$AM$12,2,FALSE)</f>
        <v>North</v>
      </c>
      <c r="Q178" t="s">
        <v>1084</v>
      </c>
      <c r="R178">
        <v>1102</v>
      </c>
      <c r="S178" t="s">
        <v>1078</v>
      </c>
      <c r="T178">
        <f t="shared" si="15"/>
        <v>4</v>
      </c>
      <c r="U178">
        <v>330.6</v>
      </c>
      <c r="V178">
        <f t="shared" si="16"/>
        <v>6</v>
      </c>
      <c r="W178" t="s">
        <v>1088</v>
      </c>
      <c r="X178" t="s">
        <v>1089</v>
      </c>
      <c r="Y178">
        <f t="shared" si="17"/>
        <v>0</v>
      </c>
      <c r="Z178" t="s">
        <v>1108</v>
      </c>
      <c r="AA178" t="str">
        <f t="shared" si="18"/>
        <v>Low</v>
      </c>
      <c r="AB178" t="s">
        <v>1103</v>
      </c>
      <c r="AC178" t="str">
        <f t="shared" si="19"/>
        <v>Yes</v>
      </c>
      <c r="AD178">
        <v>4</v>
      </c>
      <c r="AE178">
        <v>2356</v>
      </c>
      <c r="AF178">
        <v>942.40000000000009</v>
      </c>
      <c r="AG178">
        <f t="shared" si="20"/>
        <v>1083</v>
      </c>
    </row>
    <row r="179" spans="1:33" x14ac:dyDescent="0.25">
      <c r="A179">
        <v>1178</v>
      </c>
      <c r="B179" s="1">
        <v>45415</v>
      </c>
      <c r="C179" s="1">
        <v>45418</v>
      </c>
      <c r="D179" s="1">
        <v>45421</v>
      </c>
      <c r="E179" t="s">
        <v>1064</v>
      </c>
      <c r="F179" t="s">
        <v>207</v>
      </c>
      <c r="G179" t="s">
        <v>1067</v>
      </c>
      <c r="H179" t="str">
        <f t="shared" si="14"/>
        <v>Clothing</v>
      </c>
      <c r="I179">
        <v>8</v>
      </c>
      <c r="J179" t="str">
        <f>VLOOKUP(K179,$AJ$2:$AK$7,2,FALSE)</f>
        <v>S002</v>
      </c>
      <c r="K179" t="s">
        <v>1098</v>
      </c>
      <c r="L179">
        <v>4</v>
      </c>
      <c r="M179" t="str">
        <f>IFERROR(VLOOKUP(TRIM(N179),$AP$2:$AQ$12,2,FALSE),"W001")</f>
        <v>W007</v>
      </c>
      <c r="N179" t="s">
        <v>1062</v>
      </c>
      <c r="O179" t="s">
        <v>1062</v>
      </c>
      <c r="P179" t="str">
        <f>VLOOKUP(O179,$AL$2:$AM$12,2,FALSE)</f>
        <v>North</v>
      </c>
      <c r="Q179" t="s">
        <v>1081</v>
      </c>
      <c r="R179">
        <v>11</v>
      </c>
      <c r="S179" t="s">
        <v>1079</v>
      </c>
      <c r="T179">
        <f t="shared" si="15"/>
        <v>1</v>
      </c>
      <c r="U179">
        <v>2.2000000000000002</v>
      </c>
      <c r="V179">
        <f t="shared" si="16"/>
        <v>5</v>
      </c>
      <c r="W179" t="s">
        <v>1087</v>
      </c>
      <c r="X179" t="s">
        <v>1091</v>
      </c>
      <c r="Y179">
        <f t="shared" si="17"/>
        <v>0</v>
      </c>
      <c r="Z179" t="s">
        <v>1108</v>
      </c>
      <c r="AA179" t="str">
        <f t="shared" si="18"/>
        <v>Low</v>
      </c>
      <c r="AB179" t="s">
        <v>1103</v>
      </c>
      <c r="AC179" t="str">
        <f t="shared" si="19"/>
        <v>Yes</v>
      </c>
      <c r="AD179">
        <v>4</v>
      </c>
      <c r="AE179">
        <v>11040</v>
      </c>
      <c r="AF179">
        <v>4416</v>
      </c>
      <c r="AG179">
        <f t="shared" si="20"/>
        <v>6621.8</v>
      </c>
    </row>
    <row r="180" spans="1:33" x14ac:dyDescent="0.25">
      <c r="A180">
        <v>1179</v>
      </c>
      <c r="B180" s="1">
        <v>45576</v>
      </c>
      <c r="C180" s="1">
        <v>45579</v>
      </c>
      <c r="D180" s="1">
        <v>45585</v>
      </c>
      <c r="E180" t="s">
        <v>1065</v>
      </c>
      <c r="F180" t="s">
        <v>208</v>
      </c>
      <c r="G180" t="s">
        <v>1068</v>
      </c>
      <c r="H180" t="str">
        <f t="shared" si="14"/>
        <v>Electronics</v>
      </c>
      <c r="I180">
        <v>5</v>
      </c>
      <c r="J180" t="str">
        <f>VLOOKUP(K180,$AJ$2:$AK$7,2,FALSE)</f>
        <v>S003</v>
      </c>
      <c r="K180" t="s">
        <v>1099</v>
      </c>
      <c r="L180">
        <v>4.0999999999999996</v>
      </c>
      <c r="M180" t="str">
        <f>IFERROR(VLOOKUP(TRIM(N180),$AP$2:$AQ$12,2,FALSE),"W001")</f>
        <v>W008</v>
      </c>
      <c r="N180" t="s">
        <v>1061</v>
      </c>
      <c r="O180" t="s">
        <v>1063</v>
      </c>
      <c r="P180" t="str">
        <f>VLOOKUP(O180,$AL$2:$AM$12,2,FALSE)</f>
        <v>South</v>
      </c>
      <c r="Q180" t="s">
        <v>1085</v>
      </c>
      <c r="R180">
        <v>1503</v>
      </c>
      <c r="S180" t="s">
        <v>1078</v>
      </c>
      <c r="T180">
        <f t="shared" si="15"/>
        <v>11</v>
      </c>
      <c r="U180">
        <v>150.30000000000001</v>
      </c>
      <c r="V180">
        <f t="shared" si="16"/>
        <v>3</v>
      </c>
      <c r="W180" t="s">
        <v>1086</v>
      </c>
      <c r="X180" t="s">
        <v>1091</v>
      </c>
      <c r="Y180">
        <f t="shared" si="17"/>
        <v>150.30000000000001</v>
      </c>
      <c r="Z180" t="s">
        <v>1108</v>
      </c>
      <c r="AA180" t="str">
        <f t="shared" si="18"/>
        <v>Low</v>
      </c>
      <c r="AB180" t="s">
        <v>1103</v>
      </c>
      <c r="AC180" t="str">
        <f t="shared" si="19"/>
        <v>Yes</v>
      </c>
      <c r="AD180">
        <v>4</v>
      </c>
      <c r="AE180">
        <v>212730</v>
      </c>
      <c r="AF180">
        <v>85092</v>
      </c>
      <c r="AG180">
        <f t="shared" si="20"/>
        <v>127487.7</v>
      </c>
    </row>
    <row r="181" spans="1:33" x14ac:dyDescent="0.25">
      <c r="A181">
        <v>1180</v>
      </c>
      <c r="B181" s="1">
        <v>45763</v>
      </c>
      <c r="C181" s="1">
        <v>45764</v>
      </c>
      <c r="D181" s="1">
        <v>45770</v>
      </c>
      <c r="E181" t="s">
        <v>1065</v>
      </c>
      <c r="F181" t="s">
        <v>209</v>
      </c>
      <c r="G181" t="s">
        <v>1072</v>
      </c>
      <c r="H181" t="str">
        <f t="shared" si="14"/>
        <v>Electronics</v>
      </c>
      <c r="I181">
        <v>6</v>
      </c>
      <c r="J181" t="str">
        <f>VLOOKUP(K181,$AJ$2:$AK$7,2,FALSE)</f>
        <v>S001</v>
      </c>
      <c r="K181" t="s">
        <v>1097</v>
      </c>
      <c r="L181">
        <v>3.2</v>
      </c>
      <c r="M181" t="str">
        <f>IFERROR(VLOOKUP(TRIM(N181),$AP$2:$AQ$12,2,FALSE),"W001")</f>
        <v>W006</v>
      </c>
      <c r="N181" t="s">
        <v>1057</v>
      </c>
      <c r="O181" t="s">
        <v>1051</v>
      </c>
      <c r="P181" t="str">
        <f>VLOOKUP(O181,$AL$2:$AM$12,2,FALSE)</f>
        <v>West</v>
      </c>
      <c r="Q181" t="s">
        <v>1084</v>
      </c>
      <c r="R181">
        <v>979</v>
      </c>
      <c r="S181" t="s">
        <v>1078</v>
      </c>
      <c r="T181">
        <f t="shared" si="15"/>
        <v>4</v>
      </c>
      <c r="U181">
        <v>293.7</v>
      </c>
      <c r="V181">
        <f t="shared" si="16"/>
        <v>6</v>
      </c>
      <c r="W181" t="s">
        <v>1088</v>
      </c>
      <c r="X181" t="s">
        <v>1091</v>
      </c>
      <c r="Y181">
        <f t="shared" si="17"/>
        <v>0</v>
      </c>
      <c r="Z181" t="s">
        <v>1108</v>
      </c>
      <c r="AA181" t="str">
        <f t="shared" si="18"/>
        <v>Low</v>
      </c>
      <c r="AB181" t="s">
        <v>1103</v>
      </c>
      <c r="AC181" t="str">
        <f t="shared" si="19"/>
        <v>Yes</v>
      </c>
      <c r="AD181">
        <v>5</v>
      </c>
      <c r="AE181">
        <v>126300</v>
      </c>
      <c r="AF181">
        <v>50520</v>
      </c>
      <c r="AG181">
        <f t="shared" si="20"/>
        <v>75486.3</v>
      </c>
    </row>
    <row r="182" spans="1:33" x14ac:dyDescent="0.25">
      <c r="A182">
        <v>1181</v>
      </c>
      <c r="B182" s="1">
        <v>45039</v>
      </c>
      <c r="C182" s="1">
        <v>45040</v>
      </c>
      <c r="D182" s="1">
        <v>45042</v>
      </c>
      <c r="E182" t="s">
        <v>1065</v>
      </c>
      <c r="F182" t="s">
        <v>210</v>
      </c>
      <c r="G182" t="s">
        <v>1067</v>
      </c>
      <c r="H182" t="str">
        <f t="shared" si="14"/>
        <v>Clothing</v>
      </c>
      <c r="I182">
        <v>9</v>
      </c>
      <c r="J182" t="str">
        <f>VLOOKUP(K182,$AJ$2:$AK$7,2,FALSE)</f>
        <v>S005</v>
      </c>
      <c r="K182" t="s">
        <v>1101</v>
      </c>
      <c r="L182">
        <v>4.2</v>
      </c>
      <c r="M182" t="str">
        <f>IFERROR(VLOOKUP(TRIM(N182),$AP$2:$AQ$12,2,FALSE),"W001")</f>
        <v>W010</v>
      </c>
      <c r="N182" t="s">
        <v>1063</v>
      </c>
      <c r="O182" t="s">
        <v>1047</v>
      </c>
      <c r="P182" t="str">
        <f>VLOOKUP(O182,$AL$2:$AM$12,2,FALSE)</f>
        <v>West</v>
      </c>
      <c r="Q182" t="s">
        <v>1083</v>
      </c>
      <c r="R182">
        <v>567</v>
      </c>
      <c r="S182" t="s">
        <v>1066</v>
      </c>
      <c r="T182">
        <f t="shared" si="15"/>
        <v>2</v>
      </c>
      <c r="U182">
        <v>283.5</v>
      </c>
      <c r="V182">
        <f t="shared" si="16"/>
        <v>10</v>
      </c>
      <c r="W182" t="s">
        <v>1088</v>
      </c>
      <c r="X182" t="s">
        <v>1089</v>
      </c>
      <c r="Y182">
        <f t="shared" si="17"/>
        <v>0</v>
      </c>
      <c r="Z182" t="s">
        <v>1108</v>
      </c>
      <c r="AA182" t="str">
        <f t="shared" si="18"/>
        <v>Medium</v>
      </c>
      <c r="AB182" t="s">
        <v>1103</v>
      </c>
      <c r="AC182" t="str">
        <f t="shared" si="19"/>
        <v>Yes</v>
      </c>
      <c r="AD182">
        <v>5</v>
      </c>
      <c r="AE182">
        <v>6426</v>
      </c>
      <c r="AF182">
        <v>2570.4</v>
      </c>
      <c r="AG182">
        <f t="shared" si="20"/>
        <v>3572.1</v>
      </c>
    </row>
    <row r="183" spans="1:33" x14ac:dyDescent="0.25">
      <c r="A183">
        <v>1182</v>
      </c>
      <c r="B183" s="1">
        <v>45084</v>
      </c>
      <c r="C183" s="1">
        <v>45087</v>
      </c>
      <c r="D183" s="1">
        <v>45092</v>
      </c>
      <c r="E183" t="s">
        <v>1065</v>
      </c>
      <c r="F183" t="s">
        <v>211</v>
      </c>
      <c r="G183" t="s">
        <v>1072</v>
      </c>
      <c r="H183" t="str">
        <f t="shared" si="14"/>
        <v>Electronics</v>
      </c>
      <c r="I183">
        <v>6</v>
      </c>
      <c r="J183" t="str">
        <f>VLOOKUP(K183,$AJ$2:$AK$7,2,FALSE)</f>
        <v>S002</v>
      </c>
      <c r="K183" t="s">
        <v>1098</v>
      </c>
      <c r="L183">
        <v>4.8</v>
      </c>
      <c r="M183" t="str">
        <f>IFERROR(VLOOKUP(TRIM(N183),$AP$2:$AQ$12,2,FALSE),"W001")</f>
        <v>W006</v>
      </c>
      <c r="N183" t="s">
        <v>1057</v>
      </c>
      <c r="O183" t="s">
        <v>1047</v>
      </c>
      <c r="P183" t="str">
        <f>VLOOKUP(O183,$AL$2:$AM$12,2,FALSE)</f>
        <v>West</v>
      </c>
      <c r="Q183" t="s">
        <v>1084</v>
      </c>
      <c r="R183">
        <v>126</v>
      </c>
      <c r="S183" t="s">
        <v>1079</v>
      </c>
      <c r="T183">
        <f t="shared" si="15"/>
        <v>1</v>
      </c>
      <c r="U183">
        <v>37.799999999999997</v>
      </c>
      <c r="V183">
        <f t="shared" si="16"/>
        <v>6</v>
      </c>
      <c r="W183" t="s">
        <v>1086</v>
      </c>
      <c r="X183" t="s">
        <v>1090</v>
      </c>
      <c r="Y183">
        <f t="shared" si="17"/>
        <v>37.799999999999997</v>
      </c>
      <c r="Z183" t="s">
        <v>1108</v>
      </c>
      <c r="AA183" t="str">
        <f t="shared" si="18"/>
        <v>Low</v>
      </c>
      <c r="AB183" t="s">
        <v>1103</v>
      </c>
      <c r="AC183" t="str">
        <f t="shared" si="19"/>
        <v>Yes</v>
      </c>
      <c r="AD183">
        <v>4</v>
      </c>
      <c r="AE183">
        <v>65040</v>
      </c>
      <c r="AF183">
        <v>26016</v>
      </c>
      <c r="AG183">
        <f t="shared" si="20"/>
        <v>38986.199999999997</v>
      </c>
    </row>
    <row r="184" spans="1:33" x14ac:dyDescent="0.25">
      <c r="A184">
        <v>1183</v>
      </c>
      <c r="B184" s="1">
        <v>44259</v>
      </c>
      <c r="C184" s="1">
        <v>44262</v>
      </c>
      <c r="D184" s="1">
        <v>44266</v>
      </c>
      <c r="E184" t="s">
        <v>1066</v>
      </c>
      <c r="F184" t="s">
        <v>212</v>
      </c>
      <c r="G184" t="s">
        <v>1069</v>
      </c>
      <c r="H184" t="str">
        <f t="shared" si="14"/>
        <v>Furniture</v>
      </c>
      <c r="I184">
        <v>6</v>
      </c>
      <c r="J184" t="str">
        <f>VLOOKUP(K184,$AJ$2:$AK$7,2,FALSE)</f>
        <v>S001</v>
      </c>
      <c r="K184" t="s">
        <v>1097</v>
      </c>
      <c r="L184">
        <v>4.5</v>
      </c>
      <c r="M184" t="str">
        <f>IFERROR(VLOOKUP(TRIM(N184),$AP$2:$AQ$12,2,FALSE),"W001")</f>
        <v>W003</v>
      </c>
      <c r="N184" t="s">
        <v>1051</v>
      </c>
      <c r="O184" t="s">
        <v>1055</v>
      </c>
      <c r="P184" t="str">
        <f>VLOOKUP(O184,$AL$2:$AM$12,2,FALSE)</f>
        <v>South</v>
      </c>
      <c r="Q184" t="s">
        <v>1080</v>
      </c>
      <c r="R184">
        <v>514</v>
      </c>
      <c r="S184" t="s">
        <v>1066</v>
      </c>
      <c r="T184">
        <f t="shared" si="15"/>
        <v>4</v>
      </c>
      <c r="U184">
        <v>77.099999999999994</v>
      </c>
      <c r="V184">
        <f t="shared" si="16"/>
        <v>4</v>
      </c>
      <c r="W184" t="s">
        <v>1088</v>
      </c>
      <c r="X184" t="s">
        <v>1091</v>
      </c>
      <c r="Y184">
        <f t="shared" si="17"/>
        <v>0</v>
      </c>
      <c r="Z184" t="s">
        <v>1108</v>
      </c>
      <c r="AA184" t="str">
        <f t="shared" si="18"/>
        <v>Low</v>
      </c>
      <c r="AB184" t="s">
        <v>1103</v>
      </c>
      <c r="AC184" t="str">
        <f t="shared" si="19"/>
        <v>Yes</v>
      </c>
      <c r="AD184">
        <v>5</v>
      </c>
      <c r="AE184">
        <v>82122</v>
      </c>
      <c r="AF184">
        <v>32848.800000000003</v>
      </c>
      <c r="AG184">
        <f t="shared" si="20"/>
        <v>49196.1</v>
      </c>
    </row>
    <row r="185" spans="1:33" x14ac:dyDescent="0.25">
      <c r="A185">
        <v>1184</v>
      </c>
      <c r="B185" s="1">
        <v>45565</v>
      </c>
      <c r="C185" s="1">
        <v>45566</v>
      </c>
      <c r="D185" s="1">
        <v>45570</v>
      </c>
      <c r="E185" t="s">
        <v>1064</v>
      </c>
      <c r="F185" t="s">
        <v>213</v>
      </c>
      <c r="G185" t="s">
        <v>1072</v>
      </c>
      <c r="H185" t="str">
        <f t="shared" si="14"/>
        <v>Electronics</v>
      </c>
      <c r="I185">
        <v>6</v>
      </c>
      <c r="J185" t="str">
        <f>VLOOKUP(K185,$AJ$2:$AK$7,2,FALSE)</f>
        <v>S003</v>
      </c>
      <c r="K185" t="s">
        <v>1099</v>
      </c>
      <c r="L185">
        <v>4.7</v>
      </c>
      <c r="M185" t="str">
        <f>IFERROR(VLOOKUP(TRIM(N185),$AP$2:$AQ$12,2,FALSE),"W001")</f>
        <v>W006</v>
      </c>
      <c r="N185" t="s">
        <v>1057</v>
      </c>
      <c r="O185" t="s">
        <v>1051</v>
      </c>
      <c r="P185" t="str">
        <f>VLOOKUP(O185,$AL$2:$AM$12,2,FALSE)</f>
        <v>West</v>
      </c>
      <c r="Q185" t="s">
        <v>1085</v>
      </c>
      <c r="R185">
        <v>1370</v>
      </c>
      <c r="S185" t="s">
        <v>1078</v>
      </c>
      <c r="T185">
        <f t="shared" si="15"/>
        <v>10</v>
      </c>
      <c r="U185">
        <v>137</v>
      </c>
      <c r="V185">
        <f t="shared" si="16"/>
        <v>3</v>
      </c>
      <c r="W185" t="s">
        <v>1088</v>
      </c>
      <c r="X185" t="s">
        <v>1089</v>
      </c>
      <c r="Y185">
        <f t="shared" si="17"/>
        <v>0</v>
      </c>
      <c r="Z185" t="s">
        <v>1108</v>
      </c>
      <c r="AA185" t="str">
        <f t="shared" si="18"/>
        <v>Low</v>
      </c>
      <c r="AB185" t="s">
        <v>1103</v>
      </c>
      <c r="AC185" t="str">
        <f t="shared" si="19"/>
        <v>Yes</v>
      </c>
      <c r="AD185">
        <v>5</v>
      </c>
      <c r="AE185">
        <v>120486</v>
      </c>
      <c r="AF185">
        <v>48194.400000000001</v>
      </c>
      <c r="AG185">
        <f t="shared" si="20"/>
        <v>72154.600000000006</v>
      </c>
    </row>
    <row r="186" spans="1:33" x14ac:dyDescent="0.25">
      <c r="A186">
        <v>1185</v>
      </c>
      <c r="B186" s="1">
        <v>44553</v>
      </c>
      <c r="C186" s="1">
        <v>44554</v>
      </c>
      <c r="D186" s="1">
        <v>44560</v>
      </c>
      <c r="E186" t="s">
        <v>1066</v>
      </c>
      <c r="F186" t="s">
        <v>214</v>
      </c>
      <c r="G186" t="s">
        <v>1068</v>
      </c>
      <c r="H186" t="str">
        <f t="shared" si="14"/>
        <v>Electronics</v>
      </c>
      <c r="I186">
        <v>9</v>
      </c>
      <c r="J186" t="str">
        <f>VLOOKUP(K186,$AJ$2:$AK$7,2,FALSE)</f>
        <v>S003</v>
      </c>
      <c r="K186" t="s">
        <v>1099</v>
      </c>
      <c r="L186">
        <v>4.2</v>
      </c>
      <c r="M186" t="str">
        <f>IFERROR(VLOOKUP(TRIM(N186),$AP$2:$AQ$12,2,FALSE),"W001")</f>
        <v>W009</v>
      </c>
      <c r="N186" t="s">
        <v>1060</v>
      </c>
      <c r="O186" t="s">
        <v>1047</v>
      </c>
      <c r="P186" t="str">
        <f>VLOOKUP(O186,$AL$2:$AM$12,2,FALSE)</f>
        <v>West</v>
      </c>
      <c r="Q186" t="s">
        <v>1080</v>
      </c>
      <c r="R186">
        <v>1681</v>
      </c>
      <c r="S186" t="s">
        <v>1078</v>
      </c>
      <c r="T186">
        <f t="shared" si="15"/>
        <v>8</v>
      </c>
      <c r="U186">
        <v>252.15</v>
      </c>
      <c r="V186">
        <f t="shared" si="16"/>
        <v>4</v>
      </c>
      <c r="W186" t="s">
        <v>1087</v>
      </c>
      <c r="X186" t="s">
        <v>1091</v>
      </c>
      <c r="Y186">
        <f t="shared" si="17"/>
        <v>0</v>
      </c>
      <c r="Z186" t="s">
        <v>1108</v>
      </c>
      <c r="AA186" t="str">
        <f t="shared" si="18"/>
        <v>Low</v>
      </c>
      <c r="AB186" t="s">
        <v>1103</v>
      </c>
      <c r="AC186" t="str">
        <f t="shared" si="19"/>
        <v>Yes</v>
      </c>
      <c r="AD186">
        <v>4</v>
      </c>
      <c r="AE186">
        <v>416340</v>
      </c>
      <c r="AF186">
        <v>166536</v>
      </c>
      <c r="AG186">
        <f t="shared" si="20"/>
        <v>249551.85</v>
      </c>
    </row>
    <row r="187" spans="1:33" x14ac:dyDescent="0.25">
      <c r="A187">
        <v>1186</v>
      </c>
      <c r="B187" s="1">
        <v>45516</v>
      </c>
      <c r="C187" s="1">
        <v>45518</v>
      </c>
      <c r="D187" s="1">
        <v>45520</v>
      </c>
      <c r="E187" t="s">
        <v>1066</v>
      </c>
      <c r="F187" t="s">
        <v>215</v>
      </c>
      <c r="G187" t="s">
        <v>1068</v>
      </c>
      <c r="H187" t="str">
        <f t="shared" si="14"/>
        <v>Electronics</v>
      </c>
      <c r="I187">
        <v>1</v>
      </c>
      <c r="J187" t="str">
        <f>VLOOKUP(K187,$AJ$2:$AK$7,2,FALSE)</f>
        <v>S002</v>
      </c>
      <c r="K187" t="s">
        <v>1098</v>
      </c>
      <c r="L187">
        <v>3</v>
      </c>
      <c r="M187" t="str">
        <f>IFERROR(VLOOKUP(TRIM(N187),$AP$2:$AQ$12,2,FALSE),"W001")</f>
        <v>W004</v>
      </c>
      <c r="N187" t="s">
        <v>1053</v>
      </c>
      <c r="O187" t="s">
        <v>1063</v>
      </c>
      <c r="P187" t="str">
        <f>VLOOKUP(O187,$AL$2:$AM$12,2,FALSE)</f>
        <v>South</v>
      </c>
      <c r="Q187" t="s">
        <v>1083</v>
      </c>
      <c r="R187">
        <v>165</v>
      </c>
      <c r="S187" t="s">
        <v>1079</v>
      </c>
      <c r="T187">
        <f t="shared" si="15"/>
        <v>1</v>
      </c>
      <c r="U187">
        <v>82.5</v>
      </c>
      <c r="V187">
        <f t="shared" si="16"/>
        <v>10</v>
      </c>
      <c r="W187" t="s">
        <v>1087</v>
      </c>
      <c r="X187" t="s">
        <v>1089</v>
      </c>
      <c r="Y187">
        <f t="shared" si="17"/>
        <v>0</v>
      </c>
      <c r="Z187" t="s">
        <v>1108</v>
      </c>
      <c r="AA187" t="str">
        <f t="shared" si="18"/>
        <v>Medium</v>
      </c>
      <c r="AB187" t="s">
        <v>1103</v>
      </c>
      <c r="AC187" t="str">
        <f t="shared" si="19"/>
        <v>Yes</v>
      </c>
      <c r="AD187">
        <v>5</v>
      </c>
      <c r="AE187">
        <v>60647</v>
      </c>
      <c r="AF187">
        <v>24258.800000000003</v>
      </c>
      <c r="AG187">
        <f t="shared" si="20"/>
        <v>36305.699999999997</v>
      </c>
    </row>
    <row r="188" spans="1:33" x14ac:dyDescent="0.25">
      <c r="A188">
        <v>1187</v>
      </c>
      <c r="B188" s="1">
        <v>44825</v>
      </c>
      <c r="C188" s="1">
        <v>44828</v>
      </c>
      <c r="D188" s="1">
        <v>44835</v>
      </c>
      <c r="E188" t="s">
        <v>1065</v>
      </c>
      <c r="F188" t="s">
        <v>216</v>
      </c>
      <c r="G188" t="s">
        <v>1069</v>
      </c>
      <c r="H188" t="str">
        <f t="shared" si="14"/>
        <v>Furniture</v>
      </c>
      <c r="I188">
        <v>2</v>
      </c>
      <c r="J188" t="str">
        <f>VLOOKUP(K188,$AJ$2:$AK$7,2,FALSE)</f>
        <v>S006</v>
      </c>
      <c r="K188" t="s">
        <v>1102</v>
      </c>
      <c r="L188">
        <v>3.5</v>
      </c>
      <c r="M188" t="str">
        <f>IFERROR(VLOOKUP(TRIM(N188),$AP$2:$AQ$12,2,FALSE),"W001")</f>
        <v>W002</v>
      </c>
      <c r="N188" t="s">
        <v>1049</v>
      </c>
      <c r="O188" t="s">
        <v>1060</v>
      </c>
      <c r="P188" t="str">
        <f>VLOOKUP(O188,$AL$2:$AM$12,2,FALSE)</f>
        <v>North</v>
      </c>
      <c r="Q188" t="s">
        <v>1084</v>
      </c>
      <c r="R188">
        <v>436</v>
      </c>
      <c r="S188" t="s">
        <v>1066</v>
      </c>
      <c r="T188">
        <f t="shared" si="15"/>
        <v>2</v>
      </c>
      <c r="U188">
        <v>130.80000000000001</v>
      </c>
      <c r="V188">
        <f t="shared" si="16"/>
        <v>6</v>
      </c>
      <c r="W188" t="s">
        <v>1087</v>
      </c>
      <c r="X188" t="s">
        <v>1089</v>
      </c>
      <c r="Y188">
        <f t="shared" si="17"/>
        <v>0</v>
      </c>
      <c r="Z188" t="s">
        <v>1108</v>
      </c>
      <c r="AA188" t="str">
        <f t="shared" si="18"/>
        <v>Low</v>
      </c>
      <c r="AB188" t="s">
        <v>1103</v>
      </c>
      <c r="AC188" t="str">
        <f t="shared" si="19"/>
        <v>Yes</v>
      </c>
      <c r="AD188">
        <v>4</v>
      </c>
      <c r="AE188">
        <v>20796</v>
      </c>
      <c r="AF188">
        <v>8318.4</v>
      </c>
      <c r="AG188">
        <f t="shared" si="20"/>
        <v>12346.800000000001</v>
      </c>
    </row>
    <row r="189" spans="1:33" x14ac:dyDescent="0.25">
      <c r="A189">
        <v>1188</v>
      </c>
      <c r="B189" s="1">
        <v>45300</v>
      </c>
      <c r="C189" s="1">
        <v>45303</v>
      </c>
      <c r="D189" s="1">
        <v>45308</v>
      </c>
      <c r="E189" t="s">
        <v>1065</v>
      </c>
      <c r="F189" t="s">
        <v>217</v>
      </c>
      <c r="G189" t="s">
        <v>1067</v>
      </c>
      <c r="H189" t="str">
        <f t="shared" si="14"/>
        <v>Clothing</v>
      </c>
      <c r="I189">
        <v>8</v>
      </c>
      <c r="J189" t="str">
        <f>VLOOKUP(K189,$AJ$2:$AK$7,2,FALSE)</f>
        <v>S003</v>
      </c>
      <c r="K189" t="s">
        <v>1099</v>
      </c>
      <c r="L189">
        <v>4.2</v>
      </c>
      <c r="M189" t="str">
        <f>IFERROR(VLOOKUP(TRIM(N189),$AP$2:$AQ$12,2,FALSE),"W001")</f>
        <v>W002</v>
      </c>
      <c r="N189" t="s">
        <v>1049</v>
      </c>
      <c r="O189" t="s">
        <v>1062</v>
      </c>
      <c r="P189" t="str">
        <f>VLOOKUP(O189,$AL$2:$AM$12,2,FALSE)</f>
        <v>North</v>
      </c>
      <c r="Q189" t="s">
        <v>1083</v>
      </c>
      <c r="R189">
        <v>315</v>
      </c>
      <c r="S189" t="s">
        <v>1066</v>
      </c>
      <c r="T189">
        <f t="shared" si="15"/>
        <v>1</v>
      </c>
      <c r="U189">
        <v>157.5</v>
      </c>
      <c r="V189">
        <f t="shared" si="16"/>
        <v>10</v>
      </c>
      <c r="W189" t="s">
        <v>1088</v>
      </c>
      <c r="X189" t="s">
        <v>1090</v>
      </c>
      <c r="Y189">
        <f t="shared" si="17"/>
        <v>0</v>
      </c>
      <c r="Z189" t="s">
        <v>1108</v>
      </c>
      <c r="AA189" t="str">
        <f t="shared" si="18"/>
        <v>Medium</v>
      </c>
      <c r="AB189" t="s">
        <v>1103</v>
      </c>
      <c r="AC189" t="str">
        <f t="shared" si="19"/>
        <v>Yes</v>
      </c>
      <c r="AD189">
        <v>4</v>
      </c>
      <c r="AE189">
        <v>6880</v>
      </c>
      <c r="AF189">
        <v>2752</v>
      </c>
      <c r="AG189">
        <f t="shared" si="20"/>
        <v>3970.5</v>
      </c>
    </row>
    <row r="190" spans="1:33" x14ac:dyDescent="0.25">
      <c r="A190">
        <v>1189</v>
      </c>
      <c r="B190" s="1">
        <v>44563</v>
      </c>
      <c r="C190" s="1">
        <v>44566</v>
      </c>
      <c r="D190" s="1">
        <v>44571</v>
      </c>
      <c r="E190" t="s">
        <v>1066</v>
      </c>
      <c r="F190" t="s">
        <v>218</v>
      </c>
      <c r="G190" t="s">
        <v>1070</v>
      </c>
      <c r="H190" t="str">
        <f t="shared" si="14"/>
        <v>Furniture</v>
      </c>
      <c r="I190">
        <v>1</v>
      </c>
      <c r="J190" t="str">
        <f>VLOOKUP(K190,$AJ$2:$AK$7,2,FALSE)</f>
        <v>S005</v>
      </c>
      <c r="K190" t="s">
        <v>1101</v>
      </c>
      <c r="L190">
        <v>3.4</v>
      </c>
      <c r="M190" t="str">
        <f>IFERROR(VLOOKUP(TRIM(N190),$AP$2:$AQ$12,2,FALSE),"W001")</f>
        <v>W011</v>
      </c>
      <c r="N190" t="s">
        <v>1059</v>
      </c>
      <c r="O190" t="s">
        <v>1051</v>
      </c>
      <c r="P190" t="str">
        <f>VLOOKUP(O190,$AL$2:$AM$12,2,FALSE)</f>
        <v>West</v>
      </c>
      <c r="Q190" t="s">
        <v>1084</v>
      </c>
      <c r="R190">
        <v>531</v>
      </c>
      <c r="S190" t="s">
        <v>1066</v>
      </c>
      <c r="T190">
        <f t="shared" si="15"/>
        <v>3</v>
      </c>
      <c r="U190">
        <v>159.30000000000001</v>
      </c>
      <c r="V190">
        <f t="shared" si="16"/>
        <v>6</v>
      </c>
      <c r="W190" t="s">
        <v>1087</v>
      </c>
      <c r="X190" t="s">
        <v>1091</v>
      </c>
      <c r="Y190">
        <f t="shared" si="17"/>
        <v>0</v>
      </c>
      <c r="Z190" t="s">
        <v>1108</v>
      </c>
      <c r="AA190" t="str">
        <f t="shared" si="18"/>
        <v>Low</v>
      </c>
      <c r="AB190" t="s">
        <v>1103</v>
      </c>
      <c r="AC190" t="str">
        <f t="shared" si="19"/>
        <v>Yes</v>
      </c>
      <c r="AD190">
        <v>5</v>
      </c>
      <c r="AE190">
        <v>6063</v>
      </c>
      <c r="AF190">
        <v>2425.2000000000003</v>
      </c>
      <c r="AG190">
        <f t="shared" si="20"/>
        <v>3478.4999999999995</v>
      </c>
    </row>
    <row r="191" spans="1:33" x14ac:dyDescent="0.25">
      <c r="A191">
        <v>1190</v>
      </c>
      <c r="B191" s="1">
        <v>45993</v>
      </c>
      <c r="C191" s="1">
        <v>45996</v>
      </c>
      <c r="D191" s="1">
        <v>46000</v>
      </c>
      <c r="E191" t="s">
        <v>1066</v>
      </c>
      <c r="F191" t="s">
        <v>219</v>
      </c>
      <c r="G191" t="s">
        <v>1070</v>
      </c>
      <c r="H191" t="str">
        <f t="shared" si="14"/>
        <v>Furniture</v>
      </c>
      <c r="I191">
        <v>2</v>
      </c>
      <c r="J191" t="str">
        <f>VLOOKUP(K191,$AJ$2:$AK$7,2,FALSE)</f>
        <v>S002</v>
      </c>
      <c r="K191" t="s">
        <v>1098</v>
      </c>
      <c r="L191">
        <v>4</v>
      </c>
      <c r="M191" t="str">
        <f>IFERROR(VLOOKUP(TRIM(N191),$AP$2:$AQ$12,2,FALSE),"W001")</f>
        <v>W002</v>
      </c>
      <c r="N191" t="s">
        <v>1049</v>
      </c>
      <c r="O191" t="s">
        <v>1047</v>
      </c>
      <c r="P191" t="str">
        <f>VLOOKUP(O191,$AL$2:$AM$12,2,FALSE)</f>
        <v>West</v>
      </c>
      <c r="Q191" t="s">
        <v>1084</v>
      </c>
      <c r="R191">
        <v>220</v>
      </c>
      <c r="S191" t="s">
        <v>1066</v>
      </c>
      <c r="T191">
        <f t="shared" si="15"/>
        <v>2</v>
      </c>
      <c r="U191">
        <v>66</v>
      </c>
      <c r="V191">
        <f t="shared" si="16"/>
        <v>6</v>
      </c>
      <c r="W191" t="s">
        <v>1086</v>
      </c>
      <c r="X191" t="s">
        <v>1089</v>
      </c>
      <c r="Y191">
        <f t="shared" si="17"/>
        <v>66</v>
      </c>
      <c r="Z191" t="s">
        <v>1108</v>
      </c>
      <c r="AA191" t="str">
        <f t="shared" si="18"/>
        <v>Low</v>
      </c>
      <c r="AB191" t="s">
        <v>1103</v>
      </c>
      <c r="AC191" t="str">
        <f t="shared" si="19"/>
        <v>Yes</v>
      </c>
      <c r="AD191">
        <v>5</v>
      </c>
      <c r="AE191">
        <v>13074</v>
      </c>
      <c r="AF191">
        <v>5229.6000000000004</v>
      </c>
      <c r="AG191">
        <f t="shared" si="20"/>
        <v>7778.4</v>
      </c>
    </row>
    <row r="192" spans="1:33" x14ac:dyDescent="0.25">
      <c r="A192">
        <v>1191</v>
      </c>
      <c r="B192" s="1">
        <v>46350</v>
      </c>
      <c r="C192" s="1">
        <v>46353</v>
      </c>
      <c r="D192" s="1">
        <v>46355</v>
      </c>
      <c r="E192" t="s">
        <v>1065</v>
      </c>
      <c r="F192" t="s">
        <v>220</v>
      </c>
      <c r="G192" t="s">
        <v>1072</v>
      </c>
      <c r="H192" t="str">
        <f t="shared" si="14"/>
        <v>Electronics</v>
      </c>
      <c r="I192">
        <v>6</v>
      </c>
      <c r="J192" t="str">
        <f>VLOOKUP(K192,$AJ$2:$AK$7,2,FALSE)</f>
        <v>S003</v>
      </c>
      <c r="K192" t="s">
        <v>1099</v>
      </c>
      <c r="L192">
        <v>3.3</v>
      </c>
      <c r="M192" t="str">
        <f>IFERROR(VLOOKUP(TRIM(N192),$AP$2:$AQ$12,2,FALSE),"W001")</f>
        <v>W006</v>
      </c>
      <c r="N192" t="s">
        <v>1057</v>
      </c>
      <c r="O192" t="s">
        <v>1055</v>
      </c>
      <c r="P192" t="str">
        <f>VLOOKUP(O192,$AL$2:$AM$12,2,FALSE)</f>
        <v>South</v>
      </c>
      <c r="Q192" t="s">
        <v>1083</v>
      </c>
      <c r="R192">
        <v>1595</v>
      </c>
      <c r="S192" t="s">
        <v>1078</v>
      </c>
      <c r="T192">
        <f t="shared" si="15"/>
        <v>3</v>
      </c>
      <c r="U192">
        <v>797.5</v>
      </c>
      <c r="V192">
        <f t="shared" si="16"/>
        <v>10</v>
      </c>
      <c r="W192" t="s">
        <v>1087</v>
      </c>
      <c r="X192" t="s">
        <v>1091</v>
      </c>
      <c r="Y192">
        <f t="shared" si="17"/>
        <v>0</v>
      </c>
      <c r="Z192" t="s">
        <v>1108</v>
      </c>
      <c r="AA192" t="str">
        <f t="shared" si="18"/>
        <v>Medium</v>
      </c>
      <c r="AB192" t="s">
        <v>1103</v>
      </c>
      <c r="AC192" t="str">
        <f t="shared" si="19"/>
        <v>Yes</v>
      </c>
      <c r="AD192">
        <v>5</v>
      </c>
      <c r="AE192">
        <v>134586</v>
      </c>
      <c r="AF192">
        <v>53834.400000000001</v>
      </c>
      <c r="AG192">
        <f t="shared" si="20"/>
        <v>79954.100000000006</v>
      </c>
    </row>
    <row r="193" spans="1:33" x14ac:dyDescent="0.25">
      <c r="A193">
        <v>1192</v>
      </c>
      <c r="B193" s="1">
        <v>44822</v>
      </c>
      <c r="C193" s="1">
        <v>44824</v>
      </c>
      <c r="D193" s="1">
        <v>44828</v>
      </c>
      <c r="E193" t="s">
        <v>1065</v>
      </c>
      <c r="F193" t="s">
        <v>221</v>
      </c>
      <c r="G193" t="s">
        <v>1067</v>
      </c>
      <c r="H193" t="str">
        <f t="shared" si="14"/>
        <v>Clothing</v>
      </c>
      <c r="I193">
        <v>9</v>
      </c>
      <c r="J193" t="str">
        <f>VLOOKUP(K193,$AJ$2:$AK$7,2,FALSE)</f>
        <v>S004</v>
      </c>
      <c r="K193" t="s">
        <v>1100</v>
      </c>
      <c r="L193">
        <v>4.9000000000000004</v>
      </c>
      <c r="M193" t="str">
        <f>IFERROR(VLOOKUP(TRIM(N193),$AP$2:$AQ$12,2,FALSE),"W001")</f>
        <v>W005</v>
      </c>
      <c r="N193" t="s">
        <v>1055</v>
      </c>
      <c r="O193" t="s">
        <v>1055</v>
      </c>
      <c r="P193" t="str">
        <f>VLOOKUP(O193,$AL$2:$AM$12,2,FALSE)</f>
        <v>South</v>
      </c>
      <c r="Q193" t="s">
        <v>1080</v>
      </c>
      <c r="R193">
        <v>44</v>
      </c>
      <c r="S193" t="s">
        <v>1079</v>
      </c>
      <c r="T193">
        <f t="shared" si="15"/>
        <v>2</v>
      </c>
      <c r="U193">
        <v>6.6</v>
      </c>
      <c r="V193">
        <f t="shared" si="16"/>
        <v>4</v>
      </c>
      <c r="W193" t="s">
        <v>1087</v>
      </c>
      <c r="X193" t="s">
        <v>1091</v>
      </c>
      <c r="Y193">
        <f t="shared" si="17"/>
        <v>0</v>
      </c>
      <c r="Z193" t="s">
        <v>1108</v>
      </c>
      <c r="AA193" t="str">
        <f t="shared" si="18"/>
        <v>Low</v>
      </c>
      <c r="AB193" t="s">
        <v>1103</v>
      </c>
      <c r="AC193" t="str">
        <f t="shared" si="19"/>
        <v>Yes</v>
      </c>
      <c r="AD193">
        <v>4</v>
      </c>
      <c r="AE193">
        <v>12159</v>
      </c>
      <c r="AF193">
        <v>4863.6000000000004</v>
      </c>
      <c r="AG193">
        <f t="shared" si="20"/>
        <v>7288.7999999999993</v>
      </c>
    </row>
    <row r="194" spans="1:33" x14ac:dyDescent="0.25">
      <c r="A194">
        <v>1193</v>
      </c>
      <c r="B194" s="1">
        <v>45298</v>
      </c>
      <c r="C194" s="1">
        <v>45300</v>
      </c>
      <c r="D194" s="1">
        <v>45303</v>
      </c>
      <c r="E194" t="s">
        <v>1066</v>
      </c>
      <c r="F194" t="s">
        <v>222</v>
      </c>
      <c r="G194" t="s">
        <v>1068</v>
      </c>
      <c r="H194" t="str">
        <f t="shared" si="14"/>
        <v>Electronics</v>
      </c>
      <c r="I194">
        <v>4</v>
      </c>
      <c r="J194" t="str">
        <f>VLOOKUP(K194,$AJ$2:$AK$7,2,FALSE)</f>
        <v>S005</v>
      </c>
      <c r="K194" t="s">
        <v>1101</v>
      </c>
      <c r="L194">
        <v>3.2</v>
      </c>
      <c r="M194" t="str">
        <f>IFERROR(VLOOKUP(TRIM(N194),$AP$2:$AQ$12,2,FALSE),"W001")</f>
        <v>W003</v>
      </c>
      <c r="N194" t="s">
        <v>1051</v>
      </c>
      <c r="O194" t="s">
        <v>1062</v>
      </c>
      <c r="P194" t="str">
        <f>VLOOKUP(O194,$AL$2:$AM$12,2,FALSE)</f>
        <v>North</v>
      </c>
      <c r="Q194" t="s">
        <v>1084</v>
      </c>
      <c r="R194">
        <v>1463</v>
      </c>
      <c r="S194" t="s">
        <v>1078</v>
      </c>
      <c r="T194">
        <f t="shared" si="15"/>
        <v>5</v>
      </c>
      <c r="U194">
        <v>438.9</v>
      </c>
      <c r="V194">
        <f t="shared" si="16"/>
        <v>6</v>
      </c>
      <c r="W194" t="s">
        <v>1087</v>
      </c>
      <c r="X194" t="s">
        <v>1091</v>
      </c>
      <c r="Y194">
        <f t="shared" si="17"/>
        <v>0</v>
      </c>
      <c r="Z194" t="s">
        <v>1108</v>
      </c>
      <c r="AA194" t="str">
        <f t="shared" si="18"/>
        <v>Low</v>
      </c>
      <c r="AB194" t="s">
        <v>1103</v>
      </c>
      <c r="AC194" t="str">
        <f t="shared" si="19"/>
        <v>Yes</v>
      </c>
      <c r="AD194">
        <v>5</v>
      </c>
      <c r="AE194">
        <v>223180</v>
      </c>
      <c r="AF194">
        <v>89272</v>
      </c>
      <c r="AG194">
        <f t="shared" si="20"/>
        <v>133469.1</v>
      </c>
    </row>
    <row r="195" spans="1:33" x14ac:dyDescent="0.25">
      <c r="A195">
        <v>1194</v>
      </c>
      <c r="B195" s="1">
        <v>44690</v>
      </c>
      <c r="C195" s="1">
        <v>44692</v>
      </c>
      <c r="D195" s="1">
        <v>44694</v>
      </c>
      <c r="E195" t="s">
        <v>1064</v>
      </c>
      <c r="F195" t="s">
        <v>223</v>
      </c>
      <c r="G195" t="s">
        <v>1068</v>
      </c>
      <c r="H195" t="str">
        <f t="shared" ref="H195:H258" si="21">IF(OR(G195="Laptop",G195="Mobile"),"Electronics",
IF(OR(G195="T-Shirt",G195="Jeans"),"Clothing",
IF(OR(G195="Table",G195="Chair"),"Furniture","")))</f>
        <v>Electronics</v>
      </c>
      <c r="I195">
        <v>2</v>
      </c>
      <c r="J195" t="str">
        <f>VLOOKUP(K195,$AJ$2:$AK$7,2,FALSE)</f>
        <v>S004</v>
      </c>
      <c r="K195" t="s">
        <v>1100</v>
      </c>
      <c r="L195">
        <v>4.9000000000000004</v>
      </c>
      <c r="M195" t="str">
        <f>IFERROR(VLOOKUP(TRIM(N195),$AP$2:$AQ$12,2,FALSE),"W001")</f>
        <v>W007</v>
      </c>
      <c r="N195" t="s">
        <v>1062</v>
      </c>
      <c r="O195" t="s">
        <v>1049</v>
      </c>
      <c r="P195" t="str">
        <f>VLOOKUP(O195,$AL$2:$AM$12,2,FALSE)</f>
        <v>North</v>
      </c>
      <c r="Q195" t="s">
        <v>1081</v>
      </c>
      <c r="R195">
        <v>1983</v>
      </c>
      <c r="S195" t="s">
        <v>1078</v>
      </c>
      <c r="T195">
        <f t="shared" ref="T195:T258" si="22">IF(Q195="Air",ROUND(R195/700,0)+1,
IF(Q195="Express",ROUND(R195/500,0)+1,
IF(Q195="Courier",ROUND(R195/350,0)+1,
IF(Q195="Road",ROUND(R195/250,0)+1,
IF(Q195="Rail",ROUND(R195/300,0)+2,
IF(Q195="Ship",ROUND(R195/200,0)+3,""))))))</f>
        <v>9</v>
      </c>
      <c r="U195">
        <v>396.6</v>
      </c>
      <c r="V195">
        <f t="shared" ref="V195:V258" si="23">IF(Q195="Road",5,
IF(Q195="Rail",4,
IF(Q195="Air",10,
IF(Q195="Ship",3,
IF(Q195="Courier",6,
IF(Q195="Express",8))))))</f>
        <v>5</v>
      </c>
      <c r="W195" t="s">
        <v>1087</v>
      </c>
      <c r="X195" t="s">
        <v>1091</v>
      </c>
      <c r="Y195">
        <f t="shared" ref="Y195:Y258" si="24">IF(W195="COD",U195,0)</f>
        <v>0</v>
      </c>
      <c r="Z195" t="s">
        <v>1109</v>
      </c>
      <c r="AA195" t="str">
        <f t="shared" ref="AA195:AA258" si="25">IF(Z195="Delayed","High",
IF(OR(Q195="Air",Q195="Express"),"Medium","Low"))</f>
        <v>High</v>
      </c>
      <c r="AB195" t="s">
        <v>1104</v>
      </c>
      <c r="AC195" t="str">
        <f t="shared" ref="AC195:AC258" si="26">IF(Z195="Delayed","No","Yes")</f>
        <v>No</v>
      </c>
      <c r="AD195">
        <v>2</v>
      </c>
      <c r="AE195">
        <v>107196</v>
      </c>
      <c r="AF195">
        <v>42878.400000000001</v>
      </c>
      <c r="AG195">
        <f t="shared" ref="AG195:AG258" si="27">AE195 - AF195-U195</f>
        <v>63921</v>
      </c>
    </row>
    <row r="196" spans="1:33" x14ac:dyDescent="0.25">
      <c r="A196">
        <v>1195</v>
      </c>
      <c r="B196" s="1">
        <v>45582</v>
      </c>
      <c r="C196" s="1">
        <v>45584</v>
      </c>
      <c r="D196" s="1">
        <v>45586</v>
      </c>
      <c r="E196" t="s">
        <v>1065</v>
      </c>
      <c r="F196" t="s">
        <v>224</v>
      </c>
      <c r="G196" t="s">
        <v>1072</v>
      </c>
      <c r="H196" t="str">
        <f t="shared" si="21"/>
        <v>Electronics</v>
      </c>
      <c r="I196">
        <v>5</v>
      </c>
      <c r="J196" t="str">
        <f>VLOOKUP(K196,$AJ$2:$AK$7,2,FALSE)</f>
        <v>S005</v>
      </c>
      <c r="K196" t="s">
        <v>1101</v>
      </c>
      <c r="L196">
        <v>4.5999999999999996</v>
      </c>
      <c r="M196" t="str">
        <f>IFERROR(VLOOKUP(TRIM(N196),$AP$2:$AQ$12,2,FALSE),"W001")</f>
        <v>W001</v>
      </c>
      <c r="N196" t="s">
        <v>1047</v>
      </c>
      <c r="O196" t="s">
        <v>1051</v>
      </c>
      <c r="P196" t="str">
        <f>VLOOKUP(O196,$AL$2:$AM$12,2,FALSE)</f>
        <v>West</v>
      </c>
      <c r="Q196" t="s">
        <v>1083</v>
      </c>
      <c r="R196">
        <v>317</v>
      </c>
      <c r="S196" t="s">
        <v>1066</v>
      </c>
      <c r="T196">
        <f t="shared" si="22"/>
        <v>1</v>
      </c>
      <c r="U196">
        <v>158.5</v>
      </c>
      <c r="V196">
        <f t="shared" si="23"/>
        <v>10</v>
      </c>
      <c r="W196" t="s">
        <v>1088</v>
      </c>
      <c r="X196" t="s">
        <v>1089</v>
      </c>
      <c r="Y196">
        <f t="shared" si="24"/>
        <v>0</v>
      </c>
      <c r="Z196" t="s">
        <v>1108</v>
      </c>
      <c r="AA196" t="str">
        <f t="shared" si="25"/>
        <v>Medium</v>
      </c>
      <c r="AB196" t="s">
        <v>1104</v>
      </c>
      <c r="AC196" t="str">
        <f t="shared" si="26"/>
        <v>Yes</v>
      </c>
      <c r="AD196">
        <v>1</v>
      </c>
      <c r="AE196">
        <v>126260</v>
      </c>
      <c r="AF196">
        <v>50504</v>
      </c>
      <c r="AG196">
        <f t="shared" si="27"/>
        <v>75597.5</v>
      </c>
    </row>
    <row r="197" spans="1:33" x14ac:dyDescent="0.25">
      <c r="A197">
        <v>1196</v>
      </c>
      <c r="B197" s="1">
        <v>45688</v>
      </c>
      <c r="C197" s="1">
        <v>45690</v>
      </c>
      <c r="D197" s="1">
        <v>45697</v>
      </c>
      <c r="E197" t="s">
        <v>1065</v>
      </c>
      <c r="F197" t="s">
        <v>225</v>
      </c>
      <c r="G197" t="s">
        <v>1069</v>
      </c>
      <c r="H197" t="str">
        <f t="shared" si="21"/>
        <v>Furniture</v>
      </c>
      <c r="I197">
        <v>6</v>
      </c>
      <c r="J197" t="str">
        <f>VLOOKUP(K197,$AJ$2:$AK$7,2,FALSE)</f>
        <v>S006</v>
      </c>
      <c r="K197" t="s">
        <v>1102</v>
      </c>
      <c r="L197">
        <v>3.5</v>
      </c>
      <c r="M197" t="str">
        <f>IFERROR(VLOOKUP(TRIM(N197),$AP$2:$AQ$12,2,FALSE),"W001")</f>
        <v>W003</v>
      </c>
      <c r="N197" t="s">
        <v>1051</v>
      </c>
      <c r="O197" t="s">
        <v>1059</v>
      </c>
      <c r="P197" t="str">
        <f>VLOOKUP(O197,$AL$2:$AM$12,2,FALSE)</f>
        <v>North</v>
      </c>
      <c r="Q197" t="s">
        <v>1083</v>
      </c>
      <c r="R197">
        <v>1010</v>
      </c>
      <c r="S197" t="s">
        <v>1078</v>
      </c>
      <c r="T197">
        <f t="shared" si="22"/>
        <v>2</v>
      </c>
      <c r="U197">
        <v>505</v>
      </c>
      <c r="V197">
        <f t="shared" si="23"/>
        <v>10</v>
      </c>
      <c r="W197" t="s">
        <v>1088</v>
      </c>
      <c r="X197" t="s">
        <v>1089</v>
      </c>
      <c r="Y197">
        <f t="shared" si="24"/>
        <v>0</v>
      </c>
      <c r="Z197" t="s">
        <v>1108</v>
      </c>
      <c r="AA197" t="str">
        <f t="shared" si="25"/>
        <v>Medium</v>
      </c>
      <c r="AB197" t="s">
        <v>1103</v>
      </c>
      <c r="AC197" t="str">
        <f t="shared" si="26"/>
        <v>Yes</v>
      </c>
      <c r="AD197">
        <v>4</v>
      </c>
      <c r="AE197">
        <v>30216</v>
      </c>
      <c r="AF197">
        <v>12086.400000000001</v>
      </c>
      <c r="AG197">
        <f t="shared" si="27"/>
        <v>17624.599999999999</v>
      </c>
    </row>
    <row r="198" spans="1:33" x14ac:dyDescent="0.25">
      <c r="A198">
        <v>1197</v>
      </c>
      <c r="B198" s="1">
        <v>45491</v>
      </c>
      <c r="C198" s="1">
        <v>45494</v>
      </c>
      <c r="D198" s="1">
        <v>45501</v>
      </c>
      <c r="E198" t="s">
        <v>1065</v>
      </c>
      <c r="F198" t="s">
        <v>226</v>
      </c>
      <c r="G198" t="s">
        <v>1070</v>
      </c>
      <c r="H198" t="str">
        <f t="shared" si="21"/>
        <v>Furniture</v>
      </c>
      <c r="I198">
        <v>8</v>
      </c>
      <c r="J198" t="str">
        <f>VLOOKUP(K198,$AJ$2:$AK$7,2,FALSE)</f>
        <v>S001</v>
      </c>
      <c r="K198" t="s">
        <v>1097</v>
      </c>
      <c r="L198">
        <v>4.5999999999999996</v>
      </c>
      <c r="M198" t="str">
        <f>IFERROR(VLOOKUP(TRIM(N198),$AP$2:$AQ$12,2,FALSE),"W001")</f>
        <v>W003</v>
      </c>
      <c r="N198" t="s">
        <v>1051</v>
      </c>
      <c r="O198" t="s">
        <v>1055</v>
      </c>
      <c r="P198" t="str">
        <f>VLOOKUP(O198,$AL$2:$AM$12,2,FALSE)</f>
        <v>South</v>
      </c>
      <c r="Q198" t="s">
        <v>1084</v>
      </c>
      <c r="R198">
        <v>1184</v>
      </c>
      <c r="S198" t="s">
        <v>1078</v>
      </c>
      <c r="T198">
        <f t="shared" si="22"/>
        <v>4</v>
      </c>
      <c r="U198">
        <v>355.2</v>
      </c>
      <c r="V198">
        <f t="shared" si="23"/>
        <v>6</v>
      </c>
      <c r="W198" t="s">
        <v>1087</v>
      </c>
      <c r="X198" t="s">
        <v>1091</v>
      </c>
      <c r="Y198">
        <f t="shared" si="24"/>
        <v>0</v>
      </c>
      <c r="Z198" t="s">
        <v>1108</v>
      </c>
      <c r="AA198" t="str">
        <f t="shared" si="25"/>
        <v>Low</v>
      </c>
      <c r="AB198" t="s">
        <v>1103</v>
      </c>
      <c r="AC198" t="str">
        <f t="shared" si="26"/>
        <v>Yes</v>
      </c>
      <c r="AD198">
        <v>5</v>
      </c>
      <c r="AE198">
        <v>54952</v>
      </c>
      <c r="AF198">
        <v>21980.800000000003</v>
      </c>
      <c r="AG198">
        <f t="shared" si="27"/>
        <v>32615.999999999996</v>
      </c>
    </row>
    <row r="199" spans="1:33" x14ac:dyDescent="0.25">
      <c r="A199">
        <v>1198</v>
      </c>
      <c r="B199" s="1">
        <v>45679</v>
      </c>
      <c r="C199" s="1">
        <v>45682</v>
      </c>
      <c r="D199" s="1">
        <v>45688</v>
      </c>
      <c r="E199" t="s">
        <v>1064</v>
      </c>
      <c r="F199" t="s">
        <v>227</v>
      </c>
      <c r="G199" t="s">
        <v>1068</v>
      </c>
      <c r="H199" t="str">
        <f t="shared" si="21"/>
        <v>Electronics</v>
      </c>
      <c r="I199">
        <v>6</v>
      </c>
      <c r="J199" t="str">
        <f>VLOOKUP(K199,$AJ$2:$AK$7,2,FALSE)</f>
        <v>S003</v>
      </c>
      <c r="K199" t="s">
        <v>1099</v>
      </c>
      <c r="L199">
        <v>3.3</v>
      </c>
      <c r="M199" t="str">
        <f>IFERROR(VLOOKUP(TRIM(N199),$AP$2:$AQ$12,2,FALSE),"W001")</f>
        <v>W010</v>
      </c>
      <c r="N199" t="s">
        <v>1063</v>
      </c>
      <c r="O199" t="s">
        <v>1053</v>
      </c>
      <c r="P199" t="str">
        <f>VLOOKUP(O199,$AL$2:$AM$12,2,FALSE)</f>
        <v>South</v>
      </c>
      <c r="Q199" t="s">
        <v>1084</v>
      </c>
      <c r="R199">
        <v>917</v>
      </c>
      <c r="S199" t="s">
        <v>1078</v>
      </c>
      <c r="T199">
        <f t="shared" si="22"/>
        <v>4</v>
      </c>
      <c r="U199">
        <v>275.10000000000002</v>
      </c>
      <c r="V199">
        <f t="shared" si="23"/>
        <v>6</v>
      </c>
      <c r="W199" t="s">
        <v>1087</v>
      </c>
      <c r="X199" t="s">
        <v>1091</v>
      </c>
      <c r="Y199">
        <f t="shared" si="24"/>
        <v>0</v>
      </c>
      <c r="Z199" t="s">
        <v>1108</v>
      </c>
      <c r="AA199" t="str">
        <f t="shared" si="25"/>
        <v>Low</v>
      </c>
      <c r="AB199" t="s">
        <v>1103</v>
      </c>
      <c r="AC199" t="str">
        <f t="shared" si="26"/>
        <v>Yes</v>
      </c>
      <c r="AD199">
        <v>4</v>
      </c>
      <c r="AE199">
        <v>338232</v>
      </c>
      <c r="AF199">
        <v>135292.80000000002</v>
      </c>
      <c r="AG199">
        <f t="shared" si="27"/>
        <v>202664.09999999998</v>
      </c>
    </row>
    <row r="200" spans="1:33" x14ac:dyDescent="0.25">
      <c r="A200">
        <v>1199</v>
      </c>
      <c r="B200" s="1">
        <v>45071</v>
      </c>
      <c r="C200" s="1">
        <v>45072</v>
      </c>
      <c r="D200" s="1">
        <v>45076</v>
      </c>
      <c r="E200" t="s">
        <v>1066</v>
      </c>
      <c r="F200" t="s">
        <v>228</v>
      </c>
      <c r="G200" t="s">
        <v>1072</v>
      </c>
      <c r="H200" t="str">
        <f t="shared" si="21"/>
        <v>Electronics</v>
      </c>
      <c r="I200">
        <v>9</v>
      </c>
      <c r="J200" t="str">
        <f>VLOOKUP(K200,$AJ$2:$AK$7,2,FALSE)</f>
        <v>S003</v>
      </c>
      <c r="K200" t="s">
        <v>1099</v>
      </c>
      <c r="L200">
        <v>3.6</v>
      </c>
      <c r="M200" t="str">
        <f>IFERROR(VLOOKUP(TRIM(N200),$AP$2:$AQ$12,2,FALSE),"W001")</f>
        <v>W003</v>
      </c>
      <c r="N200" t="s">
        <v>1051</v>
      </c>
      <c r="O200" t="s">
        <v>1062</v>
      </c>
      <c r="P200" t="str">
        <f>VLOOKUP(O200,$AL$2:$AM$12,2,FALSE)</f>
        <v>North</v>
      </c>
      <c r="Q200" t="s">
        <v>1082</v>
      </c>
      <c r="R200">
        <v>1743</v>
      </c>
      <c r="S200" t="s">
        <v>1078</v>
      </c>
      <c r="T200">
        <f t="shared" si="22"/>
        <v>4</v>
      </c>
      <c r="U200">
        <v>697.2</v>
      </c>
      <c r="V200">
        <f t="shared" si="23"/>
        <v>8</v>
      </c>
      <c r="W200" t="s">
        <v>1086</v>
      </c>
      <c r="X200" t="s">
        <v>1090</v>
      </c>
      <c r="Y200">
        <f t="shared" si="24"/>
        <v>697.2</v>
      </c>
      <c r="Z200" t="s">
        <v>1109</v>
      </c>
      <c r="AA200" t="str">
        <f t="shared" si="25"/>
        <v>High</v>
      </c>
      <c r="AB200" t="s">
        <v>1103</v>
      </c>
      <c r="AC200" t="str">
        <f t="shared" si="26"/>
        <v>No</v>
      </c>
      <c r="AD200">
        <v>3</v>
      </c>
      <c r="AE200">
        <v>132552</v>
      </c>
      <c r="AF200">
        <v>53020.800000000003</v>
      </c>
      <c r="AG200">
        <f t="shared" si="27"/>
        <v>78834</v>
      </c>
    </row>
    <row r="201" spans="1:33" x14ac:dyDescent="0.25">
      <c r="A201">
        <v>1200</v>
      </c>
      <c r="B201" s="1">
        <v>46219</v>
      </c>
      <c r="C201" s="1">
        <v>46221</v>
      </c>
      <c r="D201" s="1">
        <v>46223</v>
      </c>
      <c r="E201" t="s">
        <v>1065</v>
      </c>
      <c r="F201" t="s">
        <v>229</v>
      </c>
      <c r="G201" t="s">
        <v>1071</v>
      </c>
      <c r="H201" t="str">
        <f t="shared" si="21"/>
        <v>Clothing</v>
      </c>
      <c r="I201">
        <v>9</v>
      </c>
      <c r="J201" t="str">
        <f>VLOOKUP(K201,$AJ$2:$AK$7,2,FALSE)</f>
        <v>S002</v>
      </c>
      <c r="K201" t="s">
        <v>1098</v>
      </c>
      <c r="L201">
        <v>3.4</v>
      </c>
      <c r="M201" t="str">
        <f>IFERROR(VLOOKUP(TRIM(N201),$AP$2:$AQ$12,2,FALSE),"W001")</f>
        <v>W009</v>
      </c>
      <c r="N201" t="s">
        <v>1060</v>
      </c>
      <c r="O201" t="s">
        <v>1051</v>
      </c>
      <c r="P201" t="str">
        <f>VLOOKUP(O201,$AL$2:$AM$12,2,FALSE)</f>
        <v>West</v>
      </c>
      <c r="Q201" t="s">
        <v>1083</v>
      </c>
      <c r="R201">
        <v>1426</v>
      </c>
      <c r="S201" t="s">
        <v>1078</v>
      </c>
      <c r="T201">
        <f t="shared" si="22"/>
        <v>3</v>
      </c>
      <c r="U201">
        <v>713</v>
      </c>
      <c r="V201">
        <f t="shared" si="23"/>
        <v>10</v>
      </c>
      <c r="W201" t="s">
        <v>1088</v>
      </c>
      <c r="X201" t="s">
        <v>1091</v>
      </c>
      <c r="Y201">
        <f t="shared" si="24"/>
        <v>0</v>
      </c>
      <c r="Z201" t="s">
        <v>1108</v>
      </c>
      <c r="AA201" t="str">
        <f t="shared" si="25"/>
        <v>Medium</v>
      </c>
      <c r="AB201" t="s">
        <v>1104</v>
      </c>
      <c r="AC201" t="str">
        <f t="shared" si="26"/>
        <v>Yes</v>
      </c>
      <c r="AD201">
        <v>2</v>
      </c>
      <c r="AE201">
        <v>17154</v>
      </c>
      <c r="AF201">
        <v>6861.6</v>
      </c>
      <c r="AG201">
        <f t="shared" si="27"/>
        <v>9579.4</v>
      </c>
    </row>
    <row r="202" spans="1:33" x14ac:dyDescent="0.25">
      <c r="A202">
        <v>1201</v>
      </c>
      <c r="B202" s="1">
        <v>45702</v>
      </c>
      <c r="C202" s="1">
        <v>45703</v>
      </c>
      <c r="D202" s="1">
        <v>45709</v>
      </c>
      <c r="E202" t="s">
        <v>1065</v>
      </c>
      <c r="F202" t="s">
        <v>230</v>
      </c>
      <c r="G202" t="s">
        <v>1071</v>
      </c>
      <c r="H202" t="str">
        <f t="shared" si="21"/>
        <v>Clothing</v>
      </c>
      <c r="I202">
        <v>10</v>
      </c>
      <c r="J202" t="str">
        <f>VLOOKUP(K202,$AJ$2:$AK$7,2,FALSE)</f>
        <v>S005</v>
      </c>
      <c r="K202" t="s">
        <v>1101</v>
      </c>
      <c r="L202">
        <v>3.9</v>
      </c>
      <c r="M202" t="str">
        <f>IFERROR(VLOOKUP(TRIM(N202),$AP$2:$AQ$12,2,FALSE),"W001")</f>
        <v>W010</v>
      </c>
      <c r="N202" t="s">
        <v>1063</v>
      </c>
      <c r="O202" t="s">
        <v>1059</v>
      </c>
      <c r="P202" t="str">
        <f>VLOOKUP(O202,$AL$2:$AM$12,2,FALSE)</f>
        <v>North</v>
      </c>
      <c r="Q202" t="s">
        <v>1081</v>
      </c>
      <c r="R202">
        <v>101</v>
      </c>
      <c r="S202" t="s">
        <v>1079</v>
      </c>
      <c r="T202">
        <f t="shared" si="22"/>
        <v>1</v>
      </c>
      <c r="U202">
        <v>20.2</v>
      </c>
      <c r="V202">
        <f t="shared" si="23"/>
        <v>5</v>
      </c>
      <c r="W202" t="s">
        <v>1087</v>
      </c>
      <c r="X202" t="s">
        <v>1091</v>
      </c>
      <c r="Y202">
        <f t="shared" si="24"/>
        <v>0</v>
      </c>
      <c r="Z202" t="s">
        <v>1108</v>
      </c>
      <c r="AA202" t="str">
        <f t="shared" si="25"/>
        <v>Low</v>
      </c>
      <c r="AB202" t="s">
        <v>1103</v>
      </c>
      <c r="AC202" t="str">
        <f t="shared" si="26"/>
        <v>Yes</v>
      </c>
      <c r="AD202">
        <v>5</v>
      </c>
      <c r="AE202">
        <v>29790</v>
      </c>
      <c r="AF202">
        <v>11916</v>
      </c>
      <c r="AG202">
        <f t="shared" si="27"/>
        <v>17853.8</v>
      </c>
    </row>
    <row r="203" spans="1:33" x14ac:dyDescent="0.25">
      <c r="A203">
        <v>1202</v>
      </c>
      <c r="B203" s="1">
        <v>44979</v>
      </c>
      <c r="C203" s="1">
        <v>44980</v>
      </c>
      <c r="D203" s="1">
        <v>44985</v>
      </c>
      <c r="E203" t="s">
        <v>1066</v>
      </c>
      <c r="F203" t="s">
        <v>231</v>
      </c>
      <c r="G203" t="s">
        <v>1068</v>
      </c>
      <c r="H203" t="str">
        <f t="shared" si="21"/>
        <v>Electronics</v>
      </c>
      <c r="I203">
        <v>5</v>
      </c>
      <c r="J203" t="str">
        <f>VLOOKUP(K203,$AJ$2:$AK$7,2,FALSE)</f>
        <v>S005</v>
      </c>
      <c r="K203" t="s">
        <v>1101</v>
      </c>
      <c r="L203">
        <v>4.3</v>
      </c>
      <c r="M203" t="str">
        <f>IFERROR(VLOOKUP(TRIM(N203),$AP$2:$AQ$12,2,FALSE),"W001")</f>
        <v>W010</v>
      </c>
      <c r="N203" t="s">
        <v>1063</v>
      </c>
      <c r="O203" t="s">
        <v>1053</v>
      </c>
      <c r="P203" t="str">
        <f>VLOOKUP(O203,$AL$2:$AM$12,2,FALSE)</f>
        <v>South</v>
      </c>
      <c r="Q203" t="s">
        <v>1081</v>
      </c>
      <c r="R203">
        <v>1454</v>
      </c>
      <c r="S203" t="s">
        <v>1078</v>
      </c>
      <c r="T203">
        <f t="shared" si="22"/>
        <v>7</v>
      </c>
      <c r="U203">
        <v>290.8</v>
      </c>
      <c r="V203">
        <f t="shared" si="23"/>
        <v>5</v>
      </c>
      <c r="W203" t="s">
        <v>1086</v>
      </c>
      <c r="X203" t="s">
        <v>1091</v>
      </c>
      <c r="Y203">
        <f t="shared" si="24"/>
        <v>290.8</v>
      </c>
      <c r="Z203" t="s">
        <v>1108</v>
      </c>
      <c r="AA203" t="str">
        <f t="shared" si="25"/>
        <v>Low</v>
      </c>
      <c r="AB203" t="s">
        <v>1103</v>
      </c>
      <c r="AC203" t="str">
        <f t="shared" si="26"/>
        <v>Yes</v>
      </c>
      <c r="AD203">
        <v>4</v>
      </c>
      <c r="AE203">
        <v>242320</v>
      </c>
      <c r="AF203">
        <v>96928</v>
      </c>
      <c r="AG203">
        <f t="shared" si="27"/>
        <v>145101.20000000001</v>
      </c>
    </row>
    <row r="204" spans="1:33" x14ac:dyDescent="0.25">
      <c r="A204">
        <v>1203</v>
      </c>
      <c r="B204" s="1">
        <v>46265</v>
      </c>
      <c r="C204" s="1">
        <v>46268</v>
      </c>
      <c r="D204" s="1">
        <v>46274</v>
      </c>
      <c r="E204" t="s">
        <v>1064</v>
      </c>
      <c r="F204" t="s">
        <v>232</v>
      </c>
      <c r="G204" t="s">
        <v>1067</v>
      </c>
      <c r="H204" t="str">
        <f t="shared" si="21"/>
        <v>Clothing</v>
      </c>
      <c r="I204">
        <v>1</v>
      </c>
      <c r="J204" t="str">
        <f>VLOOKUP(K204,$AJ$2:$AK$7,2,FALSE)</f>
        <v>S005</v>
      </c>
      <c r="K204" t="s">
        <v>1101</v>
      </c>
      <c r="L204">
        <v>4.0999999999999996</v>
      </c>
      <c r="M204" t="str">
        <f>IFERROR(VLOOKUP(TRIM(N204),$AP$2:$AQ$12,2,FALSE),"W001")</f>
        <v>W004</v>
      </c>
      <c r="N204" t="s">
        <v>1053</v>
      </c>
      <c r="O204" t="s">
        <v>1049</v>
      </c>
      <c r="P204" t="str">
        <f>VLOOKUP(O204,$AL$2:$AM$12,2,FALSE)</f>
        <v>North</v>
      </c>
      <c r="Q204" t="s">
        <v>1083</v>
      </c>
      <c r="R204">
        <v>752</v>
      </c>
      <c r="S204" t="s">
        <v>1066</v>
      </c>
      <c r="T204">
        <f t="shared" si="22"/>
        <v>2</v>
      </c>
      <c r="U204">
        <v>376</v>
      </c>
      <c r="V204">
        <f t="shared" si="23"/>
        <v>10</v>
      </c>
      <c r="W204" t="s">
        <v>1087</v>
      </c>
      <c r="X204" t="s">
        <v>1089</v>
      </c>
      <c r="Y204">
        <f t="shared" si="24"/>
        <v>0</v>
      </c>
      <c r="Z204" t="s">
        <v>1108</v>
      </c>
      <c r="AA204" t="str">
        <f t="shared" si="25"/>
        <v>Medium</v>
      </c>
      <c r="AB204" t="s">
        <v>1104</v>
      </c>
      <c r="AC204" t="str">
        <f t="shared" si="26"/>
        <v>Yes</v>
      </c>
      <c r="AD204">
        <v>1</v>
      </c>
      <c r="AE204">
        <v>1276</v>
      </c>
      <c r="AF204">
        <v>510.40000000000003</v>
      </c>
      <c r="AG204">
        <f t="shared" si="27"/>
        <v>389.59999999999991</v>
      </c>
    </row>
    <row r="205" spans="1:33" x14ac:dyDescent="0.25">
      <c r="A205">
        <v>1204</v>
      </c>
      <c r="B205" s="1">
        <v>44254</v>
      </c>
      <c r="C205" s="1">
        <v>44255</v>
      </c>
      <c r="D205" s="1">
        <v>44261</v>
      </c>
      <c r="E205" t="s">
        <v>1064</v>
      </c>
      <c r="F205" t="s">
        <v>233</v>
      </c>
      <c r="G205" t="s">
        <v>1070</v>
      </c>
      <c r="H205" t="str">
        <f t="shared" si="21"/>
        <v>Furniture</v>
      </c>
      <c r="I205">
        <v>7</v>
      </c>
      <c r="J205" t="str">
        <f>VLOOKUP(K205,$AJ$2:$AK$7,2,FALSE)</f>
        <v>S002</v>
      </c>
      <c r="K205" t="s">
        <v>1098</v>
      </c>
      <c r="L205">
        <v>4.5999999999999996</v>
      </c>
      <c r="M205" t="str">
        <f>IFERROR(VLOOKUP(TRIM(N205),$AP$2:$AQ$12,2,FALSE),"W001")</f>
        <v>W007</v>
      </c>
      <c r="N205" t="s">
        <v>1062</v>
      </c>
      <c r="O205" t="s">
        <v>1055</v>
      </c>
      <c r="P205" t="str">
        <f>VLOOKUP(O205,$AL$2:$AM$12,2,FALSE)</f>
        <v>South</v>
      </c>
      <c r="Q205" t="s">
        <v>1080</v>
      </c>
      <c r="R205">
        <v>1822</v>
      </c>
      <c r="S205" t="s">
        <v>1078</v>
      </c>
      <c r="T205">
        <f t="shared" si="22"/>
        <v>8</v>
      </c>
      <c r="U205">
        <v>273.3</v>
      </c>
      <c r="V205">
        <f t="shared" si="23"/>
        <v>4</v>
      </c>
      <c r="W205" t="s">
        <v>1086</v>
      </c>
      <c r="X205" t="s">
        <v>1091</v>
      </c>
      <c r="Y205">
        <f t="shared" si="24"/>
        <v>273.3</v>
      </c>
      <c r="Z205" t="s">
        <v>1108</v>
      </c>
      <c r="AA205" t="str">
        <f t="shared" si="25"/>
        <v>Low</v>
      </c>
      <c r="AB205" t="s">
        <v>1103</v>
      </c>
      <c r="AC205" t="str">
        <f t="shared" si="26"/>
        <v>Yes</v>
      </c>
      <c r="AD205">
        <v>4</v>
      </c>
      <c r="AE205">
        <v>50204</v>
      </c>
      <c r="AF205">
        <v>20081.600000000002</v>
      </c>
      <c r="AG205">
        <f t="shared" si="27"/>
        <v>29849.1</v>
      </c>
    </row>
    <row r="206" spans="1:33" x14ac:dyDescent="0.25">
      <c r="A206">
        <v>1205</v>
      </c>
      <c r="B206" s="1">
        <v>44915</v>
      </c>
      <c r="C206" s="1">
        <v>44917</v>
      </c>
      <c r="D206" s="1">
        <v>44921</v>
      </c>
      <c r="E206" t="s">
        <v>1064</v>
      </c>
      <c r="F206" t="s">
        <v>234</v>
      </c>
      <c r="G206" t="s">
        <v>1068</v>
      </c>
      <c r="H206" t="str">
        <f t="shared" si="21"/>
        <v>Electronics</v>
      </c>
      <c r="I206">
        <v>1</v>
      </c>
      <c r="J206" t="str">
        <f>VLOOKUP(K206,$AJ$2:$AK$7,2,FALSE)</f>
        <v>S003</v>
      </c>
      <c r="K206" t="s">
        <v>1099</v>
      </c>
      <c r="L206">
        <v>3.7</v>
      </c>
      <c r="M206" t="str">
        <f>IFERROR(VLOOKUP(TRIM(N206),$AP$2:$AQ$12,2,FALSE),"W001")</f>
        <v>W010</v>
      </c>
      <c r="N206" t="s">
        <v>1063</v>
      </c>
      <c r="O206" t="s">
        <v>1049</v>
      </c>
      <c r="P206" t="str">
        <f>VLOOKUP(O206,$AL$2:$AM$12,2,FALSE)</f>
        <v>North</v>
      </c>
      <c r="Q206" t="s">
        <v>1083</v>
      </c>
      <c r="R206">
        <v>292</v>
      </c>
      <c r="S206" t="s">
        <v>1066</v>
      </c>
      <c r="T206">
        <f t="shared" si="22"/>
        <v>1</v>
      </c>
      <c r="U206">
        <v>146</v>
      </c>
      <c r="V206">
        <f t="shared" si="23"/>
        <v>10</v>
      </c>
      <c r="W206" t="s">
        <v>1087</v>
      </c>
      <c r="X206" t="s">
        <v>1091</v>
      </c>
      <c r="Y206">
        <f t="shared" si="24"/>
        <v>0</v>
      </c>
      <c r="Z206" t="s">
        <v>1108</v>
      </c>
      <c r="AA206" t="str">
        <f t="shared" si="25"/>
        <v>Medium</v>
      </c>
      <c r="AB206" t="s">
        <v>1103</v>
      </c>
      <c r="AC206" t="str">
        <f t="shared" si="26"/>
        <v>Yes</v>
      </c>
      <c r="AD206">
        <v>5</v>
      </c>
      <c r="AE206">
        <v>54509</v>
      </c>
      <c r="AF206">
        <v>21803.600000000002</v>
      </c>
      <c r="AG206">
        <f t="shared" si="27"/>
        <v>32559.399999999998</v>
      </c>
    </row>
    <row r="207" spans="1:33" x14ac:dyDescent="0.25">
      <c r="A207">
        <v>1206</v>
      </c>
      <c r="B207" s="1">
        <v>45990</v>
      </c>
      <c r="C207" s="1">
        <v>45992</v>
      </c>
      <c r="D207" s="1">
        <v>45996</v>
      </c>
      <c r="E207" t="s">
        <v>1064</v>
      </c>
      <c r="F207" t="s">
        <v>235</v>
      </c>
      <c r="G207" t="s">
        <v>1067</v>
      </c>
      <c r="H207" t="str">
        <f t="shared" si="21"/>
        <v>Clothing</v>
      </c>
      <c r="I207">
        <v>6</v>
      </c>
      <c r="J207" t="str">
        <f>VLOOKUP(K207,$AJ$2:$AK$7,2,FALSE)</f>
        <v>S003</v>
      </c>
      <c r="K207" t="s">
        <v>1099</v>
      </c>
      <c r="L207">
        <v>3.1</v>
      </c>
      <c r="M207" t="str">
        <f>IFERROR(VLOOKUP(TRIM(N207),$AP$2:$AQ$12,2,FALSE),"W001")</f>
        <v>W007</v>
      </c>
      <c r="N207" t="s">
        <v>1062</v>
      </c>
      <c r="O207" t="s">
        <v>1060</v>
      </c>
      <c r="P207" t="str">
        <f>VLOOKUP(O207,$AL$2:$AM$12,2,FALSE)</f>
        <v>North</v>
      </c>
      <c r="Q207" t="s">
        <v>1080</v>
      </c>
      <c r="R207">
        <v>1991</v>
      </c>
      <c r="S207" t="s">
        <v>1078</v>
      </c>
      <c r="T207">
        <f t="shared" si="22"/>
        <v>9</v>
      </c>
      <c r="U207">
        <v>298.64999999999998</v>
      </c>
      <c r="V207">
        <f t="shared" si="23"/>
        <v>4</v>
      </c>
      <c r="W207" t="s">
        <v>1086</v>
      </c>
      <c r="X207" t="s">
        <v>1089</v>
      </c>
      <c r="Y207">
        <f t="shared" si="24"/>
        <v>298.64999999999998</v>
      </c>
      <c r="Z207" t="s">
        <v>1109</v>
      </c>
      <c r="AA207" t="str">
        <f t="shared" si="25"/>
        <v>High</v>
      </c>
      <c r="AB207" t="s">
        <v>1104</v>
      </c>
      <c r="AC207" t="str">
        <f t="shared" si="26"/>
        <v>No</v>
      </c>
      <c r="AD207">
        <v>1</v>
      </c>
      <c r="AE207">
        <v>5238</v>
      </c>
      <c r="AF207">
        <v>2095.2000000000003</v>
      </c>
      <c r="AG207">
        <f t="shared" si="27"/>
        <v>2844.1499999999996</v>
      </c>
    </row>
    <row r="208" spans="1:33" x14ac:dyDescent="0.25">
      <c r="A208">
        <v>1207</v>
      </c>
      <c r="B208" s="1">
        <v>46204</v>
      </c>
      <c r="C208" s="1">
        <v>46207</v>
      </c>
      <c r="D208" s="1">
        <v>46214</v>
      </c>
      <c r="E208" t="s">
        <v>1064</v>
      </c>
      <c r="F208" t="s">
        <v>236</v>
      </c>
      <c r="G208" t="s">
        <v>1071</v>
      </c>
      <c r="H208" t="str">
        <f t="shared" si="21"/>
        <v>Clothing</v>
      </c>
      <c r="I208">
        <v>10</v>
      </c>
      <c r="J208" t="str">
        <f>VLOOKUP(K208,$AJ$2:$AK$7,2,FALSE)</f>
        <v>S005</v>
      </c>
      <c r="K208" t="s">
        <v>1101</v>
      </c>
      <c r="L208">
        <v>5</v>
      </c>
      <c r="M208" t="str">
        <f>IFERROR(VLOOKUP(TRIM(N208),$AP$2:$AQ$12,2,FALSE),"W001")</f>
        <v>W008</v>
      </c>
      <c r="N208" t="s">
        <v>1061</v>
      </c>
      <c r="O208" t="s">
        <v>1049</v>
      </c>
      <c r="P208" t="str">
        <f>VLOOKUP(O208,$AL$2:$AM$12,2,FALSE)</f>
        <v>North</v>
      </c>
      <c r="Q208" t="s">
        <v>1081</v>
      </c>
      <c r="R208">
        <v>1850</v>
      </c>
      <c r="S208" t="s">
        <v>1078</v>
      </c>
      <c r="T208">
        <f t="shared" si="22"/>
        <v>8</v>
      </c>
      <c r="U208">
        <v>370</v>
      </c>
      <c r="V208">
        <f t="shared" si="23"/>
        <v>5</v>
      </c>
      <c r="W208" t="s">
        <v>1087</v>
      </c>
      <c r="X208" t="s">
        <v>1090</v>
      </c>
      <c r="Y208">
        <f t="shared" si="24"/>
        <v>0</v>
      </c>
      <c r="Z208" t="s">
        <v>1109</v>
      </c>
      <c r="AA208" t="str">
        <f t="shared" si="25"/>
        <v>High</v>
      </c>
      <c r="AB208" t="s">
        <v>1103</v>
      </c>
      <c r="AC208" t="str">
        <f t="shared" si="26"/>
        <v>No</v>
      </c>
      <c r="AD208">
        <v>3</v>
      </c>
      <c r="AE208">
        <v>23630</v>
      </c>
      <c r="AF208">
        <v>9452</v>
      </c>
      <c r="AG208">
        <f t="shared" si="27"/>
        <v>13808</v>
      </c>
    </row>
    <row r="209" spans="1:33" x14ac:dyDescent="0.25">
      <c r="A209">
        <v>1208</v>
      </c>
      <c r="B209" s="1">
        <v>45423</v>
      </c>
      <c r="C209" s="1">
        <v>45425</v>
      </c>
      <c r="D209" s="1">
        <v>45431</v>
      </c>
      <c r="E209" t="s">
        <v>1066</v>
      </c>
      <c r="F209" t="s">
        <v>237</v>
      </c>
      <c r="G209" t="s">
        <v>1070</v>
      </c>
      <c r="H209" t="str">
        <f t="shared" si="21"/>
        <v>Furniture</v>
      </c>
      <c r="I209">
        <v>8</v>
      </c>
      <c r="J209" t="str">
        <f>VLOOKUP(K209,$AJ$2:$AK$7,2,FALSE)</f>
        <v>S005</v>
      </c>
      <c r="K209" t="s">
        <v>1101</v>
      </c>
      <c r="L209">
        <v>4.3</v>
      </c>
      <c r="M209" t="str">
        <f>IFERROR(VLOOKUP(TRIM(N209),$AP$2:$AQ$12,2,FALSE),"W001")</f>
        <v>W011</v>
      </c>
      <c r="N209" t="s">
        <v>1059</v>
      </c>
      <c r="O209" t="s">
        <v>1061</v>
      </c>
      <c r="P209" t="str">
        <f>VLOOKUP(O209,$AL$2:$AM$12,2,FALSE)</f>
        <v>West</v>
      </c>
      <c r="Q209" t="s">
        <v>1080</v>
      </c>
      <c r="R209">
        <v>1493</v>
      </c>
      <c r="S209" t="s">
        <v>1078</v>
      </c>
      <c r="T209">
        <f t="shared" si="22"/>
        <v>7</v>
      </c>
      <c r="U209">
        <v>223.95</v>
      </c>
      <c r="V209">
        <f t="shared" si="23"/>
        <v>4</v>
      </c>
      <c r="W209" t="s">
        <v>1088</v>
      </c>
      <c r="X209" t="s">
        <v>1091</v>
      </c>
      <c r="Y209">
        <f t="shared" si="24"/>
        <v>0</v>
      </c>
      <c r="Z209" t="s">
        <v>1108</v>
      </c>
      <c r="AA209" t="str">
        <f t="shared" si="25"/>
        <v>Low</v>
      </c>
      <c r="AB209" t="s">
        <v>1103</v>
      </c>
      <c r="AC209" t="str">
        <f t="shared" si="26"/>
        <v>Yes</v>
      </c>
      <c r="AD209">
        <v>5</v>
      </c>
      <c r="AE209">
        <v>32120</v>
      </c>
      <c r="AF209">
        <v>12848</v>
      </c>
      <c r="AG209">
        <f t="shared" si="27"/>
        <v>19048.05</v>
      </c>
    </row>
    <row r="210" spans="1:33" x14ac:dyDescent="0.25">
      <c r="A210">
        <v>1209</v>
      </c>
      <c r="B210" s="1">
        <v>46008</v>
      </c>
      <c r="C210" s="1">
        <v>46009</v>
      </c>
      <c r="D210" s="1">
        <v>46015</v>
      </c>
      <c r="E210" t="s">
        <v>1065</v>
      </c>
      <c r="F210" t="s">
        <v>238</v>
      </c>
      <c r="G210" t="s">
        <v>1070</v>
      </c>
      <c r="H210" t="str">
        <f t="shared" si="21"/>
        <v>Furniture</v>
      </c>
      <c r="I210">
        <v>6</v>
      </c>
      <c r="J210" t="str">
        <f>VLOOKUP(K210,$AJ$2:$AK$7,2,FALSE)</f>
        <v>S004</v>
      </c>
      <c r="K210" t="s">
        <v>1100</v>
      </c>
      <c r="L210">
        <v>3.7</v>
      </c>
      <c r="M210" t="str">
        <f>IFERROR(VLOOKUP(TRIM(N210),$AP$2:$AQ$12,2,FALSE),"W001")</f>
        <v>W003</v>
      </c>
      <c r="N210" t="s">
        <v>1051</v>
      </c>
      <c r="O210" t="s">
        <v>1047</v>
      </c>
      <c r="P210" t="str">
        <f>VLOOKUP(O210,$AL$2:$AM$12,2,FALSE)</f>
        <v>West</v>
      </c>
      <c r="Q210" t="s">
        <v>1085</v>
      </c>
      <c r="R210">
        <v>1311</v>
      </c>
      <c r="S210" t="s">
        <v>1078</v>
      </c>
      <c r="T210">
        <f t="shared" si="22"/>
        <v>10</v>
      </c>
      <c r="U210">
        <v>131.1</v>
      </c>
      <c r="V210">
        <f t="shared" si="23"/>
        <v>3</v>
      </c>
      <c r="W210" t="s">
        <v>1086</v>
      </c>
      <c r="X210" t="s">
        <v>1091</v>
      </c>
      <c r="Y210">
        <f t="shared" si="24"/>
        <v>131.1</v>
      </c>
      <c r="Z210" t="s">
        <v>1108</v>
      </c>
      <c r="AA210" t="str">
        <f t="shared" si="25"/>
        <v>Low</v>
      </c>
      <c r="AB210" t="s">
        <v>1103</v>
      </c>
      <c r="AC210" t="str">
        <f t="shared" si="26"/>
        <v>Yes</v>
      </c>
      <c r="AD210">
        <v>5</v>
      </c>
      <c r="AE210">
        <v>28182</v>
      </c>
      <c r="AF210">
        <v>11272.800000000001</v>
      </c>
      <c r="AG210">
        <f t="shared" si="27"/>
        <v>16778.099999999999</v>
      </c>
    </row>
    <row r="211" spans="1:33" x14ac:dyDescent="0.25">
      <c r="A211">
        <v>1210</v>
      </c>
      <c r="B211" s="1">
        <v>44270</v>
      </c>
      <c r="C211" s="1">
        <v>44272</v>
      </c>
      <c r="D211" s="1">
        <v>44276</v>
      </c>
      <c r="E211" t="s">
        <v>1065</v>
      </c>
      <c r="F211" t="s">
        <v>239</v>
      </c>
      <c r="G211" t="s">
        <v>1069</v>
      </c>
      <c r="H211" t="str">
        <f t="shared" si="21"/>
        <v>Furniture</v>
      </c>
      <c r="I211">
        <v>8</v>
      </c>
      <c r="J211" t="str">
        <f>VLOOKUP(K211,$AJ$2:$AK$7,2,FALSE)</f>
        <v>S004</v>
      </c>
      <c r="K211" t="s">
        <v>1100</v>
      </c>
      <c r="L211">
        <v>3.8</v>
      </c>
      <c r="M211" t="str">
        <f>IFERROR(VLOOKUP(TRIM(N211),$AP$2:$AQ$12,2,FALSE),"W001")</f>
        <v>W007</v>
      </c>
      <c r="N211" t="s">
        <v>1062</v>
      </c>
      <c r="O211" t="s">
        <v>1062</v>
      </c>
      <c r="P211" t="str">
        <f>VLOOKUP(O211,$AL$2:$AM$12,2,FALSE)</f>
        <v>North</v>
      </c>
      <c r="Q211" t="s">
        <v>1082</v>
      </c>
      <c r="R211">
        <v>41</v>
      </c>
      <c r="S211" t="s">
        <v>1079</v>
      </c>
      <c r="T211">
        <f t="shared" si="22"/>
        <v>1</v>
      </c>
      <c r="U211">
        <v>16.399999999999999</v>
      </c>
      <c r="V211">
        <f t="shared" si="23"/>
        <v>8</v>
      </c>
      <c r="W211" t="s">
        <v>1087</v>
      </c>
      <c r="X211" t="s">
        <v>1091</v>
      </c>
      <c r="Y211">
        <f t="shared" si="24"/>
        <v>0</v>
      </c>
      <c r="Z211" t="s">
        <v>1108</v>
      </c>
      <c r="AA211" t="str">
        <f t="shared" si="25"/>
        <v>Medium</v>
      </c>
      <c r="AB211" t="s">
        <v>1104</v>
      </c>
      <c r="AC211" t="str">
        <f t="shared" si="26"/>
        <v>Yes</v>
      </c>
      <c r="AD211">
        <v>1</v>
      </c>
      <c r="AE211">
        <v>78376</v>
      </c>
      <c r="AF211">
        <v>31350.400000000001</v>
      </c>
      <c r="AG211">
        <f t="shared" si="27"/>
        <v>47009.2</v>
      </c>
    </row>
    <row r="212" spans="1:33" x14ac:dyDescent="0.25">
      <c r="A212">
        <v>1211</v>
      </c>
      <c r="B212" s="1">
        <v>46276</v>
      </c>
      <c r="C212" s="1">
        <v>46278</v>
      </c>
      <c r="D212" s="1">
        <v>46283</v>
      </c>
      <c r="E212" t="s">
        <v>1064</v>
      </c>
      <c r="F212" t="s">
        <v>240</v>
      </c>
      <c r="G212" t="s">
        <v>1067</v>
      </c>
      <c r="H212" t="str">
        <f t="shared" si="21"/>
        <v>Clothing</v>
      </c>
      <c r="I212">
        <v>4</v>
      </c>
      <c r="J212" t="str">
        <f>VLOOKUP(K212,$AJ$2:$AK$7,2,FALSE)</f>
        <v>S001</v>
      </c>
      <c r="K212" t="s">
        <v>1097</v>
      </c>
      <c r="L212">
        <v>4.9000000000000004</v>
      </c>
      <c r="M212" t="str">
        <f>IFERROR(VLOOKUP(TRIM(N212),$AP$2:$AQ$12,2,FALSE),"W001")</f>
        <v>W007</v>
      </c>
      <c r="N212" t="s">
        <v>1062</v>
      </c>
      <c r="O212" t="s">
        <v>1060</v>
      </c>
      <c r="P212" t="str">
        <f>VLOOKUP(O212,$AL$2:$AM$12,2,FALSE)</f>
        <v>North</v>
      </c>
      <c r="Q212" t="s">
        <v>1081</v>
      </c>
      <c r="R212">
        <v>1200</v>
      </c>
      <c r="S212" t="s">
        <v>1078</v>
      </c>
      <c r="T212">
        <f t="shared" si="22"/>
        <v>6</v>
      </c>
      <c r="U212">
        <v>240</v>
      </c>
      <c r="V212">
        <f t="shared" si="23"/>
        <v>5</v>
      </c>
      <c r="W212" t="s">
        <v>1088</v>
      </c>
      <c r="X212" t="s">
        <v>1091</v>
      </c>
      <c r="Y212">
        <f t="shared" si="24"/>
        <v>0</v>
      </c>
      <c r="Z212" t="s">
        <v>1108</v>
      </c>
      <c r="AA212" t="str">
        <f t="shared" si="25"/>
        <v>Low</v>
      </c>
      <c r="AB212" t="s">
        <v>1103</v>
      </c>
      <c r="AC212" t="str">
        <f t="shared" si="26"/>
        <v>Yes</v>
      </c>
      <c r="AD212">
        <v>5</v>
      </c>
      <c r="AE212">
        <v>3136</v>
      </c>
      <c r="AF212">
        <v>1254.4000000000001</v>
      </c>
      <c r="AG212">
        <f t="shared" si="27"/>
        <v>1641.6</v>
      </c>
    </row>
    <row r="213" spans="1:33" x14ac:dyDescent="0.25">
      <c r="A213">
        <v>1212</v>
      </c>
      <c r="B213" s="1">
        <v>44464</v>
      </c>
      <c r="C213" s="1">
        <v>44466</v>
      </c>
      <c r="D213" s="1">
        <v>44471</v>
      </c>
      <c r="E213" t="s">
        <v>1064</v>
      </c>
      <c r="F213" t="s">
        <v>241</v>
      </c>
      <c r="G213" t="s">
        <v>1069</v>
      </c>
      <c r="H213" t="str">
        <f t="shared" si="21"/>
        <v>Furniture</v>
      </c>
      <c r="I213">
        <v>5</v>
      </c>
      <c r="J213" t="str">
        <f>VLOOKUP(K213,$AJ$2:$AK$7,2,FALSE)</f>
        <v>S001</v>
      </c>
      <c r="K213" t="s">
        <v>1097</v>
      </c>
      <c r="L213">
        <v>4.3</v>
      </c>
      <c r="M213" t="str">
        <f>IFERROR(VLOOKUP(TRIM(N213),$AP$2:$AQ$12,2,FALSE),"W001")</f>
        <v>W004</v>
      </c>
      <c r="N213" t="s">
        <v>1053</v>
      </c>
      <c r="O213" t="s">
        <v>1061</v>
      </c>
      <c r="P213" t="str">
        <f>VLOOKUP(O213,$AL$2:$AM$12,2,FALSE)</f>
        <v>West</v>
      </c>
      <c r="Q213" t="s">
        <v>1085</v>
      </c>
      <c r="R213">
        <v>701</v>
      </c>
      <c r="S213" t="s">
        <v>1066</v>
      </c>
      <c r="T213">
        <f t="shared" si="22"/>
        <v>7</v>
      </c>
      <c r="U213">
        <v>70.099999999999994</v>
      </c>
      <c r="V213">
        <f t="shared" si="23"/>
        <v>3</v>
      </c>
      <c r="W213" t="s">
        <v>1086</v>
      </c>
      <c r="X213" t="s">
        <v>1091</v>
      </c>
      <c r="Y213">
        <f t="shared" si="24"/>
        <v>70.099999999999994</v>
      </c>
      <c r="Z213" t="s">
        <v>1108</v>
      </c>
      <c r="AA213" t="str">
        <f t="shared" si="25"/>
        <v>Low</v>
      </c>
      <c r="AB213" t="s">
        <v>1103</v>
      </c>
      <c r="AC213" t="str">
        <f t="shared" si="26"/>
        <v>Yes</v>
      </c>
      <c r="AD213">
        <v>4</v>
      </c>
      <c r="AE213">
        <v>60185</v>
      </c>
      <c r="AF213">
        <v>24074</v>
      </c>
      <c r="AG213">
        <f t="shared" si="27"/>
        <v>36040.9</v>
      </c>
    </row>
    <row r="214" spans="1:33" x14ac:dyDescent="0.25">
      <c r="A214">
        <v>1213</v>
      </c>
      <c r="B214" s="1">
        <v>46368</v>
      </c>
      <c r="C214" s="1">
        <v>46369</v>
      </c>
      <c r="D214" s="1">
        <v>46373</v>
      </c>
      <c r="E214" t="s">
        <v>1065</v>
      </c>
      <c r="F214" t="s">
        <v>242</v>
      </c>
      <c r="G214" t="s">
        <v>1072</v>
      </c>
      <c r="H214" t="str">
        <f t="shared" si="21"/>
        <v>Electronics</v>
      </c>
      <c r="I214">
        <v>8</v>
      </c>
      <c r="J214" t="str">
        <f>VLOOKUP(K214,$AJ$2:$AK$7,2,FALSE)</f>
        <v>S005</v>
      </c>
      <c r="K214" t="s">
        <v>1101</v>
      </c>
      <c r="L214">
        <v>4.7</v>
      </c>
      <c r="M214" t="str">
        <f>IFERROR(VLOOKUP(TRIM(N214),$AP$2:$AQ$12,2,FALSE),"W001")</f>
        <v>W006</v>
      </c>
      <c r="N214" t="s">
        <v>1057</v>
      </c>
      <c r="O214" t="s">
        <v>1051</v>
      </c>
      <c r="P214" t="str">
        <f>VLOOKUP(O214,$AL$2:$AM$12,2,FALSE)</f>
        <v>West</v>
      </c>
      <c r="Q214" t="s">
        <v>1080</v>
      </c>
      <c r="R214">
        <v>633</v>
      </c>
      <c r="S214" t="s">
        <v>1066</v>
      </c>
      <c r="T214">
        <f t="shared" si="22"/>
        <v>4</v>
      </c>
      <c r="U214">
        <v>94.95</v>
      </c>
      <c r="V214">
        <f t="shared" si="23"/>
        <v>4</v>
      </c>
      <c r="W214" t="s">
        <v>1087</v>
      </c>
      <c r="X214" t="s">
        <v>1091</v>
      </c>
      <c r="Y214">
        <f t="shared" si="24"/>
        <v>0</v>
      </c>
      <c r="Z214" t="s">
        <v>1108</v>
      </c>
      <c r="AA214" t="str">
        <f t="shared" si="25"/>
        <v>Low</v>
      </c>
      <c r="AB214" t="s">
        <v>1103</v>
      </c>
      <c r="AC214" t="str">
        <f t="shared" si="26"/>
        <v>Yes</v>
      </c>
      <c r="AD214">
        <v>5</v>
      </c>
      <c r="AE214">
        <v>116384</v>
      </c>
      <c r="AF214">
        <v>46553.600000000006</v>
      </c>
      <c r="AG214">
        <f t="shared" si="27"/>
        <v>69735.45</v>
      </c>
    </row>
    <row r="215" spans="1:33" x14ac:dyDescent="0.25">
      <c r="A215">
        <v>1214</v>
      </c>
      <c r="B215" s="1">
        <v>45425</v>
      </c>
      <c r="C215" s="1">
        <v>45427</v>
      </c>
      <c r="D215" s="1">
        <v>45434</v>
      </c>
      <c r="E215" t="s">
        <v>1065</v>
      </c>
      <c r="F215" t="s">
        <v>243</v>
      </c>
      <c r="G215" t="s">
        <v>1071</v>
      </c>
      <c r="H215" t="str">
        <f t="shared" si="21"/>
        <v>Clothing</v>
      </c>
      <c r="I215">
        <v>2</v>
      </c>
      <c r="J215" t="str">
        <f>VLOOKUP(K215,$AJ$2:$AK$7,2,FALSE)</f>
        <v>S005</v>
      </c>
      <c r="K215" t="s">
        <v>1101</v>
      </c>
      <c r="L215">
        <v>4.5999999999999996</v>
      </c>
      <c r="M215" t="str">
        <f>IFERROR(VLOOKUP(TRIM(N215),$AP$2:$AQ$12,2,FALSE),"W001")</f>
        <v>W002</v>
      </c>
      <c r="N215" t="s">
        <v>1049</v>
      </c>
      <c r="O215" t="s">
        <v>1062</v>
      </c>
      <c r="P215" t="str">
        <f>VLOOKUP(O215,$AL$2:$AM$12,2,FALSE)</f>
        <v>North</v>
      </c>
      <c r="Q215" t="s">
        <v>1083</v>
      </c>
      <c r="R215">
        <v>562</v>
      </c>
      <c r="S215" t="s">
        <v>1066</v>
      </c>
      <c r="T215">
        <f t="shared" si="22"/>
        <v>2</v>
      </c>
      <c r="U215">
        <v>281</v>
      </c>
      <c r="V215">
        <f t="shared" si="23"/>
        <v>10</v>
      </c>
      <c r="W215" t="s">
        <v>1086</v>
      </c>
      <c r="X215" t="s">
        <v>1091</v>
      </c>
      <c r="Y215">
        <f t="shared" si="24"/>
        <v>281</v>
      </c>
      <c r="Z215" t="s">
        <v>1108</v>
      </c>
      <c r="AA215" t="str">
        <f t="shared" si="25"/>
        <v>Medium</v>
      </c>
      <c r="AB215" t="s">
        <v>1103</v>
      </c>
      <c r="AC215" t="str">
        <f t="shared" si="26"/>
        <v>Yes</v>
      </c>
      <c r="AD215">
        <v>4</v>
      </c>
      <c r="AE215">
        <v>5204</v>
      </c>
      <c r="AF215">
        <v>2081.6</v>
      </c>
      <c r="AG215">
        <f t="shared" si="27"/>
        <v>2841.4</v>
      </c>
    </row>
    <row r="216" spans="1:33" x14ac:dyDescent="0.25">
      <c r="A216">
        <v>1215</v>
      </c>
      <c r="B216" s="1">
        <v>45870</v>
      </c>
      <c r="C216" s="1">
        <v>45872</v>
      </c>
      <c r="D216" s="1">
        <v>45874</v>
      </c>
      <c r="E216" t="s">
        <v>1065</v>
      </c>
      <c r="F216" t="s">
        <v>244</v>
      </c>
      <c r="G216" t="s">
        <v>1067</v>
      </c>
      <c r="H216" t="str">
        <f t="shared" si="21"/>
        <v>Clothing</v>
      </c>
      <c r="I216">
        <v>9</v>
      </c>
      <c r="J216" t="str">
        <f>VLOOKUP(K216,$AJ$2:$AK$7,2,FALSE)</f>
        <v>S004</v>
      </c>
      <c r="K216" t="s">
        <v>1100</v>
      </c>
      <c r="L216">
        <v>4.8</v>
      </c>
      <c r="M216" t="str">
        <f>IFERROR(VLOOKUP(TRIM(N216),$AP$2:$AQ$12,2,FALSE),"W001")</f>
        <v>W006</v>
      </c>
      <c r="N216" t="s">
        <v>1057</v>
      </c>
      <c r="O216" t="s">
        <v>1063</v>
      </c>
      <c r="P216" t="str">
        <f>VLOOKUP(O216,$AL$2:$AM$12,2,FALSE)</f>
        <v>South</v>
      </c>
      <c r="Q216" t="s">
        <v>1080</v>
      </c>
      <c r="R216">
        <v>470</v>
      </c>
      <c r="S216" t="s">
        <v>1066</v>
      </c>
      <c r="T216">
        <f t="shared" si="22"/>
        <v>4</v>
      </c>
      <c r="U216">
        <v>70.5</v>
      </c>
      <c r="V216">
        <f t="shared" si="23"/>
        <v>4</v>
      </c>
      <c r="W216" t="s">
        <v>1088</v>
      </c>
      <c r="X216" t="s">
        <v>1091</v>
      </c>
      <c r="Y216">
        <f t="shared" si="24"/>
        <v>0</v>
      </c>
      <c r="Z216" t="s">
        <v>1108</v>
      </c>
      <c r="AA216" t="str">
        <f t="shared" si="25"/>
        <v>Low</v>
      </c>
      <c r="AB216" t="s">
        <v>1103</v>
      </c>
      <c r="AC216" t="str">
        <f t="shared" si="26"/>
        <v>Yes</v>
      </c>
      <c r="AD216">
        <v>4</v>
      </c>
      <c r="AE216">
        <v>4905</v>
      </c>
      <c r="AF216">
        <v>1962</v>
      </c>
      <c r="AG216">
        <f t="shared" si="27"/>
        <v>2872.5</v>
      </c>
    </row>
    <row r="217" spans="1:33" x14ac:dyDescent="0.25">
      <c r="A217">
        <v>1216</v>
      </c>
      <c r="B217" s="1">
        <v>44474</v>
      </c>
      <c r="C217" s="1">
        <v>44476</v>
      </c>
      <c r="D217" s="1">
        <v>44479</v>
      </c>
      <c r="E217" t="s">
        <v>1064</v>
      </c>
      <c r="F217" t="s">
        <v>245</v>
      </c>
      <c r="G217" t="s">
        <v>1072</v>
      </c>
      <c r="H217" t="str">
        <f t="shared" si="21"/>
        <v>Electronics</v>
      </c>
      <c r="I217">
        <v>8</v>
      </c>
      <c r="J217" t="str">
        <f>VLOOKUP(K217,$AJ$2:$AK$7,2,FALSE)</f>
        <v>S001</v>
      </c>
      <c r="K217" t="s">
        <v>1097</v>
      </c>
      <c r="L217">
        <v>3.1</v>
      </c>
      <c r="M217" t="str">
        <f>IFERROR(VLOOKUP(TRIM(N217),$AP$2:$AQ$12,2,FALSE),"W001")</f>
        <v>W004</v>
      </c>
      <c r="N217" t="s">
        <v>1053</v>
      </c>
      <c r="O217" t="s">
        <v>1061</v>
      </c>
      <c r="P217" t="str">
        <f>VLOOKUP(O217,$AL$2:$AM$12,2,FALSE)</f>
        <v>West</v>
      </c>
      <c r="Q217" t="s">
        <v>1083</v>
      </c>
      <c r="R217">
        <v>1264</v>
      </c>
      <c r="S217" t="s">
        <v>1078</v>
      </c>
      <c r="T217">
        <f t="shared" si="22"/>
        <v>3</v>
      </c>
      <c r="U217">
        <v>632</v>
      </c>
      <c r="V217">
        <f t="shared" si="23"/>
        <v>10</v>
      </c>
      <c r="W217" t="s">
        <v>1087</v>
      </c>
      <c r="X217" t="s">
        <v>1091</v>
      </c>
      <c r="Y217">
        <f t="shared" si="24"/>
        <v>0</v>
      </c>
      <c r="Z217" t="s">
        <v>1108</v>
      </c>
      <c r="AA217" t="str">
        <f t="shared" si="25"/>
        <v>Medium</v>
      </c>
      <c r="AB217" t="s">
        <v>1104</v>
      </c>
      <c r="AC217" t="str">
        <f t="shared" si="26"/>
        <v>Yes</v>
      </c>
      <c r="AD217">
        <v>1</v>
      </c>
      <c r="AE217">
        <v>194056</v>
      </c>
      <c r="AF217">
        <v>77622.400000000009</v>
      </c>
      <c r="AG217">
        <f t="shared" si="27"/>
        <v>115801.59999999999</v>
      </c>
    </row>
    <row r="218" spans="1:33" x14ac:dyDescent="0.25">
      <c r="A218">
        <v>1217</v>
      </c>
      <c r="B218" s="1">
        <v>44432</v>
      </c>
      <c r="C218" s="1">
        <v>44434</v>
      </c>
      <c r="D218" s="1">
        <v>44440</v>
      </c>
      <c r="E218" t="s">
        <v>1065</v>
      </c>
      <c r="F218" t="s">
        <v>246</v>
      </c>
      <c r="G218" t="s">
        <v>1067</v>
      </c>
      <c r="H218" t="str">
        <f t="shared" si="21"/>
        <v>Clothing</v>
      </c>
      <c r="I218">
        <v>1</v>
      </c>
      <c r="J218" t="str">
        <f>VLOOKUP(K218,$AJ$2:$AK$7,2,FALSE)</f>
        <v>S003</v>
      </c>
      <c r="K218" t="s">
        <v>1099</v>
      </c>
      <c r="L218">
        <v>4.4000000000000004</v>
      </c>
      <c r="M218" t="str">
        <f>IFERROR(VLOOKUP(TRIM(N218),$AP$2:$AQ$12,2,FALSE),"W001")</f>
        <v>W010</v>
      </c>
      <c r="N218" t="s">
        <v>1063</v>
      </c>
      <c r="O218" t="s">
        <v>1062</v>
      </c>
      <c r="P218" t="str">
        <f>VLOOKUP(O218,$AL$2:$AM$12,2,FALSE)</f>
        <v>North</v>
      </c>
      <c r="Q218" t="s">
        <v>1084</v>
      </c>
      <c r="R218">
        <v>1681</v>
      </c>
      <c r="S218" t="s">
        <v>1078</v>
      </c>
      <c r="T218">
        <f t="shared" si="22"/>
        <v>6</v>
      </c>
      <c r="U218">
        <v>504.3</v>
      </c>
      <c r="V218">
        <f t="shared" si="23"/>
        <v>6</v>
      </c>
      <c r="W218" t="s">
        <v>1086</v>
      </c>
      <c r="X218" t="s">
        <v>1090</v>
      </c>
      <c r="Y218">
        <f t="shared" si="24"/>
        <v>504.3</v>
      </c>
      <c r="Z218" t="s">
        <v>1109</v>
      </c>
      <c r="AA218" t="str">
        <f t="shared" si="25"/>
        <v>High</v>
      </c>
      <c r="AB218" t="s">
        <v>1104</v>
      </c>
      <c r="AC218" t="str">
        <f t="shared" si="26"/>
        <v>No</v>
      </c>
      <c r="AD218">
        <v>2</v>
      </c>
      <c r="AE218">
        <v>1464</v>
      </c>
      <c r="AF218">
        <v>585.6</v>
      </c>
      <c r="AG218">
        <f t="shared" si="27"/>
        <v>374.09999999999997</v>
      </c>
    </row>
    <row r="219" spans="1:33" x14ac:dyDescent="0.25">
      <c r="A219">
        <v>1218</v>
      </c>
      <c r="B219" s="1">
        <v>44771</v>
      </c>
      <c r="C219" s="1">
        <v>44773</v>
      </c>
      <c r="D219" s="1">
        <v>44777</v>
      </c>
      <c r="E219" t="s">
        <v>1064</v>
      </c>
      <c r="F219" t="s">
        <v>247</v>
      </c>
      <c r="G219" t="s">
        <v>1072</v>
      </c>
      <c r="H219" t="str">
        <f t="shared" si="21"/>
        <v>Electronics</v>
      </c>
      <c r="I219">
        <v>8</v>
      </c>
      <c r="J219" t="str">
        <f>VLOOKUP(K219,$AJ$2:$AK$7,2,FALSE)</f>
        <v>S002</v>
      </c>
      <c r="K219" t="s">
        <v>1098</v>
      </c>
      <c r="L219">
        <v>4.2</v>
      </c>
      <c r="M219" t="str">
        <f>IFERROR(VLOOKUP(TRIM(N219),$AP$2:$AQ$12,2,FALSE),"W001")</f>
        <v>W003</v>
      </c>
      <c r="N219" t="s">
        <v>1051</v>
      </c>
      <c r="O219" t="s">
        <v>1063</v>
      </c>
      <c r="P219" t="str">
        <f>VLOOKUP(O219,$AL$2:$AM$12,2,FALSE)</f>
        <v>South</v>
      </c>
      <c r="Q219" t="s">
        <v>1080</v>
      </c>
      <c r="R219">
        <v>1389</v>
      </c>
      <c r="S219" t="s">
        <v>1078</v>
      </c>
      <c r="T219">
        <f t="shared" si="22"/>
        <v>7</v>
      </c>
      <c r="U219">
        <v>208.35</v>
      </c>
      <c r="V219">
        <f t="shared" si="23"/>
        <v>4</v>
      </c>
      <c r="W219" t="s">
        <v>1087</v>
      </c>
      <c r="X219" t="s">
        <v>1089</v>
      </c>
      <c r="Y219">
        <f t="shared" si="24"/>
        <v>0</v>
      </c>
      <c r="Z219" t="s">
        <v>1108</v>
      </c>
      <c r="AA219" t="str">
        <f t="shared" si="25"/>
        <v>Low</v>
      </c>
      <c r="AB219" t="s">
        <v>1103</v>
      </c>
      <c r="AC219" t="str">
        <f t="shared" si="26"/>
        <v>Yes</v>
      </c>
      <c r="AD219">
        <v>4</v>
      </c>
      <c r="AE219">
        <v>128136</v>
      </c>
      <c r="AF219">
        <v>51254.400000000001</v>
      </c>
      <c r="AG219">
        <f t="shared" si="27"/>
        <v>76673.25</v>
      </c>
    </row>
    <row r="220" spans="1:33" x14ac:dyDescent="0.25">
      <c r="A220">
        <v>1219</v>
      </c>
      <c r="B220" s="1">
        <v>44428</v>
      </c>
      <c r="C220" s="1">
        <v>44431</v>
      </c>
      <c r="D220" s="1">
        <v>44434</v>
      </c>
      <c r="E220" t="s">
        <v>1065</v>
      </c>
      <c r="F220" t="s">
        <v>248</v>
      </c>
      <c r="G220" t="s">
        <v>1071</v>
      </c>
      <c r="H220" t="str">
        <f t="shared" si="21"/>
        <v>Clothing</v>
      </c>
      <c r="I220">
        <v>10</v>
      </c>
      <c r="J220" t="str">
        <f>VLOOKUP(K220,$AJ$2:$AK$7,2,FALSE)</f>
        <v>S004</v>
      </c>
      <c r="K220" t="s">
        <v>1100</v>
      </c>
      <c r="L220">
        <v>4</v>
      </c>
      <c r="M220" t="str">
        <f>IFERROR(VLOOKUP(TRIM(N220),$AP$2:$AQ$12,2,FALSE),"W001")</f>
        <v>W010</v>
      </c>
      <c r="N220" t="s">
        <v>1063</v>
      </c>
      <c r="O220" t="s">
        <v>1062</v>
      </c>
      <c r="P220" t="str">
        <f>VLOOKUP(O220,$AL$2:$AM$12,2,FALSE)</f>
        <v>North</v>
      </c>
      <c r="Q220" t="s">
        <v>1080</v>
      </c>
      <c r="R220">
        <v>848</v>
      </c>
      <c r="S220" t="s">
        <v>1078</v>
      </c>
      <c r="T220">
        <f t="shared" si="22"/>
        <v>5</v>
      </c>
      <c r="U220">
        <v>127.2</v>
      </c>
      <c r="V220">
        <f t="shared" si="23"/>
        <v>4</v>
      </c>
      <c r="W220" t="s">
        <v>1087</v>
      </c>
      <c r="X220" t="s">
        <v>1091</v>
      </c>
      <c r="Y220">
        <f t="shared" si="24"/>
        <v>0</v>
      </c>
      <c r="Z220" t="s">
        <v>1108</v>
      </c>
      <c r="AA220" t="str">
        <f t="shared" si="25"/>
        <v>Low</v>
      </c>
      <c r="AB220" t="s">
        <v>1103</v>
      </c>
      <c r="AC220" t="str">
        <f t="shared" si="26"/>
        <v>Yes</v>
      </c>
      <c r="AD220">
        <v>5</v>
      </c>
      <c r="AE220">
        <v>23070</v>
      </c>
      <c r="AF220">
        <v>9228</v>
      </c>
      <c r="AG220">
        <f t="shared" si="27"/>
        <v>13714.8</v>
      </c>
    </row>
    <row r="221" spans="1:33" x14ac:dyDescent="0.25">
      <c r="A221">
        <v>1220</v>
      </c>
      <c r="B221" s="1">
        <v>45221</v>
      </c>
      <c r="C221" s="1">
        <v>45222</v>
      </c>
      <c r="D221" s="1">
        <v>45225</v>
      </c>
      <c r="E221" t="s">
        <v>1065</v>
      </c>
      <c r="F221" t="s">
        <v>249</v>
      </c>
      <c r="G221" t="s">
        <v>1070</v>
      </c>
      <c r="H221" t="str">
        <f t="shared" si="21"/>
        <v>Furniture</v>
      </c>
      <c r="I221">
        <v>1</v>
      </c>
      <c r="J221" t="str">
        <f>VLOOKUP(K221,$AJ$2:$AK$7,2,FALSE)</f>
        <v>S002</v>
      </c>
      <c r="K221" t="s">
        <v>1098</v>
      </c>
      <c r="L221">
        <v>4.0999999999999996</v>
      </c>
      <c r="M221" t="str">
        <f>IFERROR(VLOOKUP(TRIM(N221),$AP$2:$AQ$12,2,FALSE),"W001")</f>
        <v>W009</v>
      </c>
      <c r="N221" t="s">
        <v>1060</v>
      </c>
      <c r="O221" t="s">
        <v>1055</v>
      </c>
      <c r="P221" t="str">
        <f>VLOOKUP(O221,$AL$2:$AM$12,2,FALSE)</f>
        <v>South</v>
      </c>
      <c r="Q221" t="s">
        <v>1082</v>
      </c>
      <c r="R221">
        <v>1552</v>
      </c>
      <c r="S221" t="s">
        <v>1078</v>
      </c>
      <c r="T221">
        <f t="shared" si="22"/>
        <v>4</v>
      </c>
      <c r="U221">
        <v>620.79999999999995</v>
      </c>
      <c r="V221">
        <f t="shared" si="23"/>
        <v>8</v>
      </c>
      <c r="W221" t="s">
        <v>1087</v>
      </c>
      <c r="X221" t="s">
        <v>1089</v>
      </c>
      <c r="Y221">
        <f t="shared" si="24"/>
        <v>0</v>
      </c>
      <c r="Z221" t="s">
        <v>1109</v>
      </c>
      <c r="AA221" t="str">
        <f t="shared" si="25"/>
        <v>High</v>
      </c>
      <c r="AB221" t="s">
        <v>1104</v>
      </c>
      <c r="AC221" t="str">
        <f t="shared" si="26"/>
        <v>No</v>
      </c>
      <c r="AD221">
        <v>1</v>
      </c>
      <c r="AE221">
        <v>7624</v>
      </c>
      <c r="AF221">
        <v>3049.6000000000004</v>
      </c>
      <c r="AG221">
        <f t="shared" si="27"/>
        <v>3953.5999999999995</v>
      </c>
    </row>
    <row r="222" spans="1:33" x14ac:dyDescent="0.25">
      <c r="A222">
        <v>1221</v>
      </c>
      <c r="B222" s="1">
        <v>46254</v>
      </c>
      <c r="C222" s="1">
        <v>46255</v>
      </c>
      <c r="D222" s="1">
        <v>46261</v>
      </c>
      <c r="E222" t="s">
        <v>1065</v>
      </c>
      <c r="F222" t="s">
        <v>250</v>
      </c>
      <c r="G222" t="s">
        <v>1071</v>
      </c>
      <c r="H222" t="str">
        <f t="shared" si="21"/>
        <v>Clothing</v>
      </c>
      <c r="I222">
        <v>10</v>
      </c>
      <c r="J222" t="str">
        <f>VLOOKUP(K222,$AJ$2:$AK$7,2,FALSE)</f>
        <v>S006</v>
      </c>
      <c r="K222" t="s">
        <v>1102</v>
      </c>
      <c r="L222">
        <v>3.3</v>
      </c>
      <c r="M222" t="str">
        <f>IFERROR(VLOOKUP(TRIM(N222),$AP$2:$AQ$12,2,FALSE),"W001")</f>
        <v>W002</v>
      </c>
      <c r="N222" t="s">
        <v>1049</v>
      </c>
      <c r="O222" t="s">
        <v>1053</v>
      </c>
      <c r="P222" t="str">
        <f>VLOOKUP(O222,$AL$2:$AM$12,2,FALSE)</f>
        <v>South</v>
      </c>
      <c r="Q222" t="s">
        <v>1083</v>
      </c>
      <c r="R222">
        <v>969</v>
      </c>
      <c r="S222" t="s">
        <v>1078</v>
      </c>
      <c r="T222">
        <f t="shared" si="22"/>
        <v>2</v>
      </c>
      <c r="U222">
        <v>484.5</v>
      </c>
      <c r="V222">
        <f t="shared" si="23"/>
        <v>10</v>
      </c>
      <c r="W222" t="s">
        <v>1086</v>
      </c>
      <c r="X222" t="s">
        <v>1089</v>
      </c>
      <c r="Y222">
        <f t="shared" si="24"/>
        <v>484.5</v>
      </c>
      <c r="Z222" t="s">
        <v>1108</v>
      </c>
      <c r="AA222" t="str">
        <f t="shared" si="25"/>
        <v>Medium</v>
      </c>
      <c r="AB222" t="s">
        <v>1103</v>
      </c>
      <c r="AC222" t="str">
        <f t="shared" si="26"/>
        <v>Yes</v>
      </c>
      <c r="AD222">
        <v>4</v>
      </c>
      <c r="AE222">
        <v>14610</v>
      </c>
      <c r="AF222">
        <v>5844</v>
      </c>
      <c r="AG222">
        <f t="shared" si="27"/>
        <v>8281.5</v>
      </c>
    </row>
    <row r="223" spans="1:33" x14ac:dyDescent="0.25">
      <c r="A223">
        <v>1222</v>
      </c>
      <c r="B223" s="1">
        <v>45356</v>
      </c>
      <c r="C223" s="1">
        <v>45358</v>
      </c>
      <c r="D223" s="1">
        <v>45362</v>
      </c>
      <c r="E223" t="s">
        <v>1065</v>
      </c>
      <c r="F223" t="s">
        <v>251</v>
      </c>
      <c r="G223" t="s">
        <v>1069</v>
      </c>
      <c r="H223" t="str">
        <f t="shared" si="21"/>
        <v>Furniture</v>
      </c>
      <c r="I223">
        <v>3</v>
      </c>
      <c r="J223" t="str">
        <f>VLOOKUP(K223,$AJ$2:$AK$7,2,FALSE)</f>
        <v>S004</v>
      </c>
      <c r="K223" t="s">
        <v>1100</v>
      </c>
      <c r="L223">
        <v>3.5</v>
      </c>
      <c r="M223" t="str">
        <f>IFERROR(VLOOKUP(TRIM(N223),$AP$2:$AQ$12,2,FALSE),"W001")</f>
        <v>W006</v>
      </c>
      <c r="N223" t="s">
        <v>1057</v>
      </c>
      <c r="O223" t="s">
        <v>1060</v>
      </c>
      <c r="P223" t="str">
        <f>VLOOKUP(O223,$AL$2:$AM$12,2,FALSE)</f>
        <v>North</v>
      </c>
      <c r="Q223" t="s">
        <v>1080</v>
      </c>
      <c r="R223">
        <v>1570</v>
      </c>
      <c r="S223" t="s">
        <v>1078</v>
      </c>
      <c r="T223">
        <f t="shared" si="22"/>
        <v>7</v>
      </c>
      <c r="U223">
        <v>235.5</v>
      </c>
      <c r="V223">
        <f t="shared" si="23"/>
        <v>4</v>
      </c>
      <c r="W223" t="s">
        <v>1086</v>
      </c>
      <c r="X223" t="s">
        <v>1091</v>
      </c>
      <c r="Y223">
        <f t="shared" si="24"/>
        <v>235.5</v>
      </c>
      <c r="Z223" t="s">
        <v>1108</v>
      </c>
      <c r="AA223" t="str">
        <f t="shared" si="25"/>
        <v>Low</v>
      </c>
      <c r="AB223" t="s">
        <v>1103</v>
      </c>
      <c r="AC223" t="str">
        <f t="shared" si="26"/>
        <v>Yes</v>
      </c>
      <c r="AD223">
        <v>5</v>
      </c>
      <c r="AE223">
        <v>29427</v>
      </c>
      <c r="AF223">
        <v>11770.800000000001</v>
      </c>
      <c r="AG223">
        <f t="shared" si="27"/>
        <v>17420.699999999997</v>
      </c>
    </row>
    <row r="224" spans="1:33" x14ac:dyDescent="0.25">
      <c r="A224">
        <v>1223</v>
      </c>
      <c r="B224" s="1">
        <v>44977</v>
      </c>
      <c r="C224" s="1">
        <v>44980</v>
      </c>
      <c r="D224" s="1">
        <v>44985</v>
      </c>
      <c r="E224" t="s">
        <v>1065</v>
      </c>
      <c r="F224" t="s">
        <v>252</v>
      </c>
      <c r="G224" t="s">
        <v>1070</v>
      </c>
      <c r="H224" t="str">
        <f t="shared" si="21"/>
        <v>Furniture</v>
      </c>
      <c r="I224">
        <v>5</v>
      </c>
      <c r="J224" t="str">
        <f>VLOOKUP(K224,$AJ$2:$AK$7,2,FALSE)</f>
        <v>S005</v>
      </c>
      <c r="K224" t="s">
        <v>1101</v>
      </c>
      <c r="L224">
        <v>3.1</v>
      </c>
      <c r="M224" t="str">
        <f>IFERROR(VLOOKUP(TRIM(N224),$AP$2:$AQ$12,2,FALSE),"W001")</f>
        <v>W003</v>
      </c>
      <c r="N224" t="s">
        <v>1051</v>
      </c>
      <c r="O224" t="s">
        <v>1061</v>
      </c>
      <c r="P224" t="str">
        <f>VLOOKUP(O224,$AL$2:$AM$12,2,FALSE)</f>
        <v>West</v>
      </c>
      <c r="Q224" t="s">
        <v>1085</v>
      </c>
      <c r="R224">
        <v>1029</v>
      </c>
      <c r="S224" t="s">
        <v>1078</v>
      </c>
      <c r="T224">
        <f t="shared" si="22"/>
        <v>8</v>
      </c>
      <c r="U224">
        <v>102.9</v>
      </c>
      <c r="V224">
        <f t="shared" si="23"/>
        <v>3</v>
      </c>
      <c r="W224" t="s">
        <v>1086</v>
      </c>
      <c r="X224" t="s">
        <v>1090</v>
      </c>
      <c r="Y224">
        <f t="shared" si="24"/>
        <v>102.9</v>
      </c>
      <c r="Z224" t="s">
        <v>1108</v>
      </c>
      <c r="AA224" t="str">
        <f t="shared" si="25"/>
        <v>Low</v>
      </c>
      <c r="AB224" t="s">
        <v>1103</v>
      </c>
      <c r="AC224" t="str">
        <f t="shared" si="26"/>
        <v>Yes</v>
      </c>
      <c r="AD224">
        <v>4</v>
      </c>
      <c r="AE224">
        <v>18315</v>
      </c>
      <c r="AF224">
        <v>7326</v>
      </c>
      <c r="AG224">
        <f t="shared" si="27"/>
        <v>10886.1</v>
      </c>
    </row>
    <row r="225" spans="1:33" x14ac:dyDescent="0.25">
      <c r="A225">
        <v>1224</v>
      </c>
      <c r="B225" s="1">
        <v>45509</v>
      </c>
      <c r="C225" s="1">
        <v>45512</v>
      </c>
      <c r="D225" s="1">
        <v>45515</v>
      </c>
      <c r="E225" t="s">
        <v>1066</v>
      </c>
      <c r="F225" t="s">
        <v>253</v>
      </c>
      <c r="G225" t="s">
        <v>1069</v>
      </c>
      <c r="H225" t="str">
        <f t="shared" si="21"/>
        <v>Furniture</v>
      </c>
      <c r="I225">
        <v>5</v>
      </c>
      <c r="J225" t="str">
        <f>VLOOKUP(K225,$AJ$2:$AK$7,2,FALSE)</f>
        <v>S006</v>
      </c>
      <c r="K225" t="s">
        <v>1102</v>
      </c>
      <c r="L225">
        <v>4</v>
      </c>
      <c r="M225" t="str">
        <f>IFERROR(VLOOKUP(TRIM(N225),$AP$2:$AQ$12,2,FALSE),"W001")</f>
        <v>W007</v>
      </c>
      <c r="N225" t="s">
        <v>1062</v>
      </c>
      <c r="O225" t="s">
        <v>1053</v>
      </c>
      <c r="P225" t="str">
        <f>VLOOKUP(O225,$AL$2:$AM$12,2,FALSE)</f>
        <v>South</v>
      </c>
      <c r="Q225" t="s">
        <v>1083</v>
      </c>
      <c r="R225">
        <v>1784</v>
      </c>
      <c r="S225" t="s">
        <v>1078</v>
      </c>
      <c r="T225">
        <f t="shared" si="22"/>
        <v>4</v>
      </c>
      <c r="U225">
        <v>892</v>
      </c>
      <c r="V225">
        <f t="shared" si="23"/>
        <v>10</v>
      </c>
      <c r="W225" t="s">
        <v>1088</v>
      </c>
      <c r="X225" t="s">
        <v>1091</v>
      </c>
      <c r="Y225">
        <f t="shared" si="24"/>
        <v>0</v>
      </c>
      <c r="Z225" t="s">
        <v>1109</v>
      </c>
      <c r="AA225" t="str">
        <f t="shared" si="25"/>
        <v>High</v>
      </c>
      <c r="AB225" t="s">
        <v>1104</v>
      </c>
      <c r="AC225" t="str">
        <f t="shared" si="26"/>
        <v>No</v>
      </c>
      <c r="AD225">
        <v>2</v>
      </c>
      <c r="AE225">
        <v>61570</v>
      </c>
      <c r="AF225">
        <v>24628</v>
      </c>
      <c r="AG225">
        <f t="shared" si="27"/>
        <v>36050</v>
      </c>
    </row>
    <row r="226" spans="1:33" x14ac:dyDescent="0.25">
      <c r="A226">
        <v>1225</v>
      </c>
      <c r="B226" s="1">
        <v>45300</v>
      </c>
      <c r="C226" s="1">
        <v>45302</v>
      </c>
      <c r="D226" s="1">
        <v>45308</v>
      </c>
      <c r="E226" t="s">
        <v>1064</v>
      </c>
      <c r="F226" t="s">
        <v>254</v>
      </c>
      <c r="G226" t="s">
        <v>1067</v>
      </c>
      <c r="H226" t="str">
        <f t="shared" si="21"/>
        <v>Clothing</v>
      </c>
      <c r="I226">
        <v>5</v>
      </c>
      <c r="J226" t="str">
        <f>VLOOKUP(K226,$AJ$2:$AK$7,2,FALSE)</f>
        <v>S002</v>
      </c>
      <c r="K226" t="s">
        <v>1098</v>
      </c>
      <c r="L226">
        <v>3.8</v>
      </c>
      <c r="M226" t="str">
        <f>IFERROR(VLOOKUP(TRIM(N226),$AP$2:$AQ$12,2,FALSE),"W001")</f>
        <v>W010</v>
      </c>
      <c r="N226" t="s">
        <v>1063</v>
      </c>
      <c r="O226" t="s">
        <v>1063</v>
      </c>
      <c r="P226" t="str">
        <f>VLOOKUP(O226,$AL$2:$AM$12,2,FALSE)</f>
        <v>South</v>
      </c>
      <c r="Q226" t="s">
        <v>1083</v>
      </c>
      <c r="R226">
        <v>14</v>
      </c>
      <c r="S226" t="s">
        <v>1079</v>
      </c>
      <c r="T226">
        <f t="shared" si="22"/>
        <v>1</v>
      </c>
      <c r="U226">
        <v>7</v>
      </c>
      <c r="V226">
        <f t="shared" si="23"/>
        <v>10</v>
      </c>
      <c r="W226" t="s">
        <v>1088</v>
      </c>
      <c r="X226" t="s">
        <v>1091</v>
      </c>
      <c r="Y226">
        <f t="shared" si="24"/>
        <v>0</v>
      </c>
      <c r="Z226" t="s">
        <v>1108</v>
      </c>
      <c r="AA226" t="str">
        <f t="shared" si="25"/>
        <v>Medium</v>
      </c>
      <c r="AB226" t="s">
        <v>1103</v>
      </c>
      <c r="AC226" t="str">
        <f t="shared" si="26"/>
        <v>Yes</v>
      </c>
      <c r="AD226">
        <v>5</v>
      </c>
      <c r="AE226">
        <v>4895</v>
      </c>
      <c r="AF226">
        <v>1958</v>
      </c>
      <c r="AG226">
        <f t="shared" si="27"/>
        <v>2930</v>
      </c>
    </row>
    <row r="227" spans="1:33" x14ac:dyDescent="0.25">
      <c r="A227">
        <v>1226</v>
      </c>
      <c r="B227" s="1">
        <v>45906</v>
      </c>
      <c r="C227" s="1">
        <v>45908</v>
      </c>
      <c r="D227" s="1">
        <v>45912</v>
      </c>
      <c r="E227" t="s">
        <v>1066</v>
      </c>
      <c r="F227" t="s">
        <v>255</v>
      </c>
      <c r="G227" t="s">
        <v>1068</v>
      </c>
      <c r="H227" t="str">
        <f t="shared" si="21"/>
        <v>Electronics</v>
      </c>
      <c r="I227">
        <v>9</v>
      </c>
      <c r="J227" t="str">
        <f>VLOOKUP(K227,$AJ$2:$AK$7,2,FALSE)</f>
        <v>S002</v>
      </c>
      <c r="K227" t="s">
        <v>1098</v>
      </c>
      <c r="L227">
        <v>4.3</v>
      </c>
      <c r="M227" t="str">
        <f>IFERROR(VLOOKUP(TRIM(N227),$AP$2:$AQ$12,2,FALSE),"W001")</f>
        <v>W006</v>
      </c>
      <c r="N227" t="s">
        <v>1057</v>
      </c>
      <c r="O227" t="s">
        <v>1051</v>
      </c>
      <c r="P227" t="str">
        <f>VLOOKUP(O227,$AL$2:$AM$12,2,FALSE)</f>
        <v>West</v>
      </c>
      <c r="Q227" t="s">
        <v>1082</v>
      </c>
      <c r="R227">
        <v>1118</v>
      </c>
      <c r="S227" t="s">
        <v>1078</v>
      </c>
      <c r="T227">
        <f t="shared" si="22"/>
        <v>3</v>
      </c>
      <c r="U227">
        <v>447.2</v>
      </c>
      <c r="V227">
        <f t="shared" si="23"/>
        <v>8</v>
      </c>
      <c r="W227" t="s">
        <v>1087</v>
      </c>
      <c r="X227" t="s">
        <v>1091</v>
      </c>
      <c r="Y227">
        <f t="shared" si="24"/>
        <v>0</v>
      </c>
      <c r="Z227" t="s">
        <v>1109</v>
      </c>
      <c r="AA227" t="str">
        <f t="shared" si="25"/>
        <v>High</v>
      </c>
      <c r="AB227" t="s">
        <v>1104</v>
      </c>
      <c r="AC227" t="str">
        <f t="shared" si="26"/>
        <v>No</v>
      </c>
      <c r="AD227">
        <v>2</v>
      </c>
      <c r="AE227">
        <v>523566</v>
      </c>
      <c r="AF227">
        <v>209426.40000000002</v>
      </c>
      <c r="AG227">
        <f t="shared" si="27"/>
        <v>313692.39999999997</v>
      </c>
    </row>
    <row r="228" spans="1:33" x14ac:dyDescent="0.25">
      <c r="A228">
        <v>1227</v>
      </c>
      <c r="B228" s="1">
        <v>44961</v>
      </c>
      <c r="C228" s="1">
        <v>44963</v>
      </c>
      <c r="D228" s="1">
        <v>44970</v>
      </c>
      <c r="E228" t="s">
        <v>1066</v>
      </c>
      <c r="F228" t="s">
        <v>256</v>
      </c>
      <c r="G228" t="s">
        <v>1068</v>
      </c>
      <c r="H228" t="str">
        <f t="shared" si="21"/>
        <v>Electronics</v>
      </c>
      <c r="I228">
        <v>5</v>
      </c>
      <c r="J228" t="str">
        <f>VLOOKUP(K228,$AJ$2:$AK$7,2,FALSE)</f>
        <v>S005</v>
      </c>
      <c r="K228" t="s">
        <v>1101</v>
      </c>
      <c r="L228">
        <v>5</v>
      </c>
      <c r="M228" t="str">
        <f>IFERROR(VLOOKUP(TRIM(N228),$AP$2:$AQ$12,2,FALSE),"W001")</f>
        <v>W006</v>
      </c>
      <c r="N228" t="s">
        <v>1057</v>
      </c>
      <c r="O228" t="s">
        <v>1049</v>
      </c>
      <c r="P228" t="str">
        <f>VLOOKUP(O228,$AL$2:$AM$12,2,FALSE)</f>
        <v>North</v>
      </c>
      <c r="Q228" t="s">
        <v>1080</v>
      </c>
      <c r="R228">
        <v>561</v>
      </c>
      <c r="S228" t="s">
        <v>1066</v>
      </c>
      <c r="T228">
        <f t="shared" si="22"/>
        <v>4</v>
      </c>
      <c r="U228">
        <v>84.15</v>
      </c>
      <c r="V228">
        <f t="shared" si="23"/>
        <v>4</v>
      </c>
      <c r="W228" t="s">
        <v>1086</v>
      </c>
      <c r="X228" t="s">
        <v>1089</v>
      </c>
      <c r="Y228">
        <f t="shared" si="24"/>
        <v>84.15</v>
      </c>
      <c r="Z228" t="s">
        <v>1108</v>
      </c>
      <c r="AA228" t="str">
        <f t="shared" si="25"/>
        <v>Low</v>
      </c>
      <c r="AB228" t="s">
        <v>1103</v>
      </c>
      <c r="AC228" t="str">
        <f t="shared" si="26"/>
        <v>Yes</v>
      </c>
      <c r="AD228">
        <v>5</v>
      </c>
      <c r="AE228">
        <v>331335</v>
      </c>
      <c r="AF228">
        <v>132534</v>
      </c>
      <c r="AG228">
        <f t="shared" si="27"/>
        <v>198716.85</v>
      </c>
    </row>
    <row r="229" spans="1:33" x14ac:dyDescent="0.25">
      <c r="A229">
        <v>1228</v>
      </c>
      <c r="B229" s="1">
        <v>45722</v>
      </c>
      <c r="C229" s="1">
        <v>45723</v>
      </c>
      <c r="D229" s="1">
        <v>45729</v>
      </c>
      <c r="E229" t="s">
        <v>1066</v>
      </c>
      <c r="F229" t="s">
        <v>257</v>
      </c>
      <c r="G229" t="s">
        <v>1071</v>
      </c>
      <c r="H229" t="str">
        <f t="shared" si="21"/>
        <v>Clothing</v>
      </c>
      <c r="I229">
        <v>8</v>
      </c>
      <c r="J229" t="str">
        <f>VLOOKUP(K229,$AJ$2:$AK$7,2,FALSE)</f>
        <v>S006</v>
      </c>
      <c r="K229" t="s">
        <v>1102</v>
      </c>
      <c r="L229">
        <v>3.5</v>
      </c>
      <c r="M229" t="str">
        <f>IFERROR(VLOOKUP(TRIM(N229),$AP$2:$AQ$12,2,FALSE),"W001")</f>
        <v>W010</v>
      </c>
      <c r="N229" t="s">
        <v>1063</v>
      </c>
      <c r="O229" t="s">
        <v>1063</v>
      </c>
      <c r="P229" t="str">
        <f>VLOOKUP(O229,$AL$2:$AM$12,2,FALSE)</f>
        <v>South</v>
      </c>
      <c r="Q229" t="s">
        <v>1082</v>
      </c>
      <c r="R229">
        <v>32</v>
      </c>
      <c r="S229" t="s">
        <v>1079</v>
      </c>
      <c r="T229">
        <f t="shared" si="22"/>
        <v>1</v>
      </c>
      <c r="U229">
        <v>12.8</v>
      </c>
      <c r="V229">
        <f t="shared" si="23"/>
        <v>8</v>
      </c>
      <c r="W229" t="s">
        <v>1088</v>
      </c>
      <c r="X229" t="s">
        <v>1091</v>
      </c>
      <c r="Y229">
        <f t="shared" si="24"/>
        <v>0</v>
      </c>
      <c r="Z229" t="s">
        <v>1108</v>
      </c>
      <c r="AA229" t="str">
        <f t="shared" si="25"/>
        <v>Medium</v>
      </c>
      <c r="AB229" t="s">
        <v>1103</v>
      </c>
      <c r="AC229" t="str">
        <f t="shared" si="26"/>
        <v>Yes</v>
      </c>
      <c r="AD229">
        <v>4</v>
      </c>
      <c r="AE229">
        <v>24000</v>
      </c>
      <c r="AF229">
        <v>9600</v>
      </c>
      <c r="AG229">
        <f t="shared" si="27"/>
        <v>14387.2</v>
      </c>
    </row>
    <row r="230" spans="1:33" x14ac:dyDescent="0.25">
      <c r="A230">
        <v>1229</v>
      </c>
      <c r="B230" s="1">
        <v>44542</v>
      </c>
      <c r="C230" s="1">
        <v>44544</v>
      </c>
      <c r="D230" s="1">
        <v>44546</v>
      </c>
      <c r="E230" t="s">
        <v>1064</v>
      </c>
      <c r="F230" t="s">
        <v>258</v>
      </c>
      <c r="G230" t="s">
        <v>1071</v>
      </c>
      <c r="H230" t="str">
        <f t="shared" si="21"/>
        <v>Clothing</v>
      </c>
      <c r="I230">
        <v>5</v>
      </c>
      <c r="J230" t="str">
        <f>VLOOKUP(K230,$AJ$2:$AK$7,2,FALSE)</f>
        <v>S004</v>
      </c>
      <c r="K230" t="s">
        <v>1100</v>
      </c>
      <c r="L230">
        <v>3.1</v>
      </c>
      <c r="M230" t="str">
        <f>IFERROR(VLOOKUP(TRIM(N230),$AP$2:$AQ$12,2,FALSE),"W001")</f>
        <v>W001</v>
      </c>
      <c r="N230" t="s">
        <v>1047</v>
      </c>
      <c r="O230" t="s">
        <v>1051</v>
      </c>
      <c r="P230" t="str">
        <f>VLOOKUP(O230,$AL$2:$AM$12,2,FALSE)</f>
        <v>West</v>
      </c>
      <c r="Q230" t="s">
        <v>1085</v>
      </c>
      <c r="R230">
        <v>932</v>
      </c>
      <c r="S230" t="s">
        <v>1078</v>
      </c>
      <c r="T230">
        <f t="shared" si="22"/>
        <v>8</v>
      </c>
      <c r="U230">
        <v>93.2</v>
      </c>
      <c r="V230">
        <f t="shared" si="23"/>
        <v>3</v>
      </c>
      <c r="W230" t="s">
        <v>1087</v>
      </c>
      <c r="X230" t="s">
        <v>1091</v>
      </c>
      <c r="Y230">
        <f t="shared" si="24"/>
        <v>0</v>
      </c>
      <c r="Z230" t="s">
        <v>1108</v>
      </c>
      <c r="AA230" t="str">
        <f t="shared" si="25"/>
        <v>Low</v>
      </c>
      <c r="AB230" t="s">
        <v>1103</v>
      </c>
      <c r="AC230" t="str">
        <f t="shared" si="26"/>
        <v>Yes</v>
      </c>
      <c r="AD230">
        <v>5</v>
      </c>
      <c r="AE230">
        <v>6020</v>
      </c>
      <c r="AF230">
        <v>2408</v>
      </c>
      <c r="AG230">
        <f t="shared" si="27"/>
        <v>3518.8</v>
      </c>
    </row>
    <row r="231" spans="1:33" x14ac:dyDescent="0.25">
      <c r="A231">
        <v>1230</v>
      </c>
      <c r="B231" s="1">
        <v>46013</v>
      </c>
      <c r="C231" s="1">
        <v>46015</v>
      </c>
      <c r="D231" s="1">
        <v>46019</v>
      </c>
      <c r="E231" t="s">
        <v>1066</v>
      </c>
      <c r="F231" t="s">
        <v>259</v>
      </c>
      <c r="G231" t="s">
        <v>1072</v>
      </c>
      <c r="H231" t="str">
        <f t="shared" si="21"/>
        <v>Electronics</v>
      </c>
      <c r="I231">
        <v>2</v>
      </c>
      <c r="J231" t="str">
        <f>VLOOKUP(K231,$AJ$2:$AK$7,2,FALSE)</f>
        <v>S006</v>
      </c>
      <c r="K231" t="s">
        <v>1102</v>
      </c>
      <c r="L231">
        <v>3.6</v>
      </c>
      <c r="M231" t="str">
        <f>IFERROR(VLOOKUP(TRIM(N231),$AP$2:$AQ$12,2,FALSE),"W001")</f>
        <v>W007</v>
      </c>
      <c r="N231" t="s">
        <v>1062</v>
      </c>
      <c r="O231" t="s">
        <v>1060</v>
      </c>
      <c r="P231" t="str">
        <f>VLOOKUP(O231,$AL$2:$AM$12,2,FALSE)</f>
        <v>North</v>
      </c>
      <c r="Q231" t="s">
        <v>1085</v>
      </c>
      <c r="R231">
        <v>567</v>
      </c>
      <c r="S231" t="s">
        <v>1066</v>
      </c>
      <c r="T231">
        <f t="shared" si="22"/>
        <v>6</v>
      </c>
      <c r="U231">
        <v>56.7</v>
      </c>
      <c r="V231">
        <f t="shared" si="23"/>
        <v>3</v>
      </c>
      <c r="W231" t="s">
        <v>1086</v>
      </c>
      <c r="X231" t="s">
        <v>1089</v>
      </c>
      <c r="Y231">
        <f t="shared" si="24"/>
        <v>56.7</v>
      </c>
      <c r="Z231" t="s">
        <v>1108</v>
      </c>
      <c r="AA231" t="str">
        <f t="shared" si="25"/>
        <v>Low</v>
      </c>
      <c r="AB231" t="s">
        <v>1103</v>
      </c>
      <c r="AC231" t="str">
        <f t="shared" si="26"/>
        <v>Yes</v>
      </c>
      <c r="AD231">
        <v>5</v>
      </c>
      <c r="AE231">
        <v>47176</v>
      </c>
      <c r="AF231">
        <v>18870.400000000001</v>
      </c>
      <c r="AG231">
        <f t="shared" si="27"/>
        <v>28248.899999999998</v>
      </c>
    </row>
    <row r="232" spans="1:33" x14ac:dyDescent="0.25">
      <c r="A232">
        <v>1231</v>
      </c>
      <c r="B232" s="1">
        <v>44400</v>
      </c>
      <c r="C232" s="1">
        <v>44403</v>
      </c>
      <c r="D232" s="1">
        <v>44408</v>
      </c>
      <c r="E232" t="s">
        <v>1066</v>
      </c>
      <c r="F232" t="s">
        <v>260</v>
      </c>
      <c r="G232" t="s">
        <v>1071</v>
      </c>
      <c r="H232" t="str">
        <f t="shared" si="21"/>
        <v>Clothing</v>
      </c>
      <c r="I232">
        <v>2</v>
      </c>
      <c r="J232" t="str">
        <f>VLOOKUP(K232,$AJ$2:$AK$7,2,FALSE)</f>
        <v>S001</v>
      </c>
      <c r="K232" t="s">
        <v>1097</v>
      </c>
      <c r="L232">
        <v>3.2</v>
      </c>
      <c r="M232" t="str">
        <f>IFERROR(VLOOKUP(TRIM(N232),$AP$2:$AQ$12,2,FALSE),"W001")</f>
        <v>W011</v>
      </c>
      <c r="N232" t="s">
        <v>1059</v>
      </c>
      <c r="O232" t="s">
        <v>1051</v>
      </c>
      <c r="P232" t="str">
        <f>VLOOKUP(O232,$AL$2:$AM$12,2,FALSE)</f>
        <v>West</v>
      </c>
      <c r="Q232" t="s">
        <v>1082</v>
      </c>
      <c r="R232">
        <v>912</v>
      </c>
      <c r="S232" t="s">
        <v>1078</v>
      </c>
      <c r="T232">
        <f t="shared" si="22"/>
        <v>3</v>
      </c>
      <c r="U232">
        <v>364.8</v>
      </c>
      <c r="V232">
        <f t="shared" si="23"/>
        <v>8</v>
      </c>
      <c r="W232" t="s">
        <v>1087</v>
      </c>
      <c r="X232" t="s">
        <v>1091</v>
      </c>
      <c r="Y232">
        <f t="shared" si="24"/>
        <v>0</v>
      </c>
      <c r="Z232" t="s">
        <v>1109</v>
      </c>
      <c r="AA232" t="str">
        <f t="shared" si="25"/>
        <v>High</v>
      </c>
      <c r="AB232" t="s">
        <v>1103</v>
      </c>
      <c r="AC232" t="str">
        <f t="shared" si="26"/>
        <v>No</v>
      </c>
      <c r="AD232">
        <v>2</v>
      </c>
      <c r="AE232">
        <v>5986</v>
      </c>
      <c r="AF232">
        <v>2394.4</v>
      </c>
      <c r="AG232">
        <f t="shared" si="27"/>
        <v>3226.7999999999997</v>
      </c>
    </row>
    <row r="233" spans="1:33" x14ac:dyDescent="0.25">
      <c r="A233">
        <v>1232</v>
      </c>
      <c r="B233" s="1">
        <v>44983</v>
      </c>
      <c r="C233" s="1">
        <v>44985</v>
      </c>
      <c r="D233" s="1">
        <v>44992</v>
      </c>
      <c r="E233" t="s">
        <v>1065</v>
      </c>
      <c r="F233" t="s">
        <v>261</v>
      </c>
      <c r="G233" t="s">
        <v>1069</v>
      </c>
      <c r="H233" t="str">
        <f t="shared" si="21"/>
        <v>Furniture</v>
      </c>
      <c r="I233">
        <v>4</v>
      </c>
      <c r="J233" t="str">
        <f>VLOOKUP(K233,$AJ$2:$AK$7,2,FALSE)</f>
        <v>S005</v>
      </c>
      <c r="K233" t="s">
        <v>1101</v>
      </c>
      <c r="L233">
        <v>3.9</v>
      </c>
      <c r="M233" t="str">
        <f>IFERROR(VLOOKUP(TRIM(N233),$AP$2:$AQ$12,2,FALSE),"W001")</f>
        <v>W005</v>
      </c>
      <c r="N233" t="s">
        <v>1055</v>
      </c>
      <c r="O233" t="s">
        <v>1051</v>
      </c>
      <c r="P233" t="str">
        <f>VLOOKUP(O233,$AL$2:$AM$12,2,FALSE)</f>
        <v>West</v>
      </c>
      <c r="Q233" t="s">
        <v>1083</v>
      </c>
      <c r="R233">
        <v>1457</v>
      </c>
      <c r="S233" t="s">
        <v>1078</v>
      </c>
      <c r="T233">
        <f t="shared" si="22"/>
        <v>3</v>
      </c>
      <c r="U233">
        <v>728.5</v>
      </c>
      <c r="V233">
        <f t="shared" si="23"/>
        <v>10</v>
      </c>
      <c r="W233" t="s">
        <v>1087</v>
      </c>
      <c r="X233" t="s">
        <v>1091</v>
      </c>
      <c r="Y233">
        <f t="shared" si="24"/>
        <v>0</v>
      </c>
      <c r="Z233" t="s">
        <v>1108</v>
      </c>
      <c r="AA233" t="str">
        <f t="shared" si="25"/>
        <v>Medium</v>
      </c>
      <c r="AB233" t="s">
        <v>1104</v>
      </c>
      <c r="AC233" t="str">
        <f t="shared" si="26"/>
        <v>Yes</v>
      </c>
      <c r="AD233">
        <v>1</v>
      </c>
      <c r="AE233">
        <v>47744</v>
      </c>
      <c r="AF233">
        <v>19097.600000000002</v>
      </c>
      <c r="AG233">
        <f t="shared" si="27"/>
        <v>27917.899999999998</v>
      </c>
    </row>
    <row r="234" spans="1:33" x14ac:dyDescent="0.25">
      <c r="A234">
        <v>1233</v>
      </c>
      <c r="B234" s="1">
        <v>44947</v>
      </c>
      <c r="C234" s="1">
        <v>44948</v>
      </c>
      <c r="D234" s="1">
        <v>44951</v>
      </c>
      <c r="E234" t="s">
        <v>1064</v>
      </c>
      <c r="F234" t="s">
        <v>262</v>
      </c>
      <c r="G234" t="s">
        <v>1071</v>
      </c>
      <c r="H234" t="str">
        <f t="shared" si="21"/>
        <v>Clothing</v>
      </c>
      <c r="I234">
        <v>10</v>
      </c>
      <c r="J234" t="str">
        <f>VLOOKUP(K234,$AJ$2:$AK$7,2,FALSE)</f>
        <v>S004</v>
      </c>
      <c r="K234" t="s">
        <v>1100</v>
      </c>
      <c r="L234">
        <v>3.4</v>
      </c>
      <c r="M234" t="str">
        <f>IFERROR(VLOOKUP(TRIM(N234),$AP$2:$AQ$12,2,FALSE),"W001")</f>
        <v>W008</v>
      </c>
      <c r="N234" t="s">
        <v>1061</v>
      </c>
      <c r="O234" t="s">
        <v>1049</v>
      </c>
      <c r="P234" t="str">
        <f>VLOOKUP(O234,$AL$2:$AM$12,2,FALSE)</f>
        <v>North</v>
      </c>
      <c r="Q234" t="s">
        <v>1080</v>
      </c>
      <c r="R234">
        <v>239</v>
      </c>
      <c r="S234" t="s">
        <v>1066</v>
      </c>
      <c r="T234">
        <f t="shared" si="22"/>
        <v>3</v>
      </c>
      <c r="U234">
        <v>35.85</v>
      </c>
      <c r="V234">
        <f t="shared" si="23"/>
        <v>4</v>
      </c>
      <c r="W234" t="s">
        <v>1086</v>
      </c>
      <c r="X234" t="s">
        <v>1091</v>
      </c>
      <c r="Y234">
        <f t="shared" si="24"/>
        <v>35.85</v>
      </c>
      <c r="Z234" t="s">
        <v>1108</v>
      </c>
      <c r="AA234" t="str">
        <f t="shared" si="25"/>
        <v>Low</v>
      </c>
      <c r="AB234" t="s">
        <v>1103</v>
      </c>
      <c r="AC234" t="str">
        <f t="shared" si="26"/>
        <v>Yes</v>
      </c>
      <c r="AD234">
        <v>5</v>
      </c>
      <c r="AE234">
        <v>20360</v>
      </c>
      <c r="AF234">
        <v>8144</v>
      </c>
      <c r="AG234">
        <f t="shared" si="27"/>
        <v>12180.15</v>
      </c>
    </row>
    <row r="235" spans="1:33" x14ac:dyDescent="0.25">
      <c r="A235">
        <v>1234</v>
      </c>
      <c r="B235" s="1">
        <v>46246</v>
      </c>
      <c r="C235" s="1">
        <v>46249</v>
      </c>
      <c r="D235" s="1">
        <v>46251</v>
      </c>
      <c r="E235" t="s">
        <v>1064</v>
      </c>
      <c r="F235" t="s">
        <v>263</v>
      </c>
      <c r="G235" t="s">
        <v>1067</v>
      </c>
      <c r="H235" t="str">
        <f t="shared" si="21"/>
        <v>Clothing</v>
      </c>
      <c r="I235">
        <v>7</v>
      </c>
      <c r="J235" t="str">
        <f>VLOOKUP(K235,$AJ$2:$AK$7,2,FALSE)</f>
        <v>S005</v>
      </c>
      <c r="K235" t="s">
        <v>1101</v>
      </c>
      <c r="L235">
        <v>4.2</v>
      </c>
      <c r="M235" t="str">
        <f>IFERROR(VLOOKUP(TRIM(N235),$AP$2:$AQ$12,2,FALSE),"W001")</f>
        <v>W001</v>
      </c>
      <c r="N235" t="s">
        <v>1047</v>
      </c>
      <c r="O235" t="s">
        <v>1060</v>
      </c>
      <c r="P235" t="str">
        <f>VLOOKUP(O235,$AL$2:$AM$12,2,FALSE)</f>
        <v>North</v>
      </c>
      <c r="Q235" t="s">
        <v>1083</v>
      </c>
      <c r="R235">
        <v>1531</v>
      </c>
      <c r="S235" t="s">
        <v>1078</v>
      </c>
      <c r="T235">
        <f t="shared" si="22"/>
        <v>3</v>
      </c>
      <c r="U235">
        <v>765.5</v>
      </c>
      <c r="V235">
        <f t="shared" si="23"/>
        <v>10</v>
      </c>
      <c r="W235" t="s">
        <v>1086</v>
      </c>
      <c r="X235" t="s">
        <v>1091</v>
      </c>
      <c r="Y235">
        <f t="shared" si="24"/>
        <v>765.5</v>
      </c>
      <c r="Z235" t="s">
        <v>1108</v>
      </c>
      <c r="AA235" t="str">
        <f t="shared" si="25"/>
        <v>Medium</v>
      </c>
      <c r="AB235" t="s">
        <v>1103</v>
      </c>
      <c r="AC235" t="str">
        <f t="shared" si="26"/>
        <v>Yes</v>
      </c>
      <c r="AD235">
        <v>5</v>
      </c>
      <c r="AE235">
        <v>6216</v>
      </c>
      <c r="AF235">
        <v>2486.4</v>
      </c>
      <c r="AG235">
        <f t="shared" si="27"/>
        <v>2964.1</v>
      </c>
    </row>
    <row r="236" spans="1:33" x14ac:dyDescent="0.25">
      <c r="A236">
        <v>1235</v>
      </c>
      <c r="B236" s="1">
        <v>45882</v>
      </c>
      <c r="C236" s="1">
        <v>45884</v>
      </c>
      <c r="D236" s="1">
        <v>45886</v>
      </c>
      <c r="E236" t="s">
        <v>1066</v>
      </c>
      <c r="F236" t="s">
        <v>264</v>
      </c>
      <c r="G236" t="s">
        <v>1069</v>
      </c>
      <c r="H236" t="str">
        <f t="shared" si="21"/>
        <v>Furniture</v>
      </c>
      <c r="I236">
        <v>7</v>
      </c>
      <c r="J236" t="str">
        <f>VLOOKUP(K236,$AJ$2:$AK$7,2,FALSE)</f>
        <v>S006</v>
      </c>
      <c r="K236" t="s">
        <v>1102</v>
      </c>
      <c r="L236">
        <v>4.4000000000000004</v>
      </c>
      <c r="M236" t="str">
        <f>IFERROR(VLOOKUP(TRIM(N236),$AP$2:$AQ$12,2,FALSE),"W001")</f>
        <v>W010</v>
      </c>
      <c r="N236" t="s">
        <v>1063</v>
      </c>
      <c r="O236" t="s">
        <v>1057</v>
      </c>
      <c r="P236" t="str">
        <f>VLOOKUP(O236,$AL$2:$AM$12,2,FALSE)</f>
        <v>South</v>
      </c>
      <c r="Q236" t="s">
        <v>1080</v>
      </c>
      <c r="R236">
        <v>181</v>
      </c>
      <c r="S236" t="s">
        <v>1079</v>
      </c>
      <c r="T236">
        <f t="shared" si="22"/>
        <v>3</v>
      </c>
      <c r="U236">
        <v>27.15</v>
      </c>
      <c r="V236">
        <f t="shared" si="23"/>
        <v>4</v>
      </c>
      <c r="W236" t="s">
        <v>1086</v>
      </c>
      <c r="X236" t="s">
        <v>1091</v>
      </c>
      <c r="Y236">
        <f t="shared" si="24"/>
        <v>27.15</v>
      </c>
      <c r="Z236" t="s">
        <v>1108</v>
      </c>
      <c r="AA236" t="str">
        <f t="shared" si="25"/>
        <v>Low</v>
      </c>
      <c r="AB236" t="s">
        <v>1103</v>
      </c>
      <c r="AC236" t="str">
        <f t="shared" si="26"/>
        <v>Yes</v>
      </c>
      <c r="AD236">
        <v>4</v>
      </c>
      <c r="AE236">
        <v>92281</v>
      </c>
      <c r="AF236">
        <v>36912.400000000001</v>
      </c>
      <c r="AG236">
        <f t="shared" si="27"/>
        <v>55341.45</v>
      </c>
    </row>
    <row r="237" spans="1:33" x14ac:dyDescent="0.25">
      <c r="A237">
        <v>1236</v>
      </c>
      <c r="B237" s="1">
        <v>44367</v>
      </c>
      <c r="C237" s="1">
        <v>44368</v>
      </c>
      <c r="D237" s="1">
        <v>44372</v>
      </c>
      <c r="E237" t="s">
        <v>1065</v>
      </c>
      <c r="F237" t="s">
        <v>265</v>
      </c>
      <c r="G237" t="s">
        <v>1072</v>
      </c>
      <c r="H237" t="str">
        <f t="shared" si="21"/>
        <v>Electronics</v>
      </c>
      <c r="I237">
        <v>7</v>
      </c>
      <c r="J237" t="str">
        <f>VLOOKUP(K237,$AJ$2:$AK$7,2,FALSE)</f>
        <v>S001</v>
      </c>
      <c r="K237" t="s">
        <v>1097</v>
      </c>
      <c r="L237">
        <v>3.8</v>
      </c>
      <c r="M237" t="str">
        <f>IFERROR(VLOOKUP(TRIM(N237),$AP$2:$AQ$12,2,FALSE),"W001")</f>
        <v>W008</v>
      </c>
      <c r="N237" t="s">
        <v>1061</v>
      </c>
      <c r="O237" t="s">
        <v>1053</v>
      </c>
      <c r="P237" t="str">
        <f>VLOOKUP(O237,$AL$2:$AM$12,2,FALSE)</f>
        <v>South</v>
      </c>
      <c r="Q237" t="s">
        <v>1083</v>
      </c>
      <c r="R237">
        <v>866</v>
      </c>
      <c r="S237" t="s">
        <v>1078</v>
      </c>
      <c r="T237">
        <f t="shared" si="22"/>
        <v>2</v>
      </c>
      <c r="U237">
        <v>433</v>
      </c>
      <c r="V237">
        <f t="shared" si="23"/>
        <v>10</v>
      </c>
      <c r="W237" t="s">
        <v>1087</v>
      </c>
      <c r="X237" t="s">
        <v>1089</v>
      </c>
      <c r="Y237">
        <f t="shared" si="24"/>
        <v>0</v>
      </c>
      <c r="Z237" t="s">
        <v>1108</v>
      </c>
      <c r="AA237" t="str">
        <f t="shared" si="25"/>
        <v>Medium</v>
      </c>
      <c r="AB237" t="s">
        <v>1103</v>
      </c>
      <c r="AC237" t="str">
        <f t="shared" si="26"/>
        <v>Yes</v>
      </c>
      <c r="AD237">
        <v>4</v>
      </c>
      <c r="AE237">
        <v>73213</v>
      </c>
      <c r="AF237">
        <v>29285.200000000001</v>
      </c>
      <c r="AG237">
        <f t="shared" si="27"/>
        <v>43494.8</v>
      </c>
    </row>
    <row r="238" spans="1:33" x14ac:dyDescent="0.25">
      <c r="A238">
        <v>1237</v>
      </c>
      <c r="B238" s="1">
        <v>45653</v>
      </c>
      <c r="C238" s="1">
        <v>45656</v>
      </c>
      <c r="D238" s="1">
        <v>45658</v>
      </c>
      <c r="E238" t="s">
        <v>1065</v>
      </c>
      <c r="F238" t="s">
        <v>266</v>
      </c>
      <c r="G238" t="s">
        <v>1072</v>
      </c>
      <c r="H238" t="str">
        <f t="shared" si="21"/>
        <v>Electronics</v>
      </c>
      <c r="I238">
        <v>8</v>
      </c>
      <c r="J238" t="str">
        <f>VLOOKUP(K238,$AJ$2:$AK$7,2,FALSE)</f>
        <v>S004</v>
      </c>
      <c r="K238" t="s">
        <v>1100</v>
      </c>
      <c r="L238">
        <v>3</v>
      </c>
      <c r="M238" t="str">
        <f>IFERROR(VLOOKUP(TRIM(N238),$AP$2:$AQ$12,2,FALSE),"W001")</f>
        <v>W004</v>
      </c>
      <c r="N238" t="s">
        <v>1053</v>
      </c>
      <c r="O238" t="s">
        <v>1060</v>
      </c>
      <c r="P238" t="str">
        <f>VLOOKUP(O238,$AL$2:$AM$12,2,FALSE)</f>
        <v>North</v>
      </c>
      <c r="Q238" t="s">
        <v>1082</v>
      </c>
      <c r="R238">
        <v>110</v>
      </c>
      <c r="S238" t="s">
        <v>1079</v>
      </c>
      <c r="T238">
        <f t="shared" si="22"/>
        <v>1</v>
      </c>
      <c r="U238">
        <v>44</v>
      </c>
      <c r="V238">
        <f t="shared" si="23"/>
        <v>8</v>
      </c>
      <c r="W238" t="s">
        <v>1088</v>
      </c>
      <c r="X238" t="s">
        <v>1091</v>
      </c>
      <c r="Y238">
        <f t="shared" si="24"/>
        <v>0</v>
      </c>
      <c r="Z238" t="s">
        <v>1108</v>
      </c>
      <c r="AA238" t="str">
        <f t="shared" si="25"/>
        <v>Medium</v>
      </c>
      <c r="AB238" t="s">
        <v>1104</v>
      </c>
      <c r="AC238" t="str">
        <f t="shared" si="26"/>
        <v>Yes</v>
      </c>
      <c r="AD238">
        <v>1</v>
      </c>
      <c r="AE238">
        <v>217328</v>
      </c>
      <c r="AF238">
        <v>86931.200000000012</v>
      </c>
      <c r="AG238">
        <f t="shared" si="27"/>
        <v>130352.79999999999</v>
      </c>
    </row>
    <row r="239" spans="1:33" x14ac:dyDescent="0.25">
      <c r="A239">
        <v>1238</v>
      </c>
      <c r="B239" s="1">
        <v>44760</v>
      </c>
      <c r="C239" s="1">
        <v>44763</v>
      </c>
      <c r="D239" s="1">
        <v>44770</v>
      </c>
      <c r="E239" t="s">
        <v>1066</v>
      </c>
      <c r="F239" t="s">
        <v>267</v>
      </c>
      <c r="G239" t="s">
        <v>1072</v>
      </c>
      <c r="H239" t="str">
        <f t="shared" si="21"/>
        <v>Electronics</v>
      </c>
      <c r="I239">
        <v>3</v>
      </c>
      <c r="J239" t="str">
        <f>VLOOKUP(K239,$AJ$2:$AK$7,2,FALSE)</f>
        <v>S003</v>
      </c>
      <c r="K239" t="s">
        <v>1099</v>
      </c>
      <c r="L239">
        <v>3.8</v>
      </c>
      <c r="M239" t="str">
        <f>IFERROR(VLOOKUP(TRIM(N239),$AP$2:$AQ$12,2,FALSE),"W001")</f>
        <v>W011</v>
      </c>
      <c r="N239" t="s">
        <v>1059</v>
      </c>
      <c r="O239" t="s">
        <v>1059</v>
      </c>
      <c r="P239" t="str">
        <f>VLOOKUP(O239,$AL$2:$AM$12,2,FALSE)</f>
        <v>North</v>
      </c>
      <c r="Q239" t="s">
        <v>1080</v>
      </c>
      <c r="R239">
        <v>24</v>
      </c>
      <c r="S239" t="s">
        <v>1079</v>
      </c>
      <c r="T239">
        <f t="shared" si="22"/>
        <v>2</v>
      </c>
      <c r="U239">
        <v>3.6</v>
      </c>
      <c r="V239">
        <f t="shared" si="23"/>
        <v>4</v>
      </c>
      <c r="W239" t="s">
        <v>1086</v>
      </c>
      <c r="X239" t="s">
        <v>1089</v>
      </c>
      <c r="Y239">
        <f t="shared" si="24"/>
        <v>3.6</v>
      </c>
      <c r="Z239" t="s">
        <v>1108</v>
      </c>
      <c r="AA239" t="str">
        <f t="shared" si="25"/>
        <v>Low</v>
      </c>
      <c r="AB239" t="s">
        <v>1103</v>
      </c>
      <c r="AC239" t="str">
        <f t="shared" si="26"/>
        <v>Yes</v>
      </c>
      <c r="AD239">
        <v>4</v>
      </c>
      <c r="AE239">
        <v>52920</v>
      </c>
      <c r="AF239">
        <v>21168</v>
      </c>
      <c r="AG239">
        <f t="shared" si="27"/>
        <v>31748.400000000001</v>
      </c>
    </row>
    <row r="240" spans="1:33" x14ac:dyDescent="0.25">
      <c r="A240">
        <v>1239</v>
      </c>
      <c r="B240" s="1">
        <v>45530</v>
      </c>
      <c r="C240" s="1">
        <v>45531</v>
      </c>
      <c r="D240" s="1">
        <v>45533</v>
      </c>
      <c r="E240" t="s">
        <v>1066</v>
      </c>
      <c r="F240" t="s">
        <v>268</v>
      </c>
      <c r="G240" t="s">
        <v>1067</v>
      </c>
      <c r="H240" t="str">
        <f t="shared" si="21"/>
        <v>Clothing</v>
      </c>
      <c r="I240">
        <v>6</v>
      </c>
      <c r="J240" t="str">
        <f>VLOOKUP(K240,$AJ$2:$AK$7,2,FALSE)</f>
        <v>S006</v>
      </c>
      <c r="K240" t="s">
        <v>1102</v>
      </c>
      <c r="L240">
        <v>3.6</v>
      </c>
      <c r="M240" t="str">
        <f>IFERROR(VLOOKUP(TRIM(N240),$AP$2:$AQ$12,2,FALSE),"W001")</f>
        <v>W003</v>
      </c>
      <c r="N240" t="s">
        <v>1051</v>
      </c>
      <c r="O240" t="s">
        <v>1051</v>
      </c>
      <c r="P240" t="str">
        <f>VLOOKUP(O240,$AL$2:$AM$12,2,FALSE)</f>
        <v>West</v>
      </c>
      <c r="Q240" t="s">
        <v>1084</v>
      </c>
      <c r="R240">
        <v>39</v>
      </c>
      <c r="S240" t="s">
        <v>1079</v>
      </c>
      <c r="T240">
        <f t="shared" si="22"/>
        <v>1</v>
      </c>
      <c r="U240">
        <v>11.7</v>
      </c>
      <c r="V240">
        <f t="shared" si="23"/>
        <v>6</v>
      </c>
      <c r="W240" t="s">
        <v>1087</v>
      </c>
      <c r="X240" t="s">
        <v>1089</v>
      </c>
      <c r="Y240">
        <f t="shared" si="24"/>
        <v>0</v>
      </c>
      <c r="Z240" t="s">
        <v>1108</v>
      </c>
      <c r="AA240" t="str">
        <f t="shared" si="25"/>
        <v>Low</v>
      </c>
      <c r="AB240" t="s">
        <v>1103</v>
      </c>
      <c r="AC240" t="str">
        <f t="shared" si="26"/>
        <v>Yes</v>
      </c>
      <c r="AD240">
        <v>4</v>
      </c>
      <c r="AE240">
        <v>7800</v>
      </c>
      <c r="AF240">
        <v>3120</v>
      </c>
      <c r="AG240">
        <f t="shared" si="27"/>
        <v>4668.3</v>
      </c>
    </row>
    <row r="241" spans="1:33" x14ac:dyDescent="0.25">
      <c r="A241">
        <v>1240</v>
      </c>
      <c r="B241" s="1">
        <v>46235</v>
      </c>
      <c r="C241" s="1">
        <v>46238</v>
      </c>
      <c r="D241" s="1">
        <v>46242</v>
      </c>
      <c r="E241" t="s">
        <v>1064</v>
      </c>
      <c r="F241" t="s">
        <v>269</v>
      </c>
      <c r="G241" t="s">
        <v>1070</v>
      </c>
      <c r="H241" t="str">
        <f t="shared" si="21"/>
        <v>Furniture</v>
      </c>
      <c r="I241">
        <v>5</v>
      </c>
      <c r="J241" t="str">
        <f>VLOOKUP(K241,$AJ$2:$AK$7,2,FALSE)</f>
        <v>S001</v>
      </c>
      <c r="K241" t="s">
        <v>1097</v>
      </c>
      <c r="L241">
        <v>3.4</v>
      </c>
      <c r="M241" t="str">
        <f>IFERROR(VLOOKUP(TRIM(N241),$AP$2:$AQ$12,2,FALSE),"W001")</f>
        <v>W008</v>
      </c>
      <c r="N241" t="s">
        <v>1061</v>
      </c>
      <c r="O241" t="s">
        <v>1053</v>
      </c>
      <c r="P241" t="str">
        <f>VLOOKUP(O241,$AL$2:$AM$12,2,FALSE)</f>
        <v>South</v>
      </c>
      <c r="Q241" t="s">
        <v>1080</v>
      </c>
      <c r="R241">
        <v>1997</v>
      </c>
      <c r="S241" t="s">
        <v>1078</v>
      </c>
      <c r="T241">
        <f t="shared" si="22"/>
        <v>9</v>
      </c>
      <c r="U241">
        <v>299.55</v>
      </c>
      <c r="V241">
        <f t="shared" si="23"/>
        <v>4</v>
      </c>
      <c r="W241" t="s">
        <v>1088</v>
      </c>
      <c r="X241" t="s">
        <v>1091</v>
      </c>
      <c r="Y241">
        <f t="shared" si="24"/>
        <v>0</v>
      </c>
      <c r="Z241" t="s">
        <v>1109</v>
      </c>
      <c r="AA241" t="str">
        <f t="shared" si="25"/>
        <v>High</v>
      </c>
      <c r="AB241" t="s">
        <v>1104</v>
      </c>
      <c r="AC241" t="str">
        <f t="shared" si="26"/>
        <v>No</v>
      </c>
      <c r="AD241">
        <v>1</v>
      </c>
      <c r="AE241">
        <v>21475</v>
      </c>
      <c r="AF241">
        <v>8590</v>
      </c>
      <c r="AG241">
        <f t="shared" si="27"/>
        <v>12585.45</v>
      </c>
    </row>
    <row r="242" spans="1:33" x14ac:dyDescent="0.25">
      <c r="A242">
        <v>1241</v>
      </c>
      <c r="B242" s="1">
        <v>46023</v>
      </c>
      <c r="C242" s="1">
        <v>46025</v>
      </c>
      <c r="D242" s="1">
        <v>46032</v>
      </c>
      <c r="E242" t="s">
        <v>1065</v>
      </c>
      <c r="F242" t="s">
        <v>270</v>
      </c>
      <c r="G242" t="s">
        <v>1070</v>
      </c>
      <c r="H242" t="str">
        <f t="shared" si="21"/>
        <v>Furniture</v>
      </c>
      <c r="I242">
        <v>5</v>
      </c>
      <c r="J242" t="str">
        <f>VLOOKUP(K242,$AJ$2:$AK$7,2,FALSE)</f>
        <v>S003</v>
      </c>
      <c r="K242" t="s">
        <v>1099</v>
      </c>
      <c r="L242">
        <v>3.3</v>
      </c>
      <c r="M242" t="str">
        <f>IFERROR(VLOOKUP(TRIM(N242),$AP$2:$AQ$12,2,FALSE),"W001")</f>
        <v>W010</v>
      </c>
      <c r="N242" t="s">
        <v>1063</v>
      </c>
      <c r="O242" t="s">
        <v>1053</v>
      </c>
      <c r="P242" t="str">
        <f>VLOOKUP(O242,$AL$2:$AM$12,2,FALSE)</f>
        <v>South</v>
      </c>
      <c r="Q242" t="s">
        <v>1083</v>
      </c>
      <c r="R242">
        <v>344</v>
      </c>
      <c r="S242" t="s">
        <v>1066</v>
      </c>
      <c r="T242">
        <f t="shared" si="22"/>
        <v>1</v>
      </c>
      <c r="U242">
        <v>172</v>
      </c>
      <c r="V242">
        <f t="shared" si="23"/>
        <v>10</v>
      </c>
      <c r="W242" t="s">
        <v>1087</v>
      </c>
      <c r="X242" t="s">
        <v>1090</v>
      </c>
      <c r="Y242">
        <f t="shared" si="24"/>
        <v>0</v>
      </c>
      <c r="Z242" t="s">
        <v>1108</v>
      </c>
      <c r="AA242" t="str">
        <f t="shared" si="25"/>
        <v>Medium</v>
      </c>
      <c r="AB242" t="s">
        <v>1103</v>
      </c>
      <c r="AC242" t="str">
        <f t="shared" si="26"/>
        <v>Yes</v>
      </c>
      <c r="AD242">
        <v>5</v>
      </c>
      <c r="AE242">
        <v>21665</v>
      </c>
      <c r="AF242">
        <v>8666</v>
      </c>
      <c r="AG242">
        <f t="shared" si="27"/>
        <v>12827</v>
      </c>
    </row>
    <row r="243" spans="1:33" x14ac:dyDescent="0.25">
      <c r="A243">
        <v>1242</v>
      </c>
      <c r="B243" s="1">
        <v>45396</v>
      </c>
      <c r="C243" s="1">
        <v>45399</v>
      </c>
      <c r="D243" s="1">
        <v>45406</v>
      </c>
      <c r="E243" t="s">
        <v>1066</v>
      </c>
      <c r="F243" t="s">
        <v>271</v>
      </c>
      <c r="G243" t="s">
        <v>1071</v>
      </c>
      <c r="H243" t="str">
        <f t="shared" si="21"/>
        <v>Clothing</v>
      </c>
      <c r="I243">
        <v>5</v>
      </c>
      <c r="J243" t="str">
        <f>VLOOKUP(K243,$AJ$2:$AK$7,2,FALSE)</f>
        <v>S003</v>
      </c>
      <c r="K243" t="s">
        <v>1099</v>
      </c>
      <c r="L243">
        <v>3.5</v>
      </c>
      <c r="M243" t="str">
        <f>IFERROR(VLOOKUP(TRIM(N243),$AP$2:$AQ$12,2,FALSE),"W001")</f>
        <v>W008</v>
      </c>
      <c r="N243" t="s">
        <v>1061</v>
      </c>
      <c r="O243" t="s">
        <v>1047</v>
      </c>
      <c r="P243" t="str">
        <f>VLOOKUP(O243,$AL$2:$AM$12,2,FALSE)</f>
        <v>West</v>
      </c>
      <c r="Q243" t="s">
        <v>1085</v>
      </c>
      <c r="R243">
        <v>1303</v>
      </c>
      <c r="S243" t="s">
        <v>1078</v>
      </c>
      <c r="T243">
        <f t="shared" si="22"/>
        <v>10</v>
      </c>
      <c r="U243">
        <v>130.30000000000001</v>
      </c>
      <c r="V243">
        <f t="shared" si="23"/>
        <v>3</v>
      </c>
      <c r="W243" t="s">
        <v>1087</v>
      </c>
      <c r="X243" t="s">
        <v>1091</v>
      </c>
      <c r="Y243">
        <f t="shared" si="24"/>
        <v>0</v>
      </c>
      <c r="Z243" t="s">
        <v>1108</v>
      </c>
      <c r="AA243" t="str">
        <f t="shared" si="25"/>
        <v>Low</v>
      </c>
      <c r="AB243" t="s">
        <v>1103</v>
      </c>
      <c r="AC243" t="str">
        <f t="shared" si="26"/>
        <v>Yes</v>
      </c>
      <c r="AD243">
        <v>5</v>
      </c>
      <c r="AE243">
        <v>10565</v>
      </c>
      <c r="AF243">
        <v>4226</v>
      </c>
      <c r="AG243">
        <f t="shared" si="27"/>
        <v>6208.7</v>
      </c>
    </row>
    <row r="244" spans="1:33" x14ac:dyDescent="0.25">
      <c r="A244">
        <v>1243</v>
      </c>
      <c r="B244" s="1">
        <v>46151</v>
      </c>
      <c r="C244" s="1">
        <v>46154</v>
      </c>
      <c r="D244" s="1">
        <v>46157</v>
      </c>
      <c r="E244" t="s">
        <v>1064</v>
      </c>
      <c r="F244" t="s">
        <v>272</v>
      </c>
      <c r="G244" t="s">
        <v>1072</v>
      </c>
      <c r="H244" t="str">
        <f t="shared" si="21"/>
        <v>Electronics</v>
      </c>
      <c r="I244">
        <v>2</v>
      </c>
      <c r="J244" t="str">
        <f>VLOOKUP(K244,$AJ$2:$AK$7,2,FALSE)</f>
        <v>S006</v>
      </c>
      <c r="K244" t="s">
        <v>1102</v>
      </c>
      <c r="L244">
        <v>3.8</v>
      </c>
      <c r="M244" t="str">
        <f>IFERROR(VLOOKUP(TRIM(N244),$AP$2:$AQ$12,2,FALSE),"W001")</f>
        <v>W005</v>
      </c>
      <c r="N244" t="s">
        <v>1055</v>
      </c>
      <c r="O244" t="s">
        <v>1063</v>
      </c>
      <c r="P244" t="str">
        <f>VLOOKUP(O244,$AL$2:$AM$12,2,FALSE)</f>
        <v>South</v>
      </c>
      <c r="Q244" t="s">
        <v>1082</v>
      </c>
      <c r="R244">
        <v>1025</v>
      </c>
      <c r="S244" t="s">
        <v>1078</v>
      </c>
      <c r="T244">
        <f t="shared" si="22"/>
        <v>3</v>
      </c>
      <c r="U244">
        <v>410</v>
      </c>
      <c r="V244">
        <f t="shared" si="23"/>
        <v>8</v>
      </c>
      <c r="W244" t="s">
        <v>1087</v>
      </c>
      <c r="X244" t="s">
        <v>1089</v>
      </c>
      <c r="Y244">
        <f t="shared" si="24"/>
        <v>0</v>
      </c>
      <c r="Z244" t="s">
        <v>1109</v>
      </c>
      <c r="AA244" t="str">
        <f t="shared" si="25"/>
        <v>High</v>
      </c>
      <c r="AB244" t="s">
        <v>1103</v>
      </c>
      <c r="AC244" t="str">
        <f t="shared" si="26"/>
        <v>No</v>
      </c>
      <c r="AD244">
        <v>3</v>
      </c>
      <c r="AE244">
        <v>48688</v>
      </c>
      <c r="AF244">
        <v>19475.2</v>
      </c>
      <c r="AG244">
        <f t="shared" si="27"/>
        <v>28802.799999999999</v>
      </c>
    </row>
    <row r="245" spans="1:33" x14ac:dyDescent="0.25">
      <c r="A245">
        <v>1244</v>
      </c>
      <c r="B245" s="1">
        <v>45940</v>
      </c>
      <c r="C245" s="1">
        <v>45942</v>
      </c>
      <c r="D245" s="1">
        <v>45944</v>
      </c>
      <c r="E245" t="s">
        <v>1065</v>
      </c>
      <c r="F245" t="s">
        <v>273</v>
      </c>
      <c r="G245" t="s">
        <v>1068</v>
      </c>
      <c r="H245" t="str">
        <f t="shared" si="21"/>
        <v>Electronics</v>
      </c>
      <c r="I245">
        <v>5</v>
      </c>
      <c r="J245" t="str">
        <f>VLOOKUP(K245,$AJ$2:$AK$7,2,FALSE)</f>
        <v>S006</v>
      </c>
      <c r="K245" t="s">
        <v>1102</v>
      </c>
      <c r="L245">
        <v>3.8</v>
      </c>
      <c r="M245" t="str">
        <f>IFERROR(VLOOKUP(TRIM(N245),$AP$2:$AQ$12,2,FALSE),"W001")</f>
        <v>W008</v>
      </c>
      <c r="N245" t="s">
        <v>1061</v>
      </c>
      <c r="O245" t="s">
        <v>1055</v>
      </c>
      <c r="P245" t="str">
        <f>VLOOKUP(O245,$AL$2:$AM$12,2,FALSE)</f>
        <v>South</v>
      </c>
      <c r="Q245" t="s">
        <v>1085</v>
      </c>
      <c r="R245">
        <v>846</v>
      </c>
      <c r="S245" t="s">
        <v>1078</v>
      </c>
      <c r="T245">
        <f t="shared" si="22"/>
        <v>7</v>
      </c>
      <c r="U245">
        <v>84.6</v>
      </c>
      <c r="V245">
        <f t="shared" si="23"/>
        <v>3</v>
      </c>
      <c r="W245" t="s">
        <v>1088</v>
      </c>
      <c r="X245" t="s">
        <v>1090</v>
      </c>
      <c r="Y245">
        <f t="shared" si="24"/>
        <v>0</v>
      </c>
      <c r="Z245" t="s">
        <v>1108</v>
      </c>
      <c r="AA245" t="str">
        <f t="shared" si="25"/>
        <v>Low</v>
      </c>
      <c r="AB245" t="s">
        <v>1103</v>
      </c>
      <c r="AC245" t="str">
        <f t="shared" si="26"/>
        <v>Yes</v>
      </c>
      <c r="AD245">
        <v>4</v>
      </c>
      <c r="AE245">
        <v>247320</v>
      </c>
      <c r="AF245">
        <v>98928</v>
      </c>
      <c r="AG245">
        <f t="shared" si="27"/>
        <v>148307.4</v>
      </c>
    </row>
    <row r="246" spans="1:33" x14ac:dyDescent="0.25">
      <c r="A246">
        <v>1245</v>
      </c>
      <c r="B246" s="1">
        <v>44308</v>
      </c>
      <c r="C246" s="1">
        <v>44310</v>
      </c>
      <c r="D246" s="1">
        <v>44315</v>
      </c>
      <c r="E246" t="s">
        <v>1064</v>
      </c>
      <c r="F246" t="s">
        <v>274</v>
      </c>
      <c r="G246" t="s">
        <v>1070</v>
      </c>
      <c r="H246" t="str">
        <f t="shared" si="21"/>
        <v>Furniture</v>
      </c>
      <c r="I246">
        <v>6</v>
      </c>
      <c r="J246" t="str">
        <f>VLOOKUP(K246,$AJ$2:$AK$7,2,FALSE)</f>
        <v>S006</v>
      </c>
      <c r="K246" t="s">
        <v>1102</v>
      </c>
      <c r="L246">
        <v>4.7</v>
      </c>
      <c r="M246" t="str">
        <f>IFERROR(VLOOKUP(TRIM(N246),$AP$2:$AQ$12,2,FALSE),"W001")</f>
        <v>W002</v>
      </c>
      <c r="N246" t="s">
        <v>1049</v>
      </c>
      <c r="O246" t="s">
        <v>1059</v>
      </c>
      <c r="P246" t="str">
        <f>VLOOKUP(O246,$AL$2:$AM$12,2,FALSE)</f>
        <v>North</v>
      </c>
      <c r="Q246" t="s">
        <v>1080</v>
      </c>
      <c r="R246">
        <v>413</v>
      </c>
      <c r="S246" t="s">
        <v>1066</v>
      </c>
      <c r="T246">
        <f t="shared" si="22"/>
        <v>3</v>
      </c>
      <c r="U246">
        <v>61.95</v>
      </c>
      <c r="V246">
        <f t="shared" si="23"/>
        <v>4</v>
      </c>
      <c r="W246" t="s">
        <v>1086</v>
      </c>
      <c r="X246" t="s">
        <v>1091</v>
      </c>
      <c r="Y246">
        <f t="shared" si="24"/>
        <v>61.95</v>
      </c>
      <c r="Z246" t="s">
        <v>1108</v>
      </c>
      <c r="AA246" t="str">
        <f t="shared" si="25"/>
        <v>Low</v>
      </c>
      <c r="AB246" t="s">
        <v>1103</v>
      </c>
      <c r="AC246" t="str">
        <f t="shared" si="26"/>
        <v>Yes</v>
      </c>
      <c r="AD246">
        <v>5</v>
      </c>
      <c r="AE246">
        <v>21312</v>
      </c>
      <c r="AF246">
        <v>8524.8000000000011</v>
      </c>
      <c r="AG246">
        <f t="shared" si="27"/>
        <v>12725.249999999998</v>
      </c>
    </row>
    <row r="247" spans="1:33" x14ac:dyDescent="0.25">
      <c r="A247">
        <v>1246</v>
      </c>
      <c r="B247" s="1">
        <v>46183</v>
      </c>
      <c r="C247" s="1">
        <v>46184</v>
      </c>
      <c r="D247" s="1">
        <v>46188</v>
      </c>
      <c r="E247" t="s">
        <v>1064</v>
      </c>
      <c r="F247" t="s">
        <v>275</v>
      </c>
      <c r="G247" t="s">
        <v>1071</v>
      </c>
      <c r="H247" t="str">
        <f t="shared" si="21"/>
        <v>Clothing</v>
      </c>
      <c r="I247">
        <v>5</v>
      </c>
      <c r="J247" t="str">
        <f>VLOOKUP(K247,$AJ$2:$AK$7,2,FALSE)</f>
        <v>S006</v>
      </c>
      <c r="K247" t="s">
        <v>1102</v>
      </c>
      <c r="L247">
        <v>4.9000000000000004</v>
      </c>
      <c r="M247" t="str">
        <f>IFERROR(VLOOKUP(TRIM(N247),$AP$2:$AQ$12,2,FALSE),"W001")</f>
        <v>W006</v>
      </c>
      <c r="N247" t="s">
        <v>1057</v>
      </c>
      <c r="O247" t="s">
        <v>1049</v>
      </c>
      <c r="P247" t="str">
        <f>VLOOKUP(O247,$AL$2:$AM$12,2,FALSE)</f>
        <v>North</v>
      </c>
      <c r="Q247" t="s">
        <v>1083</v>
      </c>
      <c r="R247">
        <v>434</v>
      </c>
      <c r="S247" t="s">
        <v>1066</v>
      </c>
      <c r="T247">
        <f t="shared" si="22"/>
        <v>2</v>
      </c>
      <c r="U247">
        <v>217</v>
      </c>
      <c r="V247">
        <f t="shared" si="23"/>
        <v>10</v>
      </c>
      <c r="W247" t="s">
        <v>1088</v>
      </c>
      <c r="X247" t="s">
        <v>1090</v>
      </c>
      <c r="Y247">
        <f t="shared" si="24"/>
        <v>0</v>
      </c>
      <c r="Z247" t="s">
        <v>1108</v>
      </c>
      <c r="AA247" t="str">
        <f t="shared" si="25"/>
        <v>Medium</v>
      </c>
      <c r="AB247" t="s">
        <v>1103</v>
      </c>
      <c r="AC247" t="str">
        <f t="shared" si="26"/>
        <v>Yes</v>
      </c>
      <c r="AD247">
        <v>5</v>
      </c>
      <c r="AE247">
        <v>11535</v>
      </c>
      <c r="AF247">
        <v>4614</v>
      </c>
      <c r="AG247">
        <f t="shared" si="27"/>
        <v>6704</v>
      </c>
    </row>
    <row r="248" spans="1:33" x14ac:dyDescent="0.25">
      <c r="A248">
        <v>1247</v>
      </c>
      <c r="B248" s="1">
        <v>44482</v>
      </c>
      <c r="C248" s="1">
        <v>44483</v>
      </c>
      <c r="D248" s="1">
        <v>44488</v>
      </c>
      <c r="E248" t="s">
        <v>1064</v>
      </c>
      <c r="F248" t="s">
        <v>276</v>
      </c>
      <c r="G248" t="s">
        <v>1070</v>
      </c>
      <c r="H248" t="str">
        <f t="shared" si="21"/>
        <v>Furniture</v>
      </c>
      <c r="I248">
        <v>10</v>
      </c>
      <c r="J248" t="str">
        <f>VLOOKUP(K248,$AJ$2:$AK$7,2,FALSE)</f>
        <v>S001</v>
      </c>
      <c r="K248" t="s">
        <v>1097</v>
      </c>
      <c r="L248">
        <v>3.7</v>
      </c>
      <c r="M248" t="str">
        <f>IFERROR(VLOOKUP(TRIM(N248),$AP$2:$AQ$12,2,FALSE),"W001")</f>
        <v>W007</v>
      </c>
      <c r="N248" t="s">
        <v>1062</v>
      </c>
      <c r="O248" t="s">
        <v>1049</v>
      </c>
      <c r="P248" t="str">
        <f>VLOOKUP(O248,$AL$2:$AM$12,2,FALSE)</f>
        <v>North</v>
      </c>
      <c r="Q248" t="s">
        <v>1085</v>
      </c>
      <c r="R248">
        <v>1056</v>
      </c>
      <c r="S248" t="s">
        <v>1078</v>
      </c>
      <c r="T248">
        <f t="shared" si="22"/>
        <v>8</v>
      </c>
      <c r="U248">
        <v>105.6</v>
      </c>
      <c r="V248">
        <f t="shared" si="23"/>
        <v>3</v>
      </c>
      <c r="W248" t="s">
        <v>1088</v>
      </c>
      <c r="X248" t="s">
        <v>1090</v>
      </c>
      <c r="Y248">
        <f t="shared" si="24"/>
        <v>0</v>
      </c>
      <c r="Z248" t="s">
        <v>1108</v>
      </c>
      <c r="AA248" t="str">
        <f t="shared" si="25"/>
        <v>Low</v>
      </c>
      <c r="AB248" t="s">
        <v>1103</v>
      </c>
      <c r="AC248" t="str">
        <f t="shared" si="26"/>
        <v>Yes</v>
      </c>
      <c r="AD248">
        <v>4</v>
      </c>
      <c r="AE248">
        <v>77970</v>
      </c>
      <c r="AF248">
        <v>31188</v>
      </c>
      <c r="AG248">
        <f t="shared" si="27"/>
        <v>46676.4</v>
      </c>
    </row>
    <row r="249" spans="1:33" x14ac:dyDescent="0.25">
      <c r="A249">
        <v>1248</v>
      </c>
      <c r="B249" s="1">
        <v>44522</v>
      </c>
      <c r="C249" s="1">
        <v>44524</v>
      </c>
      <c r="D249" s="1">
        <v>44529</v>
      </c>
      <c r="E249" t="s">
        <v>1064</v>
      </c>
      <c r="F249" t="s">
        <v>277</v>
      </c>
      <c r="G249" t="s">
        <v>1072</v>
      </c>
      <c r="H249" t="str">
        <f t="shared" si="21"/>
        <v>Electronics</v>
      </c>
      <c r="I249">
        <v>6</v>
      </c>
      <c r="J249" t="str">
        <f>VLOOKUP(K249,$AJ$2:$AK$7,2,FALSE)</f>
        <v>S004</v>
      </c>
      <c r="K249" t="s">
        <v>1100</v>
      </c>
      <c r="L249">
        <v>3</v>
      </c>
      <c r="M249" t="str">
        <f>IFERROR(VLOOKUP(TRIM(N249),$AP$2:$AQ$12,2,FALSE),"W001")</f>
        <v>W006</v>
      </c>
      <c r="N249" t="s">
        <v>1057</v>
      </c>
      <c r="O249" t="s">
        <v>1062</v>
      </c>
      <c r="P249" t="str">
        <f>VLOOKUP(O249,$AL$2:$AM$12,2,FALSE)</f>
        <v>North</v>
      </c>
      <c r="Q249" t="s">
        <v>1084</v>
      </c>
      <c r="R249">
        <v>616</v>
      </c>
      <c r="S249" t="s">
        <v>1066</v>
      </c>
      <c r="T249">
        <f t="shared" si="22"/>
        <v>3</v>
      </c>
      <c r="U249">
        <v>184.8</v>
      </c>
      <c r="V249">
        <f t="shared" si="23"/>
        <v>6</v>
      </c>
      <c r="W249" t="s">
        <v>1086</v>
      </c>
      <c r="X249" t="s">
        <v>1091</v>
      </c>
      <c r="Y249">
        <f t="shared" si="24"/>
        <v>184.8</v>
      </c>
      <c r="Z249" t="s">
        <v>1108</v>
      </c>
      <c r="AA249" t="str">
        <f t="shared" si="25"/>
        <v>Low</v>
      </c>
      <c r="AB249" t="s">
        <v>1103</v>
      </c>
      <c r="AC249" t="str">
        <f t="shared" si="26"/>
        <v>Yes</v>
      </c>
      <c r="AD249">
        <v>4</v>
      </c>
      <c r="AE249">
        <v>160356</v>
      </c>
      <c r="AF249">
        <v>64142.400000000001</v>
      </c>
      <c r="AG249">
        <f t="shared" si="27"/>
        <v>96028.800000000003</v>
      </c>
    </row>
    <row r="250" spans="1:33" x14ac:dyDescent="0.25">
      <c r="A250">
        <v>1249</v>
      </c>
      <c r="B250" s="1">
        <v>44935</v>
      </c>
      <c r="C250" s="1">
        <v>44936</v>
      </c>
      <c r="D250" s="1">
        <v>44938</v>
      </c>
      <c r="E250" t="s">
        <v>1064</v>
      </c>
      <c r="F250" t="s">
        <v>278</v>
      </c>
      <c r="G250" t="s">
        <v>1072</v>
      </c>
      <c r="H250" t="str">
        <f t="shared" si="21"/>
        <v>Electronics</v>
      </c>
      <c r="I250">
        <v>10</v>
      </c>
      <c r="J250" t="str">
        <f>VLOOKUP(K250,$AJ$2:$AK$7,2,FALSE)</f>
        <v>S003</v>
      </c>
      <c r="K250" t="s">
        <v>1099</v>
      </c>
      <c r="L250">
        <v>3</v>
      </c>
      <c r="M250" t="str">
        <f>IFERROR(VLOOKUP(TRIM(N250),$AP$2:$AQ$12,2,FALSE),"W001")</f>
        <v>W002</v>
      </c>
      <c r="N250" t="s">
        <v>1049</v>
      </c>
      <c r="O250" t="s">
        <v>1053</v>
      </c>
      <c r="P250" t="str">
        <f>VLOOKUP(O250,$AL$2:$AM$12,2,FALSE)</f>
        <v>South</v>
      </c>
      <c r="Q250" t="s">
        <v>1080</v>
      </c>
      <c r="R250">
        <v>1583</v>
      </c>
      <c r="S250" t="s">
        <v>1078</v>
      </c>
      <c r="T250">
        <f t="shared" si="22"/>
        <v>7</v>
      </c>
      <c r="U250">
        <v>237.45</v>
      </c>
      <c r="V250">
        <f t="shared" si="23"/>
        <v>4</v>
      </c>
      <c r="W250" t="s">
        <v>1088</v>
      </c>
      <c r="X250" t="s">
        <v>1089</v>
      </c>
      <c r="Y250">
        <f t="shared" si="24"/>
        <v>0</v>
      </c>
      <c r="Z250" t="s">
        <v>1108</v>
      </c>
      <c r="AA250" t="str">
        <f t="shared" si="25"/>
        <v>Low</v>
      </c>
      <c r="AB250" t="s">
        <v>1103</v>
      </c>
      <c r="AC250" t="str">
        <f t="shared" si="26"/>
        <v>Yes</v>
      </c>
      <c r="AD250">
        <v>4</v>
      </c>
      <c r="AE250">
        <v>208410</v>
      </c>
      <c r="AF250">
        <v>83364</v>
      </c>
      <c r="AG250">
        <f t="shared" si="27"/>
        <v>124808.55</v>
      </c>
    </row>
    <row r="251" spans="1:33" x14ac:dyDescent="0.25">
      <c r="A251">
        <v>1250</v>
      </c>
      <c r="B251" s="1">
        <v>45766</v>
      </c>
      <c r="C251" s="1">
        <v>45768</v>
      </c>
      <c r="D251" s="1">
        <v>45772</v>
      </c>
      <c r="E251" t="s">
        <v>1066</v>
      </c>
      <c r="F251" t="s">
        <v>279</v>
      </c>
      <c r="G251" t="s">
        <v>1071</v>
      </c>
      <c r="H251" t="str">
        <f t="shared" si="21"/>
        <v>Clothing</v>
      </c>
      <c r="I251">
        <v>7</v>
      </c>
      <c r="J251" t="str">
        <f>VLOOKUP(K251,$AJ$2:$AK$7,2,FALSE)</f>
        <v>S001</v>
      </c>
      <c r="K251" t="s">
        <v>1097</v>
      </c>
      <c r="L251">
        <v>4.5</v>
      </c>
      <c r="M251" t="str">
        <f>IFERROR(VLOOKUP(TRIM(N251),$AP$2:$AQ$12,2,FALSE),"W001")</f>
        <v>W001</v>
      </c>
      <c r="N251" t="s">
        <v>1047</v>
      </c>
      <c r="O251" t="s">
        <v>1051</v>
      </c>
      <c r="P251" t="str">
        <f>VLOOKUP(O251,$AL$2:$AM$12,2,FALSE)</f>
        <v>West</v>
      </c>
      <c r="Q251" t="s">
        <v>1083</v>
      </c>
      <c r="R251">
        <v>604</v>
      </c>
      <c r="S251" t="s">
        <v>1066</v>
      </c>
      <c r="T251">
        <f t="shared" si="22"/>
        <v>2</v>
      </c>
      <c r="U251">
        <v>302</v>
      </c>
      <c r="V251">
        <f t="shared" si="23"/>
        <v>10</v>
      </c>
      <c r="W251" t="s">
        <v>1088</v>
      </c>
      <c r="X251" t="s">
        <v>1091</v>
      </c>
      <c r="Y251">
        <f t="shared" si="24"/>
        <v>0</v>
      </c>
      <c r="Z251" t="s">
        <v>1108</v>
      </c>
      <c r="AA251" t="str">
        <f t="shared" si="25"/>
        <v>Medium</v>
      </c>
      <c r="AB251" t="s">
        <v>1103</v>
      </c>
      <c r="AC251" t="str">
        <f t="shared" si="26"/>
        <v>Yes</v>
      </c>
      <c r="AD251">
        <v>4</v>
      </c>
      <c r="AE251">
        <v>19159</v>
      </c>
      <c r="AF251">
        <v>7663.6</v>
      </c>
      <c r="AG251">
        <f t="shared" si="27"/>
        <v>11193.4</v>
      </c>
    </row>
    <row r="252" spans="1:33" x14ac:dyDescent="0.25">
      <c r="A252">
        <v>1251</v>
      </c>
      <c r="B252" s="1">
        <v>44269</v>
      </c>
      <c r="C252" s="1">
        <v>44270</v>
      </c>
      <c r="D252" s="1">
        <v>44274</v>
      </c>
      <c r="E252" t="s">
        <v>1066</v>
      </c>
      <c r="F252" t="s">
        <v>280</v>
      </c>
      <c r="G252" t="s">
        <v>1072</v>
      </c>
      <c r="H252" t="str">
        <f t="shared" si="21"/>
        <v>Electronics</v>
      </c>
      <c r="I252">
        <v>3</v>
      </c>
      <c r="J252" t="str">
        <f>VLOOKUP(K252,$AJ$2:$AK$7,2,FALSE)</f>
        <v>S005</v>
      </c>
      <c r="K252" t="s">
        <v>1101</v>
      </c>
      <c r="L252">
        <v>3.3</v>
      </c>
      <c r="M252" t="str">
        <f>IFERROR(VLOOKUP(TRIM(N252),$AP$2:$AQ$12,2,FALSE),"W001")</f>
        <v>W009</v>
      </c>
      <c r="N252" t="s">
        <v>1060</v>
      </c>
      <c r="O252" t="s">
        <v>1062</v>
      </c>
      <c r="P252" t="str">
        <f>VLOOKUP(O252,$AL$2:$AM$12,2,FALSE)</f>
        <v>North</v>
      </c>
      <c r="Q252" t="s">
        <v>1084</v>
      </c>
      <c r="R252">
        <v>611</v>
      </c>
      <c r="S252" t="s">
        <v>1066</v>
      </c>
      <c r="T252">
        <f t="shared" si="22"/>
        <v>3</v>
      </c>
      <c r="U252">
        <v>183.3</v>
      </c>
      <c r="V252">
        <f t="shared" si="23"/>
        <v>6</v>
      </c>
      <c r="W252" t="s">
        <v>1088</v>
      </c>
      <c r="X252" t="s">
        <v>1091</v>
      </c>
      <c r="Y252">
        <f t="shared" si="24"/>
        <v>0</v>
      </c>
      <c r="Z252" t="s">
        <v>1108</v>
      </c>
      <c r="AA252" t="str">
        <f t="shared" si="25"/>
        <v>Low</v>
      </c>
      <c r="AB252" t="s">
        <v>1103</v>
      </c>
      <c r="AC252" t="str">
        <f t="shared" si="26"/>
        <v>Yes</v>
      </c>
      <c r="AD252">
        <v>5</v>
      </c>
      <c r="AE252">
        <v>75165</v>
      </c>
      <c r="AF252">
        <v>30066</v>
      </c>
      <c r="AG252">
        <f t="shared" si="27"/>
        <v>44915.7</v>
      </c>
    </row>
    <row r="253" spans="1:33" x14ac:dyDescent="0.25">
      <c r="A253">
        <v>1252</v>
      </c>
      <c r="B253" s="1">
        <v>45153</v>
      </c>
      <c r="C253" s="1">
        <v>45154</v>
      </c>
      <c r="D253" s="1">
        <v>45157</v>
      </c>
      <c r="E253" t="s">
        <v>1066</v>
      </c>
      <c r="F253" t="s">
        <v>281</v>
      </c>
      <c r="G253" t="s">
        <v>1071</v>
      </c>
      <c r="H253" t="str">
        <f t="shared" si="21"/>
        <v>Clothing</v>
      </c>
      <c r="I253">
        <v>5</v>
      </c>
      <c r="J253" t="str">
        <f>VLOOKUP(K253,$AJ$2:$AK$7,2,FALSE)</f>
        <v>S004</v>
      </c>
      <c r="K253" t="s">
        <v>1100</v>
      </c>
      <c r="L253">
        <v>4.2</v>
      </c>
      <c r="M253" t="str">
        <f>IFERROR(VLOOKUP(TRIM(N253),$AP$2:$AQ$12,2,FALSE),"W001")</f>
        <v>W001</v>
      </c>
      <c r="N253" t="s">
        <v>1047</v>
      </c>
      <c r="O253" t="s">
        <v>1059</v>
      </c>
      <c r="P253" t="str">
        <f>VLOOKUP(O253,$AL$2:$AM$12,2,FALSE)</f>
        <v>North</v>
      </c>
      <c r="Q253" t="s">
        <v>1084</v>
      </c>
      <c r="R253">
        <v>1917</v>
      </c>
      <c r="S253" t="s">
        <v>1078</v>
      </c>
      <c r="T253">
        <f t="shared" si="22"/>
        <v>6</v>
      </c>
      <c r="U253">
        <v>575.1</v>
      </c>
      <c r="V253">
        <f t="shared" si="23"/>
        <v>6</v>
      </c>
      <c r="W253" t="s">
        <v>1088</v>
      </c>
      <c r="X253" t="s">
        <v>1091</v>
      </c>
      <c r="Y253">
        <f t="shared" si="24"/>
        <v>0</v>
      </c>
      <c r="Z253" t="s">
        <v>1109</v>
      </c>
      <c r="AA253" t="str">
        <f t="shared" si="25"/>
        <v>High</v>
      </c>
      <c r="AB253" t="s">
        <v>1103</v>
      </c>
      <c r="AC253" t="str">
        <f t="shared" si="26"/>
        <v>No</v>
      </c>
      <c r="AD253">
        <v>2</v>
      </c>
      <c r="AE253">
        <v>13045</v>
      </c>
      <c r="AF253">
        <v>5218</v>
      </c>
      <c r="AG253">
        <f t="shared" si="27"/>
        <v>7251.9</v>
      </c>
    </row>
    <row r="254" spans="1:33" x14ac:dyDescent="0.25">
      <c r="A254">
        <v>1253</v>
      </c>
      <c r="B254" s="1">
        <v>45405</v>
      </c>
      <c r="C254" s="1">
        <v>45406</v>
      </c>
      <c r="D254" s="1">
        <v>45410</v>
      </c>
      <c r="E254" t="s">
        <v>1065</v>
      </c>
      <c r="F254" t="s">
        <v>282</v>
      </c>
      <c r="G254" t="s">
        <v>1071</v>
      </c>
      <c r="H254" t="str">
        <f t="shared" si="21"/>
        <v>Clothing</v>
      </c>
      <c r="I254">
        <v>1</v>
      </c>
      <c r="J254" t="str">
        <f>VLOOKUP(K254,$AJ$2:$AK$7,2,FALSE)</f>
        <v>S001</v>
      </c>
      <c r="K254" t="s">
        <v>1097</v>
      </c>
      <c r="L254">
        <v>3.6</v>
      </c>
      <c r="M254" t="str">
        <f>IFERROR(VLOOKUP(TRIM(N254),$AP$2:$AQ$12,2,FALSE),"W001")</f>
        <v>W003</v>
      </c>
      <c r="N254" t="s">
        <v>1051</v>
      </c>
      <c r="O254" t="s">
        <v>1063</v>
      </c>
      <c r="P254" t="str">
        <f>VLOOKUP(O254,$AL$2:$AM$12,2,FALSE)</f>
        <v>South</v>
      </c>
      <c r="Q254" t="s">
        <v>1081</v>
      </c>
      <c r="R254">
        <v>1558</v>
      </c>
      <c r="S254" t="s">
        <v>1078</v>
      </c>
      <c r="T254">
        <f t="shared" si="22"/>
        <v>7</v>
      </c>
      <c r="U254">
        <v>311.60000000000002</v>
      </c>
      <c r="V254">
        <f t="shared" si="23"/>
        <v>5</v>
      </c>
      <c r="W254" t="s">
        <v>1086</v>
      </c>
      <c r="X254" t="s">
        <v>1091</v>
      </c>
      <c r="Y254">
        <f t="shared" si="24"/>
        <v>311.60000000000002</v>
      </c>
      <c r="Z254" t="s">
        <v>1108</v>
      </c>
      <c r="AA254" t="str">
        <f t="shared" si="25"/>
        <v>Low</v>
      </c>
      <c r="AB254" t="s">
        <v>1103</v>
      </c>
      <c r="AC254" t="str">
        <f t="shared" si="26"/>
        <v>Yes</v>
      </c>
      <c r="AD254">
        <v>4</v>
      </c>
      <c r="AE254">
        <v>1864</v>
      </c>
      <c r="AF254">
        <v>745.6</v>
      </c>
      <c r="AG254">
        <f t="shared" si="27"/>
        <v>806.80000000000007</v>
      </c>
    </row>
    <row r="255" spans="1:33" x14ac:dyDescent="0.25">
      <c r="A255">
        <v>1254</v>
      </c>
      <c r="B255" s="1">
        <v>46078</v>
      </c>
      <c r="C255" s="1">
        <v>46080</v>
      </c>
      <c r="D255" s="1">
        <v>46083</v>
      </c>
      <c r="E255" t="s">
        <v>1066</v>
      </c>
      <c r="F255" t="s">
        <v>283</v>
      </c>
      <c r="G255" t="s">
        <v>1069</v>
      </c>
      <c r="H255" t="str">
        <f t="shared" si="21"/>
        <v>Furniture</v>
      </c>
      <c r="I255">
        <v>10</v>
      </c>
      <c r="J255" t="str">
        <f>VLOOKUP(K255,$AJ$2:$AK$7,2,FALSE)</f>
        <v>S003</v>
      </c>
      <c r="K255" t="s">
        <v>1099</v>
      </c>
      <c r="L255">
        <v>3.3</v>
      </c>
      <c r="M255" t="str">
        <f>IFERROR(VLOOKUP(TRIM(N255),$AP$2:$AQ$12,2,FALSE),"W001")</f>
        <v>W003</v>
      </c>
      <c r="N255" t="s">
        <v>1051</v>
      </c>
      <c r="O255" t="s">
        <v>1053</v>
      </c>
      <c r="P255" t="str">
        <f>VLOOKUP(O255,$AL$2:$AM$12,2,FALSE)</f>
        <v>South</v>
      </c>
      <c r="Q255" t="s">
        <v>1081</v>
      </c>
      <c r="R255">
        <v>226</v>
      </c>
      <c r="S255" t="s">
        <v>1066</v>
      </c>
      <c r="T255">
        <f t="shared" si="22"/>
        <v>2</v>
      </c>
      <c r="U255">
        <v>45.2</v>
      </c>
      <c r="V255">
        <f t="shared" si="23"/>
        <v>5</v>
      </c>
      <c r="W255" t="s">
        <v>1086</v>
      </c>
      <c r="X255" t="s">
        <v>1091</v>
      </c>
      <c r="Y255">
        <f t="shared" si="24"/>
        <v>45.2</v>
      </c>
      <c r="Z255" t="s">
        <v>1108</v>
      </c>
      <c r="AA255" t="str">
        <f t="shared" si="25"/>
        <v>Low</v>
      </c>
      <c r="AB255" t="s">
        <v>1103</v>
      </c>
      <c r="AC255" t="str">
        <f t="shared" si="26"/>
        <v>Yes</v>
      </c>
      <c r="AD255">
        <v>5</v>
      </c>
      <c r="AE255">
        <v>113900</v>
      </c>
      <c r="AF255">
        <v>45560</v>
      </c>
      <c r="AG255">
        <f t="shared" si="27"/>
        <v>68294.8</v>
      </c>
    </row>
    <row r="256" spans="1:33" x14ac:dyDescent="0.25">
      <c r="A256">
        <v>1255</v>
      </c>
      <c r="B256" s="1">
        <v>45752</v>
      </c>
      <c r="C256" s="1">
        <v>45755</v>
      </c>
      <c r="D256" s="1">
        <v>45760</v>
      </c>
      <c r="E256" t="s">
        <v>1066</v>
      </c>
      <c r="F256" t="s">
        <v>284</v>
      </c>
      <c r="G256" t="s">
        <v>1067</v>
      </c>
      <c r="H256" t="str">
        <f t="shared" si="21"/>
        <v>Clothing</v>
      </c>
      <c r="I256">
        <v>1</v>
      </c>
      <c r="J256" t="str">
        <f>VLOOKUP(K256,$AJ$2:$AK$7,2,FALSE)</f>
        <v>S006</v>
      </c>
      <c r="K256" t="s">
        <v>1102</v>
      </c>
      <c r="L256">
        <v>4.7</v>
      </c>
      <c r="M256" t="str">
        <f>IFERROR(VLOOKUP(TRIM(N256),$AP$2:$AQ$12,2,FALSE),"W001")</f>
        <v>W002</v>
      </c>
      <c r="N256" t="s">
        <v>1049</v>
      </c>
      <c r="O256" t="s">
        <v>1049</v>
      </c>
      <c r="P256" t="str">
        <f>VLOOKUP(O256,$AL$2:$AM$12,2,FALSE)</f>
        <v>North</v>
      </c>
      <c r="Q256" t="s">
        <v>1080</v>
      </c>
      <c r="R256">
        <v>30</v>
      </c>
      <c r="S256" t="s">
        <v>1079</v>
      </c>
      <c r="T256">
        <f t="shared" si="22"/>
        <v>2</v>
      </c>
      <c r="U256">
        <v>4.5</v>
      </c>
      <c r="V256">
        <f t="shared" si="23"/>
        <v>4</v>
      </c>
      <c r="W256" t="s">
        <v>1086</v>
      </c>
      <c r="X256" t="s">
        <v>1089</v>
      </c>
      <c r="Y256">
        <f t="shared" si="24"/>
        <v>4.5</v>
      </c>
      <c r="Z256" t="s">
        <v>1108</v>
      </c>
      <c r="AA256" t="str">
        <f t="shared" si="25"/>
        <v>Low</v>
      </c>
      <c r="AB256" t="s">
        <v>1103</v>
      </c>
      <c r="AC256" t="str">
        <f t="shared" si="26"/>
        <v>Yes</v>
      </c>
      <c r="AD256">
        <v>5</v>
      </c>
      <c r="AE256">
        <v>668</v>
      </c>
      <c r="AF256">
        <v>267.2</v>
      </c>
      <c r="AG256">
        <f t="shared" si="27"/>
        <v>396.3</v>
      </c>
    </row>
    <row r="257" spans="1:33" x14ac:dyDescent="0.25">
      <c r="A257">
        <v>1256</v>
      </c>
      <c r="B257" s="1">
        <v>44908</v>
      </c>
      <c r="C257" s="1">
        <v>44911</v>
      </c>
      <c r="D257" s="1">
        <v>44916</v>
      </c>
      <c r="E257" t="s">
        <v>1066</v>
      </c>
      <c r="F257" t="s">
        <v>285</v>
      </c>
      <c r="G257" t="s">
        <v>1072</v>
      </c>
      <c r="H257" t="str">
        <f t="shared" si="21"/>
        <v>Electronics</v>
      </c>
      <c r="I257">
        <v>5</v>
      </c>
      <c r="J257" t="str">
        <f>VLOOKUP(K257,$AJ$2:$AK$7,2,FALSE)</f>
        <v>S001</v>
      </c>
      <c r="K257" t="s">
        <v>1097</v>
      </c>
      <c r="L257">
        <v>3</v>
      </c>
      <c r="M257" t="str">
        <f>IFERROR(VLOOKUP(TRIM(N257),$AP$2:$AQ$12,2,FALSE),"W001")</f>
        <v>W010</v>
      </c>
      <c r="N257" t="s">
        <v>1063</v>
      </c>
      <c r="O257" t="s">
        <v>1061</v>
      </c>
      <c r="P257" t="str">
        <f>VLOOKUP(O257,$AL$2:$AM$12,2,FALSE)</f>
        <v>West</v>
      </c>
      <c r="Q257" t="s">
        <v>1084</v>
      </c>
      <c r="R257">
        <v>1128</v>
      </c>
      <c r="S257" t="s">
        <v>1078</v>
      </c>
      <c r="T257">
        <f t="shared" si="22"/>
        <v>4</v>
      </c>
      <c r="U257">
        <v>338.4</v>
      </c>
      <c r="V257">
        <f t="shared" si="23"/>
        <v>6</v>
      </c>
      <c r="W257" t="s">
        <v>1087</v>
      </c>
      <c r="X257" t="s">
        <v>1091</v>
      </c>
      <c r="Y257">
        <f t="shared" si="24"/>
        <v>0</v>
      </c>
      <c r="Z257" t="s">
        <v>1108</v>
      </c>
      <c r="AA257" t="str">
        <f t="shared" si="25"/>
        <v>Low</v>
      </c>
      <c r="AB257" t="s">
        <v>1103</v>
      </c>
      <c r="AC257" t="str">
        <f t="shared" si="26"/>
        <v>Yes</v>
      </c>
      <c r="AD257">
        <v>5</v>
      </c>
      <c r="AE257">
        <v>126935</v>
      </c>
      <c r="AF257">
        <v>50774</v>
      </c>
      <c r="AG257">
        <f t="shared" si="27"/>
        <v>75822.600000000006</v>
      </c>
    </row>
    <row r="258" spans="1:33" x14ac:dyDescent="0.25">
      <c r="A258">
        <v>1257</v>
      </c>
      <c r="B258" s="1">
        <v>45909</v>
      </c>
      <c r="C258" s="1">
        <v>45910</v>
      </c>
      <c r="D258" s="1">
        <v>45916</v>
      </c>
      <c r="E258" t="s">
        <v>1066</v>
      </c>
      <c r="F258" t="s">
        <v>286</v>
      </c>
      <c r="G258" t="s">
        <v>1071</v>
      </c>
      <c r="H258" t="str">
        <f t="shared" si="21"/>
        <v>Clothing</v>
      </c>
      <c r="I258">
        <v>3</v>
      </c>
      <c r="J258" t="str">
        <f>VLOOKUP(K258,$AJ$2:$AK$7,2,FALSE)</f>
        <v>S006</v>
      </c>
      <c r="K258" t="s">
        <v>1102</v>
      </c>
      <c r="L258">
        <v>3.5</v>
      </c>
      <c r="M258" t="str">
        <f>IFERROR(VLOOKUP(TRIM(N258),$AP$2:$AQ$12,2,FALSE),"W001")</f>
        <v>W010</v>
      </c>
      <c r="N258" t="s">
        <v>1063</v>
      </c>
      <c r="O258" t="s">
        <v>1057</v>
      </c>
      <c r="P258" t="str">
        <f>VLOOKUP(O258,$AL$2:$AM$12,2,FALSE)</f>
        <v>South</v>
      </c>
      <c r="Q258" t="s">
        <v>1080</v>
      </c>
      <c r="R258">
        <v>1751</v>
      </c>
      <c r="S258" t="s">
        <v>1078</v>
      </c>
      <c r="T258">
        <f t="shared" si="22"/>
        <v>8</v>
      </c>
      <c r="U258">
        <v>262.64999999999998</v>
      </c>
      <c r="V258">
        <f t="shared" si="23"/>
        <v>4</v>
      </c>
      <c r="W258" t="s">
        <v>1086</v>
      </c>
      <c r="X258" t="s">
        <v>1091</v>
      </c>
      <c r="Y258">
        <f t="shared" si="24"/>
        <v>262.64999999999998</v>
      </c>
      <c r="Z258" t="s">
        <v>1108</v>
      </c>
      <c r="AA258" t="str">
        <f t="shared" si="25"/>
        <v>Low</v>
      </c>
      <c r="AB258" t="s">
        <v>1103</v>
      </c>
      <c r="AC258" t="str">
        <f t="shared" si="26"/>
        <v>Yes</v>
      </c>
      <c r="AD258">
        <v>4</v>
      </c>
      <c r="AE258">
        <v>6513</v>
      </c>
      <c r="AF258">
        <v>2605.2000000000003</v>
      </c>
      <c r="AG258">
        <f t="shared" si="27"/>
        <v>3645.1499999999996</v>
      </c>
    </row>
    <row r="259" spans="1:33" x14ac:dyDescent="0.25">
      <c r="A259">
        <v>1258</v>
      </c>
      <c r="B259" s="1">
        <v>45159</v>
      </c>
      <c r="C259" s="1">
        <v>45160</v>
      </c>
      <c r="D259" s="1">
        <v>45167</v>
      </c>
      <c r="E259" t="s">
        <v>1064</v>
      </c>
      <c r="F259" t="s">
        <v>287</v>
      </c>
      <c r="G259" t="s">
        <v>1072</v>
      </c>
      <c r="H259" t="str">
        <f t="shared" ref="H259:H322" si="28">IF(OR(G259="Laptop",G259="Mobile"),"Electronics",
IF(OR(G259="T-Shirt",G259="Jeans"),"Clothing",
IF(OR(G259="Table",G259="Chair"),"Furniture","")))</f>
        <v>Electronics</v>
      </c>
      <c r="I259">
        <v>9</v>
      </c>
      <c r="J259" t="str">
        <f>VLOOKUP(K259,$AJ$2:$AK$7,2,FALSE)</f>
        <v>S003</v>
      </c>
      <c r="K259" t="s">
        <v>1099</v>
      </c>
      <c r="L259">
        <v>4.5</v>
      </c>
      <c r="M259" t="str">
        <f>IFERROR(VLOOKUP(TRIM(N259),$AP$2:$AQ$12,2,FALSE),"W001")</f>
        <v>W005</v>
      </c>
      <c r="N259" t="s">
        <v>1055</v>
      </c>
      <c r="O259" t="s">
        <v>1047</v>
      </c>
      <c r="P259" t="str">
        <f>VLOOKUP(O259,$AL$2:$AM$12,2,FALSE)</f>
        <v>West</v>
      </c>
      <c r="Q259" t="s">
        <v>1083</v>
      </c>
      <c r="R259">
        <v>464</v>
      </c>
      <c r="S259" t="s">
        <v>1066</v>
      </c>
      <c r="T259">
        <f t="shared" ref="T259:T322" si="29">IF(Q259="Air",ROUND(R259/700,0)+1,
IF(Q259="Express",ROUND(R259/500,0)+1,
IF(Q259="Courier",ROUND(R259/350,0)+1,
IF(Q259="Road",ROUND(R259/250,0)+1,
IF(Q259="Rail",ROUND(R259/300,0)+2,
IF(Q259="Ship",ROUND(R259/200,0)+3,""))))))</f>
        <v>2</v>
      </c>
      <c r="U259">
        <v>232</v>
      </c>
      <c r="V259">
        <f t="shared" ref="V259:V322" si="30">IF(Q259="Road",5,
IF(Q259="Rail",4,
IF(Q259="Air",10,
IF(Q259="Ship",3,
IF(Q259="Courier",6,
IF(Q259="Express",8))))))</f>
        <v>10</v>
      </c>
      <c r="W259" t="s">
        <v>1086</v>
      </c>
      <c r="X259" t="s">
        <v>1089</v>
      </c>
      <c r="Y259">
        <f t="shared" ref="Y259:Y322" si="31">IF(W259="COD",U259,0)</f>
        <v>232</v>
      </c>
      <c r="Z259" t="s">
        <v>1108</v>
      </c>
      <c r="AA259" t="str">
        <f t="shared" ref="AA259:AA322" si="32">IF(Z259="Delayed","High",
IF(OR(Q259="Air",Q259="Express"),"Medium","Low"))</f>
        <v>Medium</v>
      </c>
      <c r="AB259" t="s">
        <v>1103</v>
      </c>
      <c r="AC259" t="str">
        <f t="shared" ref="AC259:AC322" si="33">IF(Z259="Delayed","No","Yes")</f>
        <v>Yes</v>
      </c>
      <c r="AD259">
        <v>5</v>
      </c>
      <c r="AE259">
        <v>121230</v>
      </c>
      <c r="AF259">
        <v>48492</v>
      </c>
      <c r="AG259">
        <f t="shared" ref="AG259:AG322" si="34">AE259 - AF259-U259</f>
        <v>72506</v>
      </c>
    </row>
    <row r="260" spans="1:33" x14ac:dyDescent="0.25">
      <c r="A260">
        <v>1259</v>
      </c>
      <c r="B260" s="1">
        <v>44670</v>
      </c>
      <c r="C260" s="1">
        <v>44673</v>
      </c>
      <c r="D260" s="1">
        <v>44678</v>
      </c>
      <c r="E260" t="s">
        <v>1065</v>
      </c>
      <c r="F260" t="s">
        <v>288</v>
      </c>
      <c r="G260" t="s">
        <v>1071</v>
      </c>
      <c r="H260" t="str">
        <f t="shared" si="28"/>
        <v>Clothing</v>
      </c>
      <c r="I260">
        <v>1</v>
      </c>
      <c r="J260" t="str">
        <f>VLOOKUP(K260,$AJ$2:$AK$7,2,FALSE)</f>
        <v>S001</v>
      </c>
      <c r="K260" t="s">
        <v>1097</v>
      </c>
      <c r="L260">
        <v>4.5999999999999996</v>
      </c>
      <c r="M260" t="str">
        <f>IFERROR(VLOOKUP(TRIM(N260),$AP$2:$AQ$12,2,FALSE),"W001")</f>
        <v>W009</v>
      </c>
      <c r="N260" t="s">
        <v>1060</v>
      </c>
      <c r="O260" t="s">
        <v>1057</v>
      </c>
      <c r="P260" t="str">
        <f>VLOOKUP(O260,$AL$2:$AM$12,2,FALSE)</f>
        <v>South</v>
      </c>
      <c r="Q260" t="s">
        <v>1080</v>
      </c>
      <c r="R260">
        <v>441</v>
      </c>
      <c r="S260" t="s">
        <v>1066</v>
      </c>
      <c r="T260">
        <f t="shared" si="29"/>
        <v>3</v>
      </c>
      <c r="U260">
        <v>66.150000000000006</v>
      </c>
      <c r="V260">
        <f t="shared" si="30"/>
        <v>4</v>
      </c>
      <c r="W260" t="s">
        <v>1088</v>
      </c>
      <c r="X260" t="s">
        <v>1090</v>
      </c>
      <c r="Y260">
        <f t="shared" si="31"/>
        <v>0</v>
      </c>
      <c r="Z260" t="s">
        <v>1108</v>
      </c>
      <c r="AA260" t="str">
        <f t="shared" si="32"/>
        <v>Low</v>
      </c>
      <c r="AB260" t="s">
        <v>1103</v>
      </c>
      <c r="AC260" t="str">
        <f t="shared" si="33"/>
        <v>Yes</v>
      </c>
      <c r="AD260">
        <v>5</v>
      </c>
      <c r="AE260">
        <v>1983</v>
      </c>
      <c r="AF260">
        <v>793.2</v>
      </c>
      <c r="AG260">
        <f t="shared" si="34"/>
        <v>1123.6499999999999</v>
      </c>
    </row>
    <row r="261" spans="1:33" x14ac:dyDescent="0.25">
      <c r="A261">
        <v>1260</v>
      </c>
      <c r="B261" s="1">
        <v>45825</v>
      </c>
      <c r="C261" s="1">
        <v>45826</v>
      </c>
      <c r="D261" s="1">
        <v>45833</v>
      </c>
      <c r="E261" t="s">
        <v>1064</v>
      </c>
      <c r="F261" t="s">
        <v>289</v>
      </c>
      <c r="G261" t="s">
        <v>1071</v>
      </c>
      <c r="H261" t="str">
        <f t="shared" si="28"/>
        <v>Clothing</v>
      </c>
      <c r="I261">
        <v>5</v>
      </c>
      <c r="J261" t="str">
        <f>VLOOKUP(K261,$AJ$2:$AK$7,2,FALSE)</f>
        <v>S001</v>
      </c>
      <c r="K261" t="s">
        <v>1097</v>
      </c>
      <c r="L261">
        <v>4.5999999999999996</v>
      </c>
      <c r="M261" t="str">
        <f>IFERROR(VLOOKUP(TRIM(N261),$AP$2:$AQ$12,2,FALSE),"W001")</f>
        <v>W011</v>
      </c>
      <c r="N261" t="s">
        <v>1059</v>
      </c>
      <c r="O261" t="s">
        <v>1062</v>
      </c>
      <c r="P261" t="str">
        <f>VLOOKUP(O261,$AL$2:$AM$12,2,FALSE)</f>
        <v>North</v>
      </c>
      <c r="Q261" t="s">
        <v>1084</v>
      </c>
      <c r="R261">
        <v>798</v>
      </c>
      <c r="S261" t="s">
        <v>1066</v>
      </c>
      <c r="T261">
        <f t="shared" si="29"/>
        <v>3</v>
      </c>
      <c r="U261">
        <v>239.4</v>
      </c>
      <c r="V261">
        <f t="shared" si="30"/>
        <v>6</v>
      </c>
      <c r="W261" t="s">
        <v>1086</v>
      </c>
      <c r="X261" t="s">
        <v>1091</v>
      </c>
      <c r="Y261">
        <f t="shared" si="31"/>
        <v>239.4</v>
      </c>
      <c r="Z261" t="s">
        <v>1108</v>
      </c>
      <c r="AA261" t="str">
        <f t="shared" si="32"/>
        <v>Low</v>
      </c>
      <c r="AB261" t="s">
        <v>1103</v>
      </c>
      <c r="AC261" t="str">
        <f t="shared" si="33"/>
        <v>Yes</v>
      </c>
      <c r="AD261">
        <v>5</v>
      </c>
      <c r="AE261">
        <v>13885</v>
      </c>
      <c r="AF261">
        <v>5554</v>
      </c>
      <c r="AG261">
        <f t="shared" si="34"/>
        <v>8091.6</v>
      </c>
    </row>
    <row r="262" spans="1:33" x14ac:dyDescent="0.25">
      <c r="A262">
        <v>1261</v>
      </c>
      <c r="B262" s="1">
        <v>45566</v>
      </c>
      <c r="C262" s="1">
        <v>45569</v>
      </c>
      <c r="D262" s="1">
        <v>45574</v>
      </c>
      <c r="E262" t="s">
        <v>1065</v>
      </c>
      <c r="F262" t="s">
        <v>290</v>
      </c>
      <c r="G262" t="s">
        <v>1069</v>
      </c>
      <c r="H262" t="str">
        <f t="shared" si="28"/>
        <v>Furniture</v>
      </c>
      <c r="I262">
        <v>3</v>
      </c>
      <c r="J262" t="str">
        <f>VLOOKUP(K262,$AJ$2:$AK$7,2,FALSE)</f>
        <v>S004</v>
      </c>
      <c r="K262" t="s">
        <v>1100</v>
      </c>
      <c r="L262">
        <v>4.0999999999999996</v>
      </c>
      <c r="M262" t="str">
        <f>IFERROR(VLOOKUP(TRIM(N262),$AP$2:$AQ$12,2,FALSE),"W001")</f>
        <v>W005</v>
      </c>
      <c r="N262" t="s">
        <v>1055</v>
      </c>
      <c r="O262" t="s">
        <v>1049</v>
      </c>
      <c r="P262" t="str">
        <f>VLOOKUP(O262,$AL$2:$AM$12,2,FALSE)</f>
        <v>North</v>
      </c>
      <c r="Q262" t="s">
        <v>1085</v>
      </c>
      <c r="R262">
        <v>1790</v>
      </c>
      <c r="S262" t="s">
        <v>1078</v>
      </c>
      <c r="T262">
        <f t="shared" si="29"/>
        <v>12</v>
      </c>
      <c r="U262">
        <v>179</v>
      </c>
      <c r="V262">
        <f t="shared" si="30"/>
        <v>3</v>
      </c>
      <c r="W262" t="s">
        <v>1088</v>
      </c>
      <c r="X262" t="s">
        <v>1091</v>
      </c>
      <c r="Y262">
        <f t="shared" si="31"/>
        <v>0</v>
      </c>
      <c r="Z262" t="s">
        <v>1108</v>
      </c>
      <c r="AA262" t="str">
        <f t="shared" si="32"/>
        <v>Low</v>
      </c>
      <c r="AB262" t="s">
        <v>1103</v>
      </c>
      <c r="AC262" t="str">
        <f t="shared" si="33"/>
        <v>Yes</v>
      </c>
      <c r="AD262">
        <v>4</v>
      </c>
      <c r="AE262">
        <v>35721</v>
      </c>
      <c r="AF262">
        <v>14288.400000000001</v>
      </c>
      <c r="AG262">
        <f t="shared" si="34"/>
        <v>21253.599999999999</v>
      </c>
    </row>
    <row r="263" spans="1:33" x14ac:dyDescent="0.25">
      <c r="A263">
        <v>1262</v>
      </c>
      <c r="B263" s="1">
        <v>45932</v>
      </c>
      <c r="C263" s="1">
        <v>45934</v>
      </c>
      <c r="D263" s="1">
        <v>45937</v>
      </c>
      <c r="E263" t="s">
        <v>1065</v>
      </c>
      <c r="F263" t="s">
        <v>291</v>
      </c>
      <c r="G263" t="s">
        <v>1067</v>
      </c>
      <c r="H263" t="str">
        <f t="shared" si="28"/>
        <v>Clothing</v>
      </c>
      <c r="I263">
        <v>8</v>
      </c>
      <c r="J263" t="str">
        <f>VLOOKUP(K263,$AJ$2:$AK$7,2,FALSE)</f>
        <v>S003</v>
      </c>
      <c r="K263" t="s">
        <v>1099</v>
      </c>
      <c r="L263">
        <v>4.4000000000000004</v>
      </c>
      <c r="M263" t="str">
        <f>IFERROR(VLOOKUP(TRIM(N263),$AP$2:$AQ$12,2,FALSE),"W001")</f>
        <v>W001</v>
      </c>
      <c r="N263" t="s">
        <v>1047</v>
      </c>
      <c r="O263" t="s">
        <v>1059</v>
      </c>
      <c r="P263" t="str">
        <f>VLOOKUP(O263,$AL$2:$AM$12,2,FALSE)</f>
        <v>North</v>
      </c>
      <c r="Q263" t="s">
        <v>1080</v>
      </c>
      <c r="R263">
        <v>1825</v>
      </c>
      <c r="S263" t="s">
        <v>1078</v>
      </c>
      <c r="T263">
        <f t="shared" si="29"/>
        <v>8</v>
      </c>
      <c r="U263">
        <v>273.75</v>
      </c>
      <c r="V263">
        <f t="shared" si="30"/>
        <v>4</v>
      </c>
      <c r="W263" t="s">
        <v>1086</v>
      </c>
      <c r="X263" t="s">
        <v>1091</v>
      </c>
      <c r="Y263">
        <f t="shared" si="31"/>
        <v>273.75</v>
      </c>
      <c r="Z263" t="s">
        <v>1108</v>
      </c>
      <c r="AA263" t="str">
        <f t="shared" si="32"/>
        <v>Low</v>
      </c>
      <c r="AB263" t="s">
        <v>1103</v>
      </c>
      <c r="AC263" t="str">
        <f t="shared" si="33"/>
        <v>Yes</v>
      </c>
      <c r="AD263">
        <v>4</v>
      </c>
      <c r="AE263">
        <v>4096</v>
      </c>
      <c r="AF263">
        <v>1638.4</v>
      </c>
      <c r="AG263">
        <f t="shared" si="34"/>
        <v>2183.85</v>
      </c>
    </row>
    <row r="264" spans="1:33" x14ac:dyDescent="0.25">
      <c r="A264">
        <v>1263</v>
      </c>
      <c r="B264" s="1">
        <v>45839</v>
      </c>
      <c r="C264" s="1">
        <v>45840</v>
      </c>
      <c r="D264" s="1">
        <v>45846</v>
      </c>
      <c r="E264" t="s">
        <v>1064</v>
      </c>
      <c r="F264" t="s">
        <v>292</v>
      </c>
      <c r="G264" t="s">
        <v>1067</v>
      </c>
      <c r="H264" t="str">
        <f t="shared" si="28"/>
        <v>Clothing</v>
      </c>
      <c r="I264">
        <v>7</v>
      </c>
      <c r="J264" t="str">
        <f>VLOOKUP(K264,$AJ$2:$AK$7,2,FALSE)</f>
        <v>S004</v>
      </c>
      <c r="K264" t="s">
        <v>1100</v>
      </c>
      <c r="L264">
        <v>3.6</v>
      </c>
      <c r="M264" t="str">
        <f>IFERROR(VLOOKUP(TRIM(N264),$AP$2:$AQ$12,2,FALSE),"W001")</f>
        <v>W009</v>
      </c>
      <c r="N264" t="s">
        <v>1060</v>
      </c>
      <c r="O264" t="s">
        <v>1049</v>
      </c>
      <c r="P264" t="str">
        <f>VLOOKUP(O264,$AL$2:$AM$12,2,FALSE)</f>
        <v>North</v>
      </c>
      <c r="Q264" t="s">
        <v>1084</v>
      </c>
      <c r="R264">
        <v>431</v>
      </c>
      <c r="S264" t="s">
        <v>1066</v>
      </c>
      <c r="T264">
        <f t="shared" si="29"/>
        <v>2</v>
      </c>
      <c r="U264">
        <v>129.30000000000001</v>
      </c>
      <c r="V264">
        <f t="shared" si="30"/>
        <v>6</v>
      </c>
      <c r="W264" t="s">
        <v>1087</v>
      </c>
      <c r="X264" t="s">
        <v>1091</v>
      </c>
      <c r="Y264">
        <f t="shared" si="31"/>
        <v>0</v>
      </c>
      <c r="Z264" t="s">
        <v>1108</v>
      </c>
      <c r="AA264" t="str">
        <f t="shared" si="32"/>
        <v>Low</v>
      </c>
      <c r="AB264" t="s">
        <v>1103</v>
      </c>
      <c r="AC264" t="str">
        <f t="shared" si="33"/>
        <v>Yes</v>
      </c>
      <c r="AD264">
        <v>4</v>
      </c>
      <c r="AE264">
        <v>8596</v>
      </c>
      <c r="AF264">
        <v>3438.4</v>
      </c>
      <c r="AG264">
        <f t="shared" si="34"/>
        <v>5028.3</v>
      </c>
    </row>
    <row r="265" spans="1:33" x14ac:dyDescent="0.25">
      <c r="A265">
        <v>1264</v>
      </c>
      <c r="B265" s="1">
        <v>44944</v>
      </c>
      <c r="C265" s="1">
        <v>44947</v>
      </c>
      <c r="D265" s="1">
        <v>44953</v>
      </c>
      <c r="E265" t="s">
        <v>1064</v>
      </c>
      <c r="F265" t="s">
        <v>293</v>
      </c>
      <c r="G265" t="s">
        <v>1070</v>
      </c>
      <c r="H265" t="str">
        <f t="shared" si="28"/>
        <v>Furniture</v>
      </c>
      <c r="I265">
        <v>9</v>
      </c>
      <c r="J265" t="str">
        <f>VLOOKUP(K265,$AJ$2:$AK$7,2,FALSE)</f>
        <v>S004</v>
      </c>
      <c r="K265" t="s">
        <v>1100</v>
      </c>
      <c r="L265">
        <v>3.8</v>
      </c>
      <c r="M265" t="str">
        <f>IFERROR(VLOOKUP(TRIM(N265),$AP$2:$AQ$12,2,FALSE),"W001")</f>
        <v>W002</v>
      </c>
      <c r="N265" t="s">
        <v>1049</v>
      </c>
      <c r="O265" t="s">
        <v>1051</v>
      </c>
      <c r="P265" t="str">
        <f>VLOOKUP(O265,$AL$2:$AM$12,2,FALSE)</f>
        <v>West</v>
      </c>
      <c r="Q265" t="s">
        <v>1081</v>
      </c>
      <c r="R265">
        <v>1024</v>
      </c>
      <c r="S265" t="s">
        <v>1078</v>
      </c>
      <c r="T265">
        <f t="shared" si="29"/>
        <v>5</v>
      </c>
      <c r="U265">
        <v>204.8</v>
      </c>
      <c r="V265">
        <f t="shared" si="30"/>
        <v>5</v>
      </c>
      <c r="W265" t="s">
        <v>1086</v>
      </c>
      <c r="X265" t="s">
        <v>1091</v>
      </c>
      <c r="Y265">
        <f t="shared" si="31"/>
        <v>204.8</v>
      </c>
      <c r="Z265" t="s">
        <v>1108</v>
      </c>
      <c r="AA265" t="str">
        <f t="shared" si="32"/>
        <v>Low</v>
      </c>
      <c r="AB265" t="s">
        <v>1103</v>
      </c>
      <c r="AC265" t="str">
        <f t="shared" si="33"/>
        <v>Yes</v>
      </c>
      <c r="AD265">
        <v>5</v>
      </c>
      <c r="AE265">
        <v>39591</v>
      </c>
      <c r="AF265">
        <v>15836.400000000001</v>
      </c>
      <c r="AG265">
        <f t="shared" si="34"/>
        <v>23549.8</v>
      </c>
    </row>
    <row r="266" spans="1:33" x14ac:dyDescent="0.25">
      <c r="A266">
        <v>1265</v>
      </c>
      <c r="B266" s="1">
        <v>44930</v>
      </c>
      <c r="C266" s="1">
        <v>44933</v>
      </c>
      <c r="D266" s="1">
        <v>44935</v>
      </c>
      <c r="E266" t="s">
        <v>1065</v>
      </c>
      <c r="F266" t="s">
        <v>294</v>
      </c>
      <c r="G266" t="s">
        <v>1068</v>
      </c>
      <c r="H266" t="str">
        <f t="shared" si="28"/>
        <v>Electronics</v>
      </c>
      <c r="I266">
        <v>9</v>
      </c>
      <c r="J266" t="str">
        <f>VLOOKUP(K266,$AJ$2:$AK$7,2,FALSE)</f>
        <v>S006</v>
      </c>
      <c r="K266" t="s">
        <v>1102</v>
      </c>
      <c r="L266">
        <v>4.9000000000000004</v>
      </c>
      <c r="M266" t="str">
        <f>IFERROR(VLOOKUP(TRIM(N266),$AP$2:$AQ$12,2,FALSE),"W001")</f>
        <v>W002</v>
      </c>
      <c r="N266" t="s">
        <v>1049</v>
      </c>
      <c r="O266" t="s">
        <v>1062</v>
      </c>
      <c r="P266" t="str">
        <f>VLOOKUP(O266,$AL$2:$AM$12,2,FALSE)</f>
        <v>North</v>
      </c>
      <c r="Q266" t="s">
        <v>1082</v>
      </c>
      <c r="R266">
        <v>1636</v>
      </c>
      <c r="S266" t="s">
        <v>1078</v>
      </c>
      <c r="T266">
        <f t="shared" si="29"/>
        <v>4</v>
      </c>
      <c r="U266">
        <v>654.4</v>
      </c>
      <c r="V266">
        <f t="shared" si="30"/>
        <v>8</v>
      </c>
      <c r="W266" t="s">
        <v>1087</v>
      </c>
      <c r="X266" t="s">
        <v>1089</v>
      </c>
      <c r="Y266">
        <f t="shared" si="31"/>
        <v>0</v>
      </c>
      <c r="Z266" t="s">
        <v>1109</v>
      </c>
      <c r="AA266" t="str">
        <f t="shared" si="32"/>
        <v>High</v>
      </c>
      <c r="AB266" t="s">
        <v>1103</v>
      </c>
      <c r="AC266" t="str">
        <f t="shared" si="33"/>
        <v>No</v>
      </c>
      <c r="AD266">
        <v>3</v>
      </c>
      <c r="AE266">
        <v>444294</v>
      </c>
      <c r="AF266">
        <v>177717.6</v>
      </c>
      <c r="AG266">
        <f t="shared" si="34"/>
        <v>265922</v>
      </c>
    </row>
    <row r="267" spans="1:33" x14ac:dyDescent="0.25">
      <c r="A267">
        <v>1266</v>
      </c>
      <c r="B267" s="1">
        <v>46347</v>
      </c>
      <c r="C267" s="1">
        <v>46350</v>
      </c>
      <c r="D267" s="1">
        <v>46356</v>
      </c>
      <c r="E267" t="s">
        <v>1066</v>
      </c>
      <c r="F267" t="s">
        <v>295</v>
      </c>
      <c r="G267" t="s">
        <v>1069</v>
      </c>
      <c r="H267" t="str">
        <f t="shared" si="28"/>
        <v>Furniture</v>
      </c>
      <c r="I267">
        <v>10</v>
      </c>
      <c r="J267" t="str">
        <f>VLOOKUP(K267,$AJ$2:$AK$7,2,FALSE)</f>
        <v>S003</v>
      </c>
      <c r="K267" t="s">
        <v>1099</v>
      </c>
      <c r="L267">
        <v>3.3</v>
      </c>
      <c r="M267" t="str">
        <f>IFERROR(VLOOKUP(TRIM(N267),$AP$2:$AQ$12,2,FALSE),"W001")</f>
        <v>W011</v>
      </c>
      <c r="N267" t="s">
        <v>1059</v>
      </c>
      <c r="O267" t="s">
        <v>1055</v>
      </c>
      <c r="P267" t="str">
        <f>VLOOKUP(O267,$AL$2:$AM$12,2,FALSE)</f>
        <v>South</v>
      </c>
      <c r="Q267" t="s">
        <v>1083</v>
      </c>
      <c r="R267">
        <v>618</v>
      </c>
      <c r="S267" t="s">
        <v>1066</v>
      </c>
      <c r="T267">
        <f t="shared" si="29"/>
        <v>2</v>
      </c>
      <c r="U267">
        <v>309</v>
      </c>
      <c r="V267">
        <f t="shared" si="30"/>
        <v>10</v>
      </c>
      <c r="W267" t="s">
        <v>1088</v>
      </c>
      <c r="X267" t="s">
        <v>1090</v>
      </c>
      <c r="Y267">
        <f t="shared" si="31"/>
        <v>0</v>
      </c>
      <c r="Z267" t="s">
        <v>1108</v>
      </c>
      <c r="AA267" t="str">
        <f t="shared" si="32"/>
        <v>Medium</v>
      </c>
      <c r="AB267" t="s">
        <v>1103</v>
      </c>
      <c r="AC267" t="str">
        <f t="shared" si="33"/>
        <v>Yes</v>
      </c>
      <c r="AD267">
        <v>4</v>
      </c>
      <c r="AE267">
        <v>146630</v>
      </c>
      <c r="AF267">
        <v>58652</v>
      </c>
      <c r="AG267">
        <f t="shared" si="34"/>
        <v>87669</v>
      </c>
    </row>
    <row r="268" spans="1:33" x14ac:dyDescent="0.25">
      <c r="A268">
        <v>1267</v>
      </c>
      <c r="B268" s="1">
        <v>45282</v>
      </c>
      <c r="C268" s="1">
        <v>45283</v>
      </c>
      <c r="D268" s="1">
        <v>45288</v>
      </c>
      <c r="E268" t="s">
        <v>1064</v>
      </c>
      <c r="F268" t="s">
        <v>296</v>
      </c>
      <c r="G268" t="s">
        <v>1072</v>
      </c>
      <c r="H268" t="str">
        <f t="shared" si="28"/>
        <v>Electronics</v>
      </c>
      <c r="I268">
        <v>3</v>
      </c>
      <c r="J268" t="str">
        <f>VLOOKUP(K268,$AJ$2:$AK$7,2,FALSE)</f>
        <v>S006</v>
      </c>
      <c r="K268" t="s">
        <v>1102</v>
      </c>
      <c r="L268">
        <v>4.0999999999999996</v>
      </c>
      <c r="M268" t="str">
        <f>IFERROR(VLOOKUP(TRIM(N268),$AP$2:$AQ$12,2,FALSE),"W001")</f>
        <v>W004</v>
      </c>
      <c r="N268" t="s">
        <v>1053</v>
      </c>
      <c r="O268" t="s">
        <v>1049</v>
      </c>
      <c r="P268" t="str">
        <f>VLOOKUP(O268,$AL$2:$AM$12,2,FALSE)</f>
        <v>North</v>
      </c>
      <c r="Q268" t="s">
        <v>1080</v>
      </c>
      <c r="R268">
        <v>769</v>
      </c>
      <c r="S268" t="s">
        <v>1066</v>
      </c>
      <c r="T268">
        <f t="shared" si="29"/>
        <v>5</v>
      </c>
      <c r="U268">
        <v>115.35</v>
      </c>
      <c r="V268">
        <f t="shared" si="30"/>
        <v>4</v>
      </c>
      <c r="W268" t="s">
        <v>1086</v>
      </c>
      <c r="X268" t="s">
        <v>1090</v>
      </c>
      <c r="Y268">
        <f t="shared" si="31"/>
        <v>115.35</v>
      </c>
      <c r="Z268" t="s">
        <v>1108</v>
      </c>
      <c r="AA268" t="str">
        <f t="shared" si="32"/>
        <v>Low</v>
      </c>
      <c r="AB268" t="s">
        <v>1103</v>
      </c>
      <c r="AC268" t="str">
        <f t="shared" si="33"/>
        <v>Yes</v>
      </c>
      <c r="AD268">
        <v>5</v>
      </c>
      <c r="AE268">
        <v>70662</v>
      </c>
      <c r="AF268">
        <v>28264.800000000003</v>
      </c>
      <c r="AG268">
        <f t="shared" si="34"/>
        <v>42281.85</v>
      </c>
    </row>
    <row r="269" spans="1:33" x14ac:dyDescent="0.25">
      <c r="A269">
        <v>1268</v>
      </c>
      <c r="B269" s="1">
        <v>45313</v>
      </c>
      <c r="C269" s="1">
        <v>45316</v>
      </c>
      <c r="D269" s="1">
        <v>45323</v>
      </c>
      <c r="E269" t="s">
        <v>1066</v>
      </c>
      <c r="F269" t="s">
        <v>297</v>
      </c>
      <c r="G269" t="s">
        <v>1068</v>
      </c>
      <c r="H269" t="str">
        <f t="shared" si="28"/>
        <v>Electronics</v>
      </c>
      <c r="I269">
        <v>8</v>
      </c>
      <c r="J269" t="str">
        <f>VLOOKUP(K269,$AJ$2:$AK$7,2,FALSE)</f>
        <v>S001</v>
      </c>
      <c r="K269" t="s">
        <v>1097</v>
      </c>
      <c r="L269">
        <v>3.3</v>
      </c>
      <c r="M269" t="str">
        <f>IFERROR(VLOOKUP(TRIM(N269),$AP$2:$AQ$12,2,FALSE),"W001")</f>
        <v>W002</v>
      </c>
      <c r="N269" t="s">
        <v>1049</v>
      </c>
      <c r="O269" t="s">
        <v>1049</v>
      </c>
      <c r="P269" t="str">
        <f>VLOOKUP(O269,$AL$2:$AM$12,2,FALSE)</f>
        <v>North</v>
      </c>
      <c r="Q269" t="s">
        <v>1085</v>
      </c>
      <c r="R269">
        <v>20</v>
      </c>
      <c r="S269" t="s">
        <v>1079</v>
      </c>
      <c r="T269">
        <f t="shared" si="29"/>
        <v>3</v>
      </c>
      <c r="U269">
        <v>2</v>
      </c>
      <c r="V269">
        <f t="shared" si="30"/>
        <v>3</v>
      </c>
      <c r="W269" t="s">
        <v>1088</v>
      </c>
      <c r="X269" t="s">
        <v>1090</v>
      </c>
      <c r="Y269">
        <f t="shared" si="31"/>
        <v>0</v>
      </c>
      <c r="Z269" t="s">
        <v>1108</v>
      </c>
      <c r="AA269" t="str">
        <f t="shared" si="32"/>
        <v>Low</v>
      </c>
      <c r="AB269" t="s">
        <v>1103</v>
      </c>
      <c r="AC269" t="str">
        <f t="shared" si="33"/>
        <v>Yes</v>
      </c>
      <c r="AD269">
        <v>4</v>
      </c>
      <c r="AE269">
        <v>374040</v>
      </c>
      <c r="AF269">
        <v>149616</v>
      </c>
      <c r="AG269">
        <f t="shared" si="34"/>
        <v>224422</v>
      </c>
    </row>
    <row r="270" spans="1:33" x14ac:dyDescent="0.25">
      <c r="A270">
        <v>1269</v>
      </c>
      <c r="B270" s="1">
        <v>45585</v>
      </c>
      <c r="C270" s="1">
        <v>45586</v>
      </c>
      <c r="D270" s="1">
        <v>45588</v>
      </c>
      <c r="E270" t="s">
        <v>1066</v>
      </c>
      <c r="F270" t="s">
        <v>298</v>
      </c>
      <c r="G270" t="s">
        <v>1071</v>
      </c>
      <c r="H270" t="str">
        <f t="shared" si="28"/>
        <v>Clothing</v>
      </c>
      <c r="I270">
        <v>8</v>
      </c>
      <c r="J270" t="str">
        <f>VLOOKUP(K270,$AJ$2:$AK$7,2,FALSE)</f>
        <v>S001</v>
      </c>
      <c r="K270" t="s">
        <v>1097</v>
      </c>
      <c r="L270">
        <v>5</v>
      </c>
      <c r="M270" t="str">
        <f>IFERROR(VLOOKUP(TRIM(N270),$AP$2:$AQ$12,2,FALSE),"W001")</f>
        <v>W006</v>
      </c>
      <c r="N270" t="s">
        <v>1057</v>
      </c>
      <c r="O270" t="s">
        <v>1060</v>
      </c>
      <c r="P270" t="str">
        <f>VLOOKUP(O270,$AL$2:$AM$12,2,FALSE)</f>
        <v>North</v>
      </c>
      <c r="Q270" t="s">
        <v>1084</v>
      </c>
      <c r="R270">
        <v>108</v>
      </c>
      <c r="S270" t="s">
        <v>1079</v>
      </c>
      <c r="T270">
        <f t="shared" si="29"/>
        <v>1</v>
      </c>
      <c r="U270">
        <v>32.4</v>
      </c>
      <c r="V270">
        <f t="shared" si="30"/>
        <v>6</v>
      </c>
      <c r="W270" t="s">
        <v>1087</v>
      </c>
      <c r="X270" t="s">
        <v>1091</v>
      </c>
      <c r="Y270">
        <f t="shared" si="31"/>
        <v>0</v>
      </c>
      <c r="Z270" t="s">
        <v>1108</v>
      </c>
      <c r="AA270" t="str">
        <f t="shared" si="32"/>
        <v>Low</v>
      </c>
      <c r="AB270" t="s">
        <v>1103</v>
      </c>
      <c r="AC270" t="str">
        <f t="shared" si="33"/>
        <v>Yes</v>
      </c>
      <c r="AD270">
        <v>5</v>
      </c>
      <c r="AE270">
        <v>11832</v>
      </c>
      <c r="AF270">
        <v>4732.8</v>
      </c>
      <c r="AG270">
        <f t="shared" si="34"/>
        <v>7066.8</v>
      </c>
    </row>
    <row r="271" spans="1:33" x14ac:dyDescent="0.25">
      <c r="A271">
        <v>1270</v>
      </c>
      <c r="B271" s="1">
        <v>45899</v>
      </c>
      <c r="C271" s="1">
        <v>45901</v>
      </c>
      <c r="D271" s="1">
        <v>45906</v>
      </c>
      <c r="E271" t="s">
        <v>1066</v>
      </c>
      <c r="F271" t="s">
        <v>299</v>
      </c>
      <c r="G271" t="s">
        <v>1072</v>
      </c>
      <c r="H271" t="str">
        <f t="shared" si="28"/>
        <v>Electronics</v>
      </c>
      <c r="I271">
        <v>3</v>
      </c>
      <c r="J271" t="str">
        <f>VLOOKUP(K271,$AJ$2:$AK$7,2,FALSE)</f>
        <v>S004</v>
      </c>
      <c r="K271" t="s">
        <v>1100</v>
      </c>
      <c r="L271">
        <v>3.7</v>
      </c>
      <c r="M271" t="str">
        <f>IFERROR(VLOOKUP(TRIM(N271),$AP$2:$AQ$12,2,FALSE),"W001")</f>
        <v>W004</v>
      </c>
      <c r="N271" t="s">
        <v>1053</v>
      </c>
      <c r="O271" t="s">
        <v>1053</v>
      </c>
      <c r="P271" t="str">
        <f>VLOOKUP(O271,$AL$2:$AM$12,2,FALSE)</f>
        <v>South</v>
      </c>
      <c r="Q271" t="s">
        <v>1081</v>
      </c>
      <c r="R271">
        <v>21</v>
      </c>
      <c r="S271" t="s">
        <v>1079</v>
      </c>
      <c r="T271">
        <f t="shared" si="29"/>
        <v>1</v>
      </c>
      <c r="U271">
        <v>4.2</v>
      </c>
      <c r="V271">
        <f t="shared" si="30"/>
        <v>5</v>
      </c>
      <c r="W271" t="s">
        <v>1088</v>
      </c>
      <c r="X271" t="s">
        <v>1091</v>
      </c>
      <c r="Y271">
        <f t="shared" si="31"/>
        <v>0</v>
      </c>
      <c r="Z271" t="s">
        <v>1108</v>
      </c>
      <c r="AA271" t="str">
        <f t="shared" si="32"/>
        <v>Low</v>
      </c>
      <c r="AB271" t="s">
        <v>1103</v>
      </c>
      <c r="AC271" t="str">
        <f t="shared" si="33"/>
        <v>Yes</v>
      </c>
      <c r="AD271">
        <v>4</v>
      </c>
      <c r="AE271">
        <v>89604</v>
      </c>
      <c r="AF271">
        <v>35841.599999999999</v>
      </c>
      <c r="AG271">
        <f t="shared" si="34"/>
        <v>53758.200000000004</v>
      </c>
    </row>
    <row r="272" spans="1:33" x14ac:dyDescent="0.25">
      <c r="A272">
        <v>1271</v>
      </c>
      <c r="B272" s="1">
        <v>44224</v>
      </c>
      <c r="C272" s="1">
        <v>44226</v>
      </c>
      <c r="D272" s="1">
        <v>44233</v>
      </c>
      <c r="E272" t="s">
        <v>1064</v>
      </c>
      <c r="F272" t="s">
        <v>300</v>
      </c>
      <c r="G272" t="s">
        <v>1070</v>
      </c>
      <c r="H272" t="str">
        <f t="shared" si="28"/>
        <v>Furniture</v>
      </c>
      <c r="I272">
        <v>6</v>
      </c>
      <c r="J272" t="str">
        <f>VLOOKUP(K272,$AJ$2:$AK$7,2,FALSE)</f>
        <v>S003</v>
      </c>
      <c r="K272" t="s">
        <v>1099</v>
      </c>
      <c r="L272">
        <v>4.9000000000000004</v>
      </c>
      <c r="M272" t="str">
        <f>IFERROR(VLOOKUP(TRIM(N272),$AP$2:$AQ$12,2,FALSE),"W001")</f>
        <v>W007</v>
      </c>
      <c r="N272" t="s">
        <v>1062</v>
      </c>
      <c r="O272" t="s">
        <v>1063</v>
      </c>
      <c r="P272" t="str">
        <f>VLOOKUP(O272,$AL$2:$AM$12,2,FALSE)</f>
        <v>South</v>
      </c>
      <c r="Q272" t="s">
        <v>1083</v>
      </c>
      <c r="R272">
        <v>1223</v>
      </c>
      <c r="S272" t="s">
        <v>1078</v>
      </c>
      <c r="T272">
        <f t="shared" si="29"/>
        <v>3</v>
      </c>
      <c r="U272">
        <v>611.5</v>
      </c>
      <c r="V272">
        <f t="shared" si="30"/>
        <v>10</v>
      </c>
      <c r="W272" t="s">
        <v>1088</v>
      </c>
      <c r="X272" t="s">
        <v>1089</v>
      </c>
      <c r="Y272">
        <f t="shared" si="31"/>
        <v>0</v>
      </c>
      <c r="Z272" t="s">
        <v>1108</v>
      </c>
      <c r="AA272" t="str">
        <f t="shared" si="32"/>
        <v>Medium</v>
      </c>
      <c r="AB272" t="s">
        <v>1104</v>
      </c>
      <c r="AC272" t="str">
        <f t="shared" si="33"/>
        <v>Yes</v>
      </c>
      <c r="AD272">
        <v>2</v>
      </c>
      <c r="AE272">
        <v>46290</v>
      </c>
      <c r="AF272">
        <v>18516</v>
      </c>
      <c r="AG272">
        <f t="shared" si="34"/>
        <v>27162.5</v>
      </c>
    </row>
    <row r="273" spans="1:33" x14ac:dyDescent="0.25">
      <c r="A273">
        <v>1272</v>
      </c>
      <c r="B273" s="1">
        <v>44460</v>
      </c>
      <c r="C273" s="1">
        <v>44462</v>
      </c>
      <c r="D273" s="1">
        <v>44464</v>
      </c>
      <c r="E273" t="s">
        <v>1065</v>
      </c>
      <c r="F273" t="s">
        <v>301</v>
      </c>
      <c r="G273" t="s">
        <v>1069</v>
      </c>
      <c r="H273" t="str">
        <f t="shared" si="28"/>
        <v>Furniture</v>
      </c>
      <c r="I273">
        <v>2</v>
      </c>
      <c r="J273" t="str">
        <f>VLOOKUP(K273,$AJ$2:$AK$7,2,FALSE)</f>
        <v>S003</v>
      </c>
      <c r="K273" t="s">
        <v>1099</v>
      </c>
      <c r="L273">
        <v>4.3</v>
      </c>
      <c r="M273" t="str">
        <f>IFERROR(VLOOKUP(TRIM(N273),$AP$2:$AQ$12,2,FALSE),"W001")</f>
        <v>W002</v>
      </c>
      <c r="N273" t="s">
        <v>1049</v>
      </c>
      <c r="O273" t="s">
        <v>1062</v>
      </c>
      <c r="P273" t="str">
        <f>VLOOKUP(O273,$AL$2:$AM$12,2,FALSE)</f>
        <v>North</v>
      </c>
      <c r="Q273" t="s">
        <v>1080</v>
      </c>
      <c r="R273">
        <v>1438</v>
      </c>
      <c r="S273" t="s">
        <v>1078</v>
      </c>
      <c r="T273">
        <f t="shared" si="29"/>
        <v>7</v>
      </c>
      <c r="U273">
        <v>215.7</v>
      </c>
      <c r="V273">
        <f t="shared" si="30"/>
        <v>4</v>
      </c>
      <c r="W273" t="s">
        <v>1086</v>
      </c>
      <c r="X273" t="s">
        <v>1090</v>
      </c>
      <c r="Y273">
        <f t="shared" si="31"/>
        <v>215.7</v>
      </c>
      <c r="Z273" t="s">
        <v>1108</v>
      </c>
      <c r="AA273" t="str">
        <f t="shared" si="32"/>
        <v>Low</v>
      </c>
      <c r="AB273" t="s">
        <v>1103</v>
      </c>
      <c r="AC273" t="str">
        <f t="shared" si="33"/>
        <v>Yes</v>
      </c>
      <c r="AD273">
        <v>5</v>
      </c>
      <c r="AE273">
        <v>19098</v>
      </c>
      <c r="AF273">
        <v>7639.2000000000007</v>
      </c>
      <c r="AG273">
        <f t="shared" si="34"/>
        <v>11243.099999999999</v>
      </c>
    </row>
    <row r="274" spans="1:33" x14ac:dyDescent="0.25">
      <c r="A274">
        <v>1273</v>
      </c>
      <c r="B274" s="1">
        <v>44624</v>
      </c>
      <c r="C274" s="1">
        <v>44625</v>
      </c>
      <c r="D274" s="1">
        <v>44630</v>
      </c>
      <c r="E274" t="s">
        <v>1065</v>
      </c>
      <c r="F274" t="s">
        <v>302</v>
      </c>
      <c r="G274" t="s">
        <v>1067</v>
      </c>
      <c r="H274" t="str">
        <f t="shared" si="28"/>
        <v>Clothing</v>
      </c>
      <c r="I274">
        <v>4</v>
      </c>
      <c r="J274" t="str">
        <f>VLOOKUP(K274,$AJ$2:$AK$7,2,FALSE)</f>
        <v>S005</v>
      </c>
      <c r="K274" t="s">
        <v>1101</v>
      </c>
      <c r="L274">
        <v>4.9000000000000004</v>
      </c>
      <c r="M274" t="str">
        <f>IFERROR(VLOOKUP(TRIM(N274),$AP$2:$AQ$12,2,FALSE),"W001")</f>
        <v>W001</v>
      </c>
      <c r="N274" t="s">
        <v>1047</v>
      </c>
      <c r="O274" t="s">
        <v>1057</v>
      </c>
      <c r="P274" t="str">
        <f>VLOOKUP(O274,$AL$2:$AM$12,2,FALSE)</f>
        <v>South</v>
      </c>
      <c r="Q274" t="s">
        <v>1083</v>
      </c>
      <c r="R274">
        <v>866</v>
      </c>
      <c r="S274" t="s">
        <v>1078</v>
      </c>
      <c r="T274">
        <f t="shared" si="29"/>
        <v>2</v>
      </c>
      <c r="U274">
        <v>433</v>
      </c>
      <c r="V274">
        <f t="shared" si="30"/>
        <v>10</v>
      </c>
      <c r="W274" t="s">
        <v>1086</v>
      </c>
      <c r="X274" t="s">
        <v>1091</v>
      </c>
      <c r="Y274">
        <f t="shared" si="31"/>
        <v>433</v>
      </c>
      <c r="Z274" t="s">
        <v>1108</v>
      </c>
      <c r="AA274" t="str">
        <f t="shared" si="32"/>
        <v>Medium</v>
      </c>
      <c r="AB274" t="s">
        <v>1103</v>
      </c>
      <c r="AC274" t="str">
        <f t="shared" si="33"/>
        <v>Yes</v>
      </c>
      <c r="AD274">
        <v>4</v>
      </c>
      <c r="AE274">
        <v>4088</v>
      </c>
      <c r="AF274">
        <v>1635.2</v>
      </c>
      <c r="AG274">
        <f t="shared" si="34"/>
        <v>2019.8000000000002</v>
      </c>
    </row>
    <row r="275" spans="1:33" x14ac:dyDescent="0.25">
      <c r="A275">
        <v>1274</v>
      </c>
      <c r="B275" s="1">
        <v>44811</v>
      </c>
      <c r="C275" s="1">
        <v>44813</v>
      </c>
      <c r="D275" s="1">
        <v>44820</v>
      </c>
      <c r="E275" t="s">
        <v>1064</v>
      </c>
      <c r="F275" t="s">
        <v>303</v>
      </c>
      <c r="G275" t="s">
        <v>1070</v>
      </c>
      <c r="H275" t="str">
        <f t="shared" si="28"/>
        <v>Furniture</v>
      </c>
      <c r="I275">
        <v>1</v>
      </c>
      <c r="J275" t="str">
        <f>VLOOKUP(K275,$AJ$2:$AK$7,2,FALSE)</f>
        <v>S006</v>
      </c>
      <c r="K275" t="s">
        <v>1102</v>
      </c>
      <c r="L275">
        <v>3.2</v>
      </c>
      <c r="M275" t="str">
        <f>IFERROR(VLOOKUP(TRIM(N275),$AP$2:$AQ$12,2,FALSE),"W001")</f>
        <v>W001</v>
      </c>
      <c r="N275" t="s">
        <v>1047</v>
      </c>
      <c r="O275" t="s">
        <v>1061</v>
      </c>
      <c r="P275" t="str">
        <f>VLOOKUP(O275,$AL$2:$AM$12,2,FALSE)</f>
        <v>West</v>
      </c>
      <c r="Q275" t="s">
        <v>1084</v>
      </c>
      <c r="R275">
        <v>602</v>
      </c>
      <c r="S275" t="s">
        <v>1066</v>
      </c>
      <c r="T275">
        <f t="shared" si="29"/>
        <v>3</v>
      </c>
      <c r="U275">
        <v>180.6</v>
      </c>
      <c r="V275">
        <f t="shared" si="30"/>
        <v>6</v>
      </c>
      <c r="W275" t="s">
        <v>1087</v>
      </c>
      <c r="X275" t="s">
        <v>1089</v>
      </c>
      <c r="Y275">
        <f t="shared" si="31"/>
        <v>0</v>
      </c>
      <c r="Z275" t="s">
        <v>1108</v>
      </c>
      <c r="AA275" t="str">
        <f t="shared" si="32"/>
        <v>Low</v>
      </c>
      <c r="AB275" t="s">
        <v>1103</v>
      </c>
      <c r="AC275" t="str">
        <f t="shared" si="33"/>
        <v>Yes</v>
      </c>
      <c r="AD275">
        <v>4</v>
      </c>
      <c r="AE275">
        <v>5290</v>
      </c>
      <c r="AF275">
        <v>2116</v>
      </c>
      <c r="AG275">
        <f t="shared" si="34"/>
        <v>2993.4</v>
      </c>
    </row>
    <row r="276" spans="1:33" x14ac:dyDescent="0.25">
      <c r="A276">
        <v>1275</v>
      </c>
      <c r="B276" s="1">
        <v>45039</v>
      </c>
      <c r="C276" s="1">
        <v>45041</v>
      </c>
      <c r="D276" s="1">
        <v>45045</v>
      </c>
      <c r="E276" t="s">
        <v>1064</v>
      </c>
      <c r="F276" t="s">
        <v>304</v>
      </c>
      <c r="G276" t="s">
        <v>1070</v>
      </c>
      <c r="H276" t="str">
        <f t="shared" si="28"/>
        <v>Furniture</v>
      </c>
      <c r="I276">
        <v>10</v>
      </c>
      <c r="J276" t="str">
        <f>VLOOKUP(K276,$AJ$2:$AK$7,2,FALSE)</f>
        <v>S003</v>
      </c>
      <c r="K276" t="s">
        <v>1099</v>
      </c>
      <c r="L276">
        <v>3.6</v>
      </c>
      <c r="M276" t="str">
        <f>IFERROR(VLOOKUP(TRIM(N276),$AP$2:$AQ$12,2,FALSE),"W001")</f>
        <v>W001</v>
      </c>
      <c r="N276" t="s">
        <v>1047</v>
      </c>
      <c r="O276" t="s">
        <v>1049</v>
      </c>
      <c r="P276" t="str">
        <f>VLOOKUP(O276,$AL$2:$AM$12,2,FALSE)</f>
        <v>North</v>
      </c>
      <c r="Q276" t="s">
        <v>1082</v>
      </c>
      <c r="R276">
        <v>926</v>
      </c>
      <c r="S276" t="s">
        <v>1078</v>
      </c>
      <c r="T276">
        <f t="shared" si="29"/>
        <v>3</v>
      </c>
      <c r="U276">
        <v>370.4</v>
      </c>
      <c r="V276">
        <f t="shared" si="30"/>
        <v>8</v>
      </c>
      <c r="W276" t="s">
        <v>1087</v>
      </c>
      <c r="X276" t="s">
        <v>1089</v>
      </c>
      <c r="Y276">
        <f t="shared" si="31"/>
        <v>0</v>
      </c>
      <c r="Z276" t="s">
        <v>1109</v>
      </c>
      <c r="AA276" t="str">
        <f t="shared" si="32"/>
        <v>High</v>
      </c>
      <c r="AB276" t="s">
        <v>1104</v>
      </c>
      <c r="AC276" t="str">
        <f t="shared" si="33"/>
        <v>No</v>
      </c>
      <c r="AD276">
        <v>1</v>
      </c>
      <c r="AE276">
        <v>66430</v>
      </c>
      <c r="AF276">
        <v>26572</v>
      </c>
      <c r="AG276">
        <f t="shared" si="34"/>
        <v>39487.599999999999</v>
      </c>
    </row>
    <row r="277" spans="1:33" x14ac:dyDescent="0.25">
      <c r="A277">
        <v>1276</v>
      </c>
      <c r="B277" s="1">
        <v>45519</v>
      </c>
      <c r="C277" s="1">
        <v>45522</v>
      </c>
      <c r="D277" s="1">
        <v>45528</v>
      </c>
      <c r="E277" t="s">
        <v>1064</v>
      </c>
      <c r="F277" t="s">
        <v>305</v>
      </c>
      <c r="G277" t="s">
        <v>1072</v>
      </c>
      <c r="H277" t="str">
        <f t="shared" si="28"/>
        <v>Electronics</v>
      </c>
      <c r="I277">
        <v>8</v>
      </c>
      <c r="J277" t="str">
        <f>VLOOKUP(K277,$AJ$2:$AK$7,2,FALSE)</f>
        <v>S001</v>
      </c>
      <c r="K277" t="s">
        <v>1097</v>
      </c>
      <c r="L277">
        <v>3.9</v>
      </c>
      <c r="M277" t="str">
        <f>IFERROR(VLOOKUP(TRIM(N277),$AP$2:$AQ$12,2,FALSE),"W001")</f>
        <v>W005</v>
      </c>
      <c r="N277" t="s">
        <v>1055</v>
      </c>
      <c r="O277" t="s">
        <v>1057</v>
      </c>
      <c r="P277" t="str">
        <f>VLOOKUP(O277,$AL$2:$AM$12,2,FALSE)</f>
        <v>South</v>
      </c>
      <c r="Q277" t="s">
        <v>1083</v>
      </c>
      <c r="R277">
        <v>218</v>
      </c>
      <c r="S277" t="s">
        <v>1066</v>
      </c>
      <c r="T277">
        <f t="shared" si="29"/>
        <v>1</v>
      </c>
      <c r="U277">
        <v>109</v>
      </c>
      <c r="V277">
        <f t="shared" si="30"/>
        <v>10</v>
      </c>
      <c r="W277" t="s">
        <v>1086</v>
      </c>
      <c r="X277" t="s">
        <v>1091</v>
      </c>
      <c r="Y277">
        <f t="shared" si="31"/>
        <v>109</v>
      </c>
      <c r="Z277" t="s">
        <v>1108</v>
      </c>
      <c r="AA277" t="str">
        <f t="shared" si="32"/>
        <v>Medium</v>
      </c>
      <c r="AB277" t="s">
        <v>1103</v>
      </c>
      <c r="AC277" t="str">
        <f t="shared" si="33"/>
        <v>Yes</v>
      </c>
      <c r="AD277">
        <v>4</v>
      </c>
      <c r="AE277">
        <v>225824</v>
      </c>
      <c r="AF277">
        <v>90329.600000000006</v>
      </c>
      <c r="AG277">
        <f t="shared" si="34"/>
        <v>135385.4</v>
      </c>
    </row>
    <row r="278" spans="1:33" x14ac:dyDescent="0.25">
      <c r="A278">
        <v>1277</v>
      </c>
      <c r="B278" s="1">
        <v>46152</v>
      </c>
      <c r="C278" s="1">
        <v>46154</v>
      </c>
      <c r="D278" s="1">
        <v>46159</v>
      </c>
      <c r="E278" t="s">
        <v>1065</v>
      </c>
      <c r="F278" t="s">
        <v>306</v>
      </c>
      <c r="G278" t="s">
        <v>1072</v>
      </c>
      <c r="H278" t="str">
        <f t="shared" si="28"/>
        <v>Electronics</v>
      </c>
      <c r="I278">
        <v>8</v>
      </c>
      <c r="J278" t="str">
        <f>VLOOKUP(K278,$AJ$2:$AK$7,2,FALSE)</f>
        <v>S003</v>
      </c>
      <c r="K278" t="s">
        <v>1099</v>
      </c>
      <c r="L278">
        <v>3.2</v>
      </c>
      <c r="M278" t="str">
        <f>IFERROR(VLOOKUP(TRIM(N278),$AP$2:$AQ$12,2,FALSE),"W001")</f>
        <v>W008</v>
      </c>
      <c r="N278" t="s">
        <v>1061</v>
      </c>
      <c r="O278" t="s">
        <v>1051</v>
      </c>
      <c r="P278" t="str">
        <f>VLOOKUP(O278,$AL$2:$AM$12,2,FALSE)</f>
        <v>West</v>
      </c>
      <c r="Q278" t="s">
        <v>1085</v>
      </c>
      <c r="R278">
        <v>445</v>
      </c>
      <c r="S278" t="s">
        <v>1066</v>
      </c>
      <c r="T278">
        <f t="shared" si="29"/>
        <v>5</v>
      </c>
      <c r="U278">
        <v>44.5</v>
      </c>
      <c r="V278">
        <f t="shared" si="30"/>
        <v>3</v>
      </c>
      <c r="W278" t="s">
        <v>1087</v>
      </c>
      <c r="X278" t="s">
        <v>1091</v>
      </c>
      <c r="Y278">
        <f t="shared" si="31"/>
        <v>0</v>
      </c>
      <c r="Z278" t="s">
        <v>1108</v>
      </c>
      <c r="AA278" t="str">
        <f t="shared" si="32"/>
        <v>Low</v>
      </c>
      <c r="AB278" t="s">
        <v>1103</v>
      </c>
      <c r="AC278" t="str">
        <f t="shared" si="33"/>
        <v>Yes</v>
      </c>
      <c r="AD278">
        <v>4</v>
      </c>
      <c r="AE278">
        <v>172440</v>
      </c>
      <c r="AF278">
        <v>68976</v>
      </c>
      <c r="AG278">
        <f t="shared" si="34"/>
        <v>103419.5</v>
      </c>
    </row>
    <row r="279" spans="1:33" x14ac:dyDescent="0.25">
      <c r="A279">
        <v>1278</v>
      </c>
      <c r="B279" s="1">
        <v>45841</v>
      </c>
      <c r="C279" s="1">
        <v>45842</v>
      </c>
      <c r="D279" s="1">
        <v>45845</v>
      </c>
      <c r="E279" t="s">
        <v>1064</v>
      </c>
      <c r="F279" t="s">
        <v>307</v>
      </c>
      <c r="G279" t="s">
        <v>1072</v>
      </c>
      <c r="H279" t="str">
        <f t="shared" si="28"/>
        <v>Electronics</v>
      </c>
      <c r="I279">
        <v>3</v>
      </c>
      <c r="J279" t="str">
        <f>VLOOKUP(K279,$AJ$2:$AK$7,2,FALSE)</f>
        <v>S005</v>
      </c>
      <c r="K279" t="s">
        <v>1101</v>
      </c>
      <c r="L279">
        <v>3.1</v>
      </c>
      <c r="M279" t="str">
        <f>IFERROR(VLOOKUP(TRIM(N279),$AP$2:$AQ$12,2,FALSE),"W001")</f>
        <v>W006</v>
      </c>
      <c r="N279" t="s">
        <v>1057</v>
      </c>
      <c r="O279" t="s">
        <v>1059</v>
      </c>
      <c r="P279" t="str">
        <f>VLOOKUP(O279,$AL$2:$AM$12,2,FALSE)</f>
        <v>North</v>
      </c>
      <c r="Q279" t="s">
        <v>1084</v>
      </c>
      <c r="R279">
        <v>848</v>
      </c>
      <c r="S279" t="s">
        <v>1078</v>
      </c>
      <c r="T279">
        <f t="shared" si="29"/>
        <v>3</v>
      </c>
      <c r="U279">
        <v>254.4</v>
      </c>
      <c r="V279">
        <f t="shared" si="30"/>
        <v>6</v>
      </c>
      <c r="W279" t="s">
        <v>1088</v>
      </c>
      <c r="X279" t="s">
        <v>1091</v>
      </c>
      <c r="Y279">
        <f t="shared" si="31"/>
        <v>0</v>
      </c>
      <c r="Z279" t="s">
        <v>1108</v>
      </c>
      <c r="AA279" t="str">
        <f t="shared" si="32"/>
        <v>Low</v>
      </c>
      <c r="AB279" t="s">
        <v>1103</v>
      </c>
      <c r="AC279" t="str">
        <f t="shared" si="33"/>
        <v>Yes</v>
      </c>
      <c r="AD279">
        <v>5</v>
      </c>
      <c r="AE279">
        <v>58524</v>
      </c>
      <c r="AF279">
        <v>23409.600000000002</v>
      </c>
      <c r="AG279">
        <f t="shared" si="34"/>
        <v>34859.999999999993</v>
      </c>
    </row>
    <row r="280" spans="1:33" x14ac:dyDescent="0.25">
      <c r="A280">
        <v>1279</v>
      </c>
      <c r="B280" s="1">
        <v>44628</v>
      </c>
      <c r="C280" s="1">
        <v>44631</v>
      </c>
      <c r="D280" s="1">
        <v>44637</v>
      </c>
      <c r="E280" t="s">
        <v>1066</v>
      </c>
      <c r="F280" t="s">
        <v>308</v>
      </c>
      <c r="G280" t="s">
        <v>1067</v>
      </c>
      <c r="H280" t="str">
        <f t="shared" si="28"/>
        <v>Clothing</v>
      </c>
      <c r="I280">
        <v>7</v>
      </c>
      <c r="J280" t="str">
        <f>VLOOKUP(K280,$AJ$2:$AK$7,2,FALSE)</f>
        <v>S001</v>
      </c>
      <c r="K280" t="s">
        <v>1097</v>
      </c>
      <c r="L280">
        <v>5</v>
      </c>
      <c r="M280" t="str">
        <f>IFERROR(VLOOKUP(TRIM(N280),$AP$2:$AQ$12,2,FALSE),"W001")</f>
        <v>W002</v>
      </c>
      <c r="N280" t="s">
        <v>1049</v>
      </c>
      <c r="O280" t="s">
        <v>1063</v>
      </c>
      <c r="P280" t="str">
        <f>VLOOKUP(O280,$AL$2:$AM$12,2,FALSE)</f>
        <v>South</v>
      </c>
      <c r="Q280" t="s">
        <v>1085</v>
      </c>
      <c r="R280">
        <v>1359</v>
      </c>
      <c r="S280" t="s">
        <v>1078</v>
      </c>
      <c r="T280">
        <f t="shared" si="29"/>
        <v>10</v>
      </c>
      <c r="U280">
        <v>135.9</v>
      </c>
      <c r="V280">
        <f t="shared" si="30"/>
        <v>3</v>
      </c>
      <c r="W280" t="s">
        <v>1088</v>
      </c>
      <c r="X280" t="s">
        <v>1091</v>
      </c>
      <c r="Y280">
        <f t="shared" si="31"/>
        <v>0</v>
      </c>
      <c r="Z280" t="s">
        <v>1108</v>
      </c>
      <c r="AA280" t="str">
        <f t="shared" si="32"/>
        <v>Low</v>
      </c>
      <c r="AB280" t="s">
        <v>1103</v>
      </c>
      <c r="AC280" t="str">
        <f t="shared" si="33"/>
        <v>Yes</v>
      </c>
      <c r="AD280">
        <v>4</v>
      </c>
      <c r="AE280">
        <v>4592</v>
      </c>
      <c r="AF280">
        <v>1836.8000000000002</v>
      </c>
      <c r="AG280">
        <f t="shared" si="34"/>
        <v>2619.2999999999997</v>
      </c>
    </row>
    <row r="281" spans="1:33" x14ac:dyDescent="0.25">
      <c r="A281">
        <v>1280</v>
      </c>
      <c r="B281" s="1">
        <v>44886</v>
      </c>
      <c r="C281" s="1">
        <v>44888</v>
      </c>
      <c r="D281" s="1">
        <v>44892</v>
      </c>
      <c r="E281" t="s">
        <v>1065</v>
      </c>
      <c r="F281" t="s">
        <v>309</v>
      </c>
      <c r="G281" t="s">
        <v>1067</v>
      </c>
      <c r="H281" t="str">
        <f t="shared" si="28"/>
        <v>Clothing</v>
      </c>
      <c r="I281">
        <v>4</v>
      </c>
      <c r="J281" t="str">
        <f>VLOOKUP(K281,$AJ$2:$AK$7,2,FALSE)</f>
        <v>S005</v>
      </c>
      <c r="K281" t="s">
        <v>1101</v>
      </c>
      <c r="L281">
        <v>4</v>
      </c>
      <c r="M281" t="str">
        <f>IFERROR(VLOOKUP(TRIM(N281),$AP$2:$AQ$12,2,FALSE),"W001")</f>
        <v>W007</v>
      </c>
      <c r="N281" t="s">
        <v>1062</v>
      </c>
      <c r="O281" t="s">
        <v>1060</v>
      </c>
      <c r="P281" t="str">
        <f>VLOOKUP(O281,$AL$2:$AM$12,2,FALSE)</f>
        <v>North</v>
      </c>
      <c r="Q281" t="s">
        <v>1083</v>
      </c>
      <c r="R281">
        <v>1252</v>
      </c>
      <c r="S281" t="s">
        <v>1078</v>
      </c>
      <c r="T281">
        <f t="shared" si="29"/>
        <v>3</v>
      </c>
      <c r="U281">
        <v>626</v>
      </c>
      <c r="V281">
        <f t="shared" si="30"/>
        <v>10</v>
      </c>
      <c r="W281" t="s">
        <v>1086</v>
      </c>
      <c r="X281" t="s">
        <v>1091</v>
      </c>
      <c r="Y281">
        <f t="shared" si="31"/>
        <v>626</v>
      </c>
      <c r="Z281" t="s">
        <v>1108</v>
      </c>
      <c r="AA281" t="str">
        <f t="shared" si="32"/>
        <v>Medium</v>
      </c>
      <c r="AB281" t="s">
        <v>1104</v>
      </c>
      <c r="AC281" t="str">
        <f t="shared" si="33"/>
        <v>Yes</v>
      </c>
      <c r="AD281">
        <v>1</v>
      </c>
      <c r="AE281">
        <v>3792</v>
      </c>
      <c r="AF281">
        <v>1516.8000000000002</v>
      </c>
      <c r="AG281">
        <f t="shared" si="34"/>
        <v>1649.1999999999998</v>
      </c>
    </row>
    <row r="282" spans="1:33" x14ac:dyDescent="0.25">
      <c r="A282">
        <v>1281</v>
      </c>
      <c r="B282" s="1">
        <v>45442</v>
      </c>
      <c r="C282" s="1">
        <v>45443</v>
      </c>
      <c r="D282" s="1">
        <v>45446</v>
      </c>
      <c r="E282" t="s">
        <v>1065</v>
      </c>
      <c r="F282" t="s">
        <v>310</v>
      </c>
      <c r="G282" t="s">
        <v>1071</v>
      </c>
      <c r="H282" t="str">
        <f t="shared" si="28"/>
        <v>Clothing</v>
      </c>
      <c r="I282">
        <v>4</v>
      </c>
      <c r="J282" t="str">
        <f>VLOOKUP(K282,$AJ$2:$AK$7,2,FALSE)</f>
        <v>S005</v>
      </c>
      <c r="K282" t="s">
        <v>1101</v>
      </c>
      <c r="L282">
        <v>3.5</v>
      </c>
      <c r="M282" t="str">
        <f>IFERROR(VLOOKUP(TRIM(N282),$AP$2:$AQ$12,2,FALSE),"W001")</f>
        <v>W011</v>
      </c>
      <c r="N282" t="s">
        <v>1059</v>
      </c>
      <c r="O282" t="s">
        <v>1062</v>
      </c>
      <c r="P282" t="str">
        <f>VLOOKUP(O282,$AL$2:$AM$12,2,FALSE)</f>
        <v>North</v>
      </c>
      <c r="Q282" t="s">
        <v>1083</v>
      </c>
      <c r="R282">
        <v>1163</v>
      </c>
      <c r="S282" t="s">
        <v>1078</v>
      </c>
      <c r="T282">
        <f t="shared" si="29"/>
        <v>3</v>
      </c>
      <c r="U282">
        <v>581.5</v>
      </c>
      <c r="V282">
        <f t="shared" si="30"/>
        <v>10</v>
      </c>
      <c r="W282" t="s">
        <v>1086</v>
      </c>
      <c r="X282" t="s">
        <v>1090</v>
      </c>
      <c r="Y282">
        <f t="shared" si="31"/>
        <v>581.5</v>
      </c>
      <c r="Z282" t="s">
        <v>1108</v>
      </c>
      <c r="AA282" t="str">
        <f t="shared" si="32"/>
        <v>Medium</v>
      </c>
      <c r="AB282" t="s">
        <v>1104</v>
      </c>
      <c r="AC282" t="str">
        <f t="shared" si="33"/>
        <v>Yes</v>
      </c>
      <c r="AD282">
        <v>1</v>
      </c>
      <c r="AE282">
        <v>8156</v>
      </c>
      <c r="AF282">
        <v>3262.4</v>
      </c>
      <c r="AG282">
        <f t="shared" si="34"/>
        <v>4312.1000000000004</v>
      </c>
    </row>
    <row r="283" spans="1:33" x14ac:dyDescent="0.25">
      <c r="A283">
        <v>1282</v>
      </c>
      <c r="B283" s="1">
        <v>46001</v>
      </c>
      <c r="C283" s="1">
        <v>46003</v>
      </c>
      <c r="D283" s="1">
        <v>46010</v>
      </c>
      <c r="E283" t="s">
        <v>1064</v>
      </c>
      <c r="F283" t="s">
        <v>311</v>
      </c>
      <c r="G283" t="s">
        <v>1070</v>
      </c>
      <c r="H283" t="str">
        <f t="shared" si="28"/>
        <v>Furniture</v>
      </c>
      <c r="I283">
        <v>10</v>
      </c>
      <c r="J283" t="str">
        <f>VLOOKUP(K283,$AJ$2:$AK$7,2,FALSE)</f>
        <v>S001</v>
      </c>
      <c r="K283" t="s">
        <v>1097</v>
      </c>
      <c r="L283">
        <v>4.3</v>
      </c>
      <c r="M283" t="str">
        <f>IFERROR(VLOOKUP(TRIM(N283),$AP$2:$AQ$12,2,FALSE),"W001")</f>
        <v>W002</v>
      </c>
      <c r="N283" t="s">
        <v>1049</v>
      </c>
      <c r="O283" t="s">
        <v>1059</v>
      </c>
      <c r="P283" t="str">
        <f>VLOOKUP(O283,$AL$2:$AM$12,2,FALSE)</f>
        <v>North</v>
      </c>
      <c r="Q283" t="s">
        <v>1080</v>
      </c>
      <c r="R283">
        <v>1301</v>
      </c>
      <c r="S283" t="s">
        <v>1078</v>
      </c>
      <c r="T283">
        <f t="shared" si="29"/>
        <v>6</v>
      </c>
      <c r="U283">
        <v>195.15</v>
      </c>
      <c r="V283">
        <f t="shared" si="30"/>
        <v>4</v>
      </c>
      <c r="W283" t="s">
        <v>1086</v>
      </c>
      <c r="X283" t="s">
        <v>1090</v>
      </c>
      <c r="Y283">
        <f t="shared" si="31"/>
        <v>195.15</v>
      </c>
      <c r="Z283" t="s">
        <v>1108</v>
      </c>
      <c r="AA283" t="str">
        <f t="shared" si="32"/>
        <v>Low</v>
      </c>
      <c r="AB283" t="s">
        <v>1103</v>
      </c>
      <c r="AC283" t="str">
        <f t="shared" si="33"/>
        <v>Yes</v>
      </c>
      <c r="AD283">
        <v>4</v>
      </c>
      <c r="AE283">
        <v>53930</v>
      </c>
      <c r="AF283">
        <v>21572</v>
      </c>
      <c r="AG283">
        <f t="shared" si="34"/>
        <v>32162.85</v>
      </c>
    </row>
    <row r="284" spans="1:33" x14ac:dyDescent="0.25">
      <c r="A284">
        <v>1283</v>
      </c>
      <c r="B284" s="1">
        <v>46055</v>
      </c>
      <c r="C284" s="1">
        <v>46057</v>
      </c>
      <c r="D284" s="1">
        <v>46059</v>
      </c>
      <c r="E284" t="s">
        <v>1066</v>
      </c>
      <c r="F284" t="s">
        <v>312</v>
      </c>
      <c r="G284" t="s">
        <v>1069</v>
      </c>
      <c r="H284" t="str">
        <f t="shared" si="28"/>
        <v>Furniture</v>
      </c>
      <c r="I284">
        <v>10</v>
      </c>
      <c r="J284" t="str">
        <f>VLOOKUP(K284,$AJ$2:$AK$7,2,FALSE)</f>
        <v>S004</v>
      </c>
      <c r="K284" t="s">
        <v>1100</v>
      </c>
      <c r="L284">
        <v>3.8</v>
      </c>
      <c r="M284" t="str">
        <f>IFERROR(VLOOKUP(TRIM(N284),$AP$2:$AQ$12,2,FALSE),"W001")</f>
        <v>W008</v>
      </c>
      <c r="N284" t="s">
        <v>1061</v>
      </c>
      <c r="O284" t="s">
        <v>1055</v>
      </c>
      <c r="P284" t="str">
        <f>VLOOKUP(O284,$AL$2:$AM$12,2,FALSE)</f>
        <v>South</v>
      </c>
      <c r="Q284" t="s">
        <v>1080</v>
      </c>
      <c r="R284">
        <v>1846</v>
      </c>
      <c r="S284" t="s">
        <v>1078</v>
      </c>
      <c r="T284">
        <f t="shared" si="29"/>
        <v>8</v>
      </c>
      <c r="U284">
        <v>276.89999999999998</v>
      </c>
      <c r="V284">
        <f t="shared" si="30"/>
        <v>4</v>
      </c>
      <c r="W284" t="s">
        <v>1086</v>
      </c>
      <c r="X284" t="s">
        <v>1091</v>
      </c>
      <c r="Y284">
        <f t="shared" si="31"/>
        <v>276.89999999999998</v>
      </c>
      <c r="Z284" t="s">
        <v>1108</v>
      </c>
      <c r="AA284" t="str">
        <f t="shared" si="32"/>
        <v>Low</v>
      </c>
      <c r="AB284" t="s">
        <v>1103</v>
      </c>
      <c r="AC284" t="str">
        <f t="shared" si="33"/>
        <v>Yes</v>
      </c>
      <c r="AD284">
        <v>5</v>
      </c>
      <c r="AE284">
        <v>100290</v>
      </c>
      <c r="AF284">
        <v>40116</v>
      </c>
      <c r="AG284">
        <f t="shared" si="34"/>
        <v>59897.1</v>
      </c>
    </row>
    <row r="285" spans="1:33" x14ac:dyDescent="0.25">
      <c r="A285">
        <v>1284</v>
      </c>
      <c r="B285" s="1">
        <v>45360</v>
      </c>
      <c r="C285" s="1">
        <v>45363</v>
      </c>
      <c r="D285" s="1">
        <v>45365</v>
      </c>
      <c r="E285" t="s">
        <v>1066</v>
      </c>
      <c r="F285" t="s">
        <v>313</v>
      </c>
      <c r="G285" t="s">
        <v>1067</v>
      </c>
      <c r="H285" t="str">
        <f t="shared" si="28"/>
        <v>Clothing</v>
      </c>
      <c r="I285">
        <v>2</v>
      </c>
      <c r="J285" t="str">
        <f>VLOOKUP(K285,$AJ$2:$AK$7,2,FALSE)</f>
        <v>S004</v>
      </c>
      <c r="K285" t="s">
        <v>1100</v>
      </c>
      <c r="L285">
        <v>4.3</v>
      </c>
      <c r="M285" t="str">
        <f>IFERROR(VLOOKUP(TRIM(N285),$AP$2:$AQ$12,2,FALSE),"W001")</f>
        <v>W008</v>
      </c>
      <c r="N285" t="s">
        <v>1061</v>
      </c>
      <c r="O285" t="s">
        <v>1053</v>
      </c>
      <c r="P285" t="str">
        <f>VLOOKUP(O285,$AL$2:$AM$12,2,FALSE)</f>
        <v>South</v>
      </c>
      <c r="Q285" t="s">
        <v>1080</v>
      </c>
      <c r="R285">
        <v>251</v>
      </c>
      <c r="S285" t="s">
        <v>1066</v>
      </c>
      <c r="T285">
        <f t="shared" si="29"/>
        <v>3</v>
      </c>
      <c r="U285">
        <v>37.65</v>
      </c>
      <c r="V285">
        <f t="shared" si="30"/>
        <v>4</v>
      </c>
      <c r="W285" t="s">
        <v>1086</v>
      </c>
      <c r="X285" t="s">
        <v>1091</v>
      </c>
      <c r="Y285">
        <f t="shared" si="31"/>
        <v>37.65</v>
      </c>
      <c r="Z285" t="s">
        <v>1108</v>
      </c>
      <c r="AA285" t="str">
        <f t="shared" si="32"/>
        <v>Low</v>
      </c>
      <c r="AB285" t="s">
        <v>1103</v>
      </c>
      <c r="AC285" t="str">
        <f t="shared" si="33"/>
        <v>Yes</v>
      </c>
      <c r="AD285">
        <v>5</v>
      </c>
      <c r="AE285">
        <v>1398</v>
      </c>
      <c r="AF285">
        <v>559.20000000000005</v>
      </c>
      <c r="AG285">
        <f t="shared" si="34"/>
        <v>801.15</v>
      </c>
    </row>
    <row r="286" spans="1:33" x14ac:dyDescent="0.25">
      <c r="A286">
        <v>1285</v>
      </c>
      <c r="B286" s="1">
        <v>46379</v>
      </c>
      <c r="C286" s="1">
        <v>46380</v>
      </c>
      <c r="D286" s="1">
        <v>46386</v>
      </c>
      <c r="E286" t="s">
        <v>1066</v>
      </c>
      <c r="F286" t="s">
        <v>314</v>
      </c>
      <c r="G286" t="s">
        <v>1067</v>
      </c>
      <c r="H286" t="str">
        <f t="shared" si="28"/>
        <v>Clothing</v>
      </c>
      <c r="I286">
        <v>9</v>
      </c>
      <c r="J286" t="str">
        <f>VLOOKUP(K286,$AJ$2:$AK$7,2,FALSE)</f>
        <v>S003</v>
      </c>
      <c r="K286" t="s">
        <v>1099</v>
      </c>
      <c r="L286">
        <v>4.4000000000000004</v>
      </c>
      <c r="M286" t="str">
        <f>IFERROR(VLOOKUP(TRIM(N286),$AP$2:$AQ$12,2,FALSE),"W001")</f>
        <v>W008</v>
      </c>
      <c r="N286" t="s">
        <v>1061</v>
      </c>
      <c r="O286" t="s">
        <v>1063</v>
      </c>
      <c r="P286" t="str">
        <f>VLOOKUP(O286,$AL$2:$AM$12,2,FALSE)</f>
        <v>South</v>
      </c>
      <c r="Q286" t="s">
        <v>1083</v>
      </c>
      <c r="R286">
        <v>718</v>
      </c>
      <c r="S286" t="s">
        <v>1066</v>
      </c>
      <c r="T286">
        <f t="shared" si="29"/>
        <v>2</v>
      </c>
      <c r="U286">
        <v>359</v>
      </c>
      <c r="V286">
        <f t="shared" si="30"/>
        <v>10</v>
      </c>
      <c r="W286" t="s">
        <v>1088</v>
      </c>
      <c r="X286" t="s">
        <v>1091</v>
      </c>
      <c r="Y286">
        <f t="shared" si="31"/>
        <v>0</v>
      </c>
      <c r="Z286" t="s">
        <v>1108</v>
      </c>
      <c r="AA286" t="str">
        <f t="shared" si="32"/>
        <v>Medium</v>
      </c>
      <c r="AB286" t="s">
        <v>1103</v>
      </c>
      <c r="AC286" t="str">
        <f t="shared" si="33"/>
        <v>Yes</v>
      </c>
      <c r="AD286">
        <v>4</v>
      </c>
      <c r="AE286">
        <v>5562</v>
      </c>
      <c r="AF286">
        <v>2224.8000000000002</v>
      </c>
      <c r="AG286">
        <f t="shared" si="34"/>
        <v>2978.2</v>
      </c>
    </row>
    <row r="287" spans="1:33" x14ac:dyDescent="0.25">
      <c r="A287">
        <v>1286</v>
      </c>
      <c r="B287" s="1">
        <v>45585</v>
      </c>
      <c r="C287" s="1">
        <v>45587</v>
      </c>
      <c r="D287" s="1">
        <v>45593</v>
      </c>
      <c r="E287" t="s">
        <v>1065</v>
      </c>
      <c r="F287" t="s">
        <v>315</v>
      </c>
      <c r="G287" t="s">
        <v>1070</v>
      </c>
      <c r="H287" t="str">
        <f t="shared" si="28"/>
        <v>Furniture</v>
      </c>
      <c r="I287">
        <v>8</v>
      </c>
      <c r="J287" t="str">
        <f>VLOOKUP(K287,$AJ$2:$AK$7,2,FALSE)</f>
        <v>S001</v>
      </c>
      <c r="K287" t="s">
        <v>1097</v>
      </c>
      <c r="L287">
        <v>4.3</v>
      </c>
      <c r="M287" t="str">
        <f>IFERROR(VLOOKUP(TRIM(N287),$AP$2:$AQ$12,2,FALSE),"W001")</f>
        <v>W008</v>
      </c>
      <c r="N287" t="s">
        <v>1061</v>
      </c>
      <c r="O287" t="s">
        <v>1057</v>
      </c>
      <c r="P287" t="str">
        <f>VLOOKUP(O287,$AL$2:$AM$12,2,FALSE)</f>
        <v>South</v>
      </c>
      <c r="Q287" t="s">
        <v>1084</v>
      </c>
      <c r="R287">
        <v>196</v>
      </c>
      <c r="S287" t="s">
        <v>1079</v>
      </c>
      <c r="T287">
        <f t="shared" si="29"/>
        <v>2</v>
      </c>
      <c r="U287">
        <v>58.8</v>
      </c>
      <c r="V287">
        <f t="shared" si="30"/>
        <v>6</v>
      </c>
      <c r="W287" t="s">
        <v>1088</v>
      </c>
      <c r="X287" t="s">
        <v>1089</v>
      </c>
      <c r="Y287">
        <f t="shared" si="31"/>
        <v>0</v>
      </c>
      <c r="Z287" t="s">
        <v>1108</v>
      </c>
      <c r="AA287" t="str">
        <f t="shared" si="32"/>
        <v>Low</v>
      </c>
      <c r="AB287" t="s">
        <v>1103</v>
      </c>
      <c r="AC287" t="str">
        <f t="shared" si="33"/>
        <v>Yes</v>
      </c>
      <c r="AD287">
        <v>5</v>
      </c>
      <c r="AE287">
        <v>31216</v>
      </c>
      <c r="AF287">
        <v>12486.400000000001</v>
      </c>
      <c r="AG287">
        <f t="shared" si="34"/>
        <v>18670.8</v>
      </c>
    </row>
    <row r="288" spans="1:33" x14ac:dyDescent="0.25">
      <c r="A288">
        <v>1287</v>
      </c>
      <c r="B288" s="1">
        <v>46037</v>
      </c>
      <c r="C288" s="1">
        <v>46039</v>
      </c>
      <c r="D288" s="1">
        <v>46042</v>
      </c>
      <c r="E288" t="s">
        <v>1066</v>
      </c>
      <c r="F288" t="s">
        <v>316</v>
      </c>
      <c r="G288" t="s">
        <v>1071</v>
      </c>
      <c r="H288" t="str">
        <f t="shared" si="28"/>
        <v>Clothing</v>
      </c>
      <c r="I288">
        <v>8</v>
      </c>
      <c r="J288" t="str">
        <f>VLOOKUP(K288,$AJ$2:$AK$7,2,FALSE)</f>
        <v>S005</v>
      </c>
      <c r="K288" t="s">
        <v>1101</v>
      </c>
      <c r="L288">
        <v>4</v>
      </c>
      <c r="M288" t="str">
        <f>IFERROR(VLOOKUP(TRIM(N288),$AP$2:$AQ$12,2,FALSE),"W001")</f>
        <v>W011</v>
      </c>
      <c r="N288" t="s">
        <v>1059</v>
      </c>
      <c r="O288" t="s">
        <v>1063</v>
      </c>
      <c r="P288" t="str">
        <f>VLOOKUP(O288,$AL$2:$AM$12,2,FALSE)</f>
        <v>South</v>
      </c>
      <c r="Q288" t="s">
        <v>1081</v>
      </c>
      <c r="R288">
        <v>1367</v>
      </c>
      <c r="S288" t="s">
        <v>1078</v>
      </c>
      <c r="T288">
        <f t="shared" si="29"/>
        <v>6</v>
      </c>
      <c r="U288">
        <v>273.39999999999998</v>
      </c>
      <c r="V288">
        <f t="shared" si="30"/>
        <v>5</v>
      </c>
      <c r="W288" t="s">
        <v>1088</v>
      </c>
      <c r="X288" t="s">
        <v>1089</v>
      </c>
      <c r="Y288">
        <f t="shared" si="31"/>
        <v>0</v>
      </c>
      <c r="Z288" t="s">
        <v>1108</v>
      </c>
      <c r="AA288" t="str">
        <f t="shared" si="32"/>
        <v>Low</v>
      </c>
      <c r="AB288" t="s">
        <v>1103</v>
      </c>
      <c r="AC288" t="str">
        <f t="shared" si="33"/>
        <v>Yes</v>
      </c>
      <c r="AD288">
        <v>5</v>
      </c>
      <c r="AE288">
        <v>18344</v>
      </c>
      <c r="AF288">
        <v>7337.6</v>
      </c>
      <c r="AG288">
        <f t="shared" si="34"/>
        <v>10733</v>
      </c>
    </row>
    <row r="289" spans="1:33" x14ac:dyDescent="0.25">
      <c r="A289">
        <v>1288</v>
      </c>
      <c r="B289" s="1">
        <v>44348</v>
      </c>
      <c r="C289" s="1">
        <v>44351</v>
      </c>
      <c r="D289" s="1">
        <v>44356</v>
      </c>
      <c r="E289" t="s">
        <v>1064</v>
      </c>
      <c r="F289" t="s">
        <v>317</v>
      </c>
      <c r="G289" t="s">
        <v>1070</v>
      </c>
      <c r="H289" t="str">
        <f t="shared" si="28"/>
        <v>Furniture</v>
      </c>
      <c r="I289">
        <v>1</v>
      </c>
      <c r="J289" t="str">
        <f>VLOOKUP(K289,$AJ$2:$AK$7,2,FALSE)</f>
        <v>S002</v>
      </c>
      <c r="K289" t="s">
        <v>1098</v>
      </c>
      <c r="L289">
        <v>4.7</v>
      </c>
      <c r="M289" t="str">
        <f>IFERROR(VLOOKUP(TRIM(N289),$AP$2:$AQ$12,2,FALSE),"W001")</f>
        <v>W004</v>
      </c>
      <c r="N289" t="s">
        <v>1053</v>
      </c>
      <c r="O289" t="s">
        <v>1062</v>
      </c>
      <c r="P289" t="str">
        <f>VLOOKUP(O289,$AL$2:$AM$12,2,FALSE)</f>
        <v>North</v>
      </c>
      <c r="Q289" t="s">
        <v>1082</v>
      </c>
      <c r="R289">
        <v>297</v>
      </c>
      <c r="S289" t="s">
        <v>1066</v>
      </c>
      <c r="T289">
        <f t="shared" si="29"/>
        <v>2</v>
      </c>
      <c r="U289">
        <v>118.8</v>
      </c>
      <c r="V289">
        <f t="shared" si="30"/>
        <v>8</v>
      </c>
      <c r="W289" t="s">
        <v>1087</v>
      </c>
      <c r="X289" t="s">
        <v>1089</v>
      </c>
      <c r="Y289">
        <f t="shared" si="31"/>
        <v>0</v>
      </c>
      <c r="Z289" t="s">
        <v>1108</v>
      </c>
      <c r="AA289" t="str">
        <f t="shared" si="32"/>
        <v>Medium</v>
      </c>
      <c r="AB289" t="s">
        <v>1103</v>
      </c>
      <c r="AC289" t="str">
        <f t="shared" si="33"/>
        <v>Yes</v>
      </c>
      <c r="AD289">
        <v>5</v>
      </c>
      <c r="AE289">
        <v>2878</v>
      </c>
      <c r="AF289">
        <v>1151.2</v>
      </c>
      <c r="AG289">
        <f t="shared" si="34"/>
        <v>1608</v>
      </c>
    </row>
    <row r="290" spans="1:33" x14ac:dyDescent="0.25">
      <c r="A290">
        <v>1289</v>
      </c>
      <c r="B290" s="1">
        <v>44828</v>
      </c>
      <c r="C290" s="1">
        <v>44831</v>
      </c>
      <c r="D290" s="1">
        <v>44838</v>
      </c>
      <c r="E290" t="s">
        <v>1066</v>
      </c>
      <c r="F290" t="s">
        <v>318</v>
      </c>
      <c r="G290" t="s">
        <v>1069</v>
      </c>
      <c r="H290" t="str">
        <f t="shared" si="28"/>
        <v>Furniture</v>
      </c>
      <c r="I290">
        <v>5</v>
      </c>
      <c r="J290" t="str">
        <f>VLOOKUP(K290,$AJ$2:$AK$7,2,FALSE)</f>
        <v>S006</v>
      </c>
      <c r="K290" t="s">
        <v>1102</v>
      </c>
      <c r="L290">
        <v>3.2</v>
      </c>
      <c r="M290" t="str">
        <f>IFERROR(VLOOKUP(TRIM(N290),$AP$2:$AQ$12,2,FALSE),"W001")</f>
        <v>W007</v>
      </c>
      <c r="N290" t="s">
        <v>1062</v>
      </c>
      <c r="O290" t="s">
        <v>1047</v>
      </c>
      <c r="P290" t="str">
        <f>VLOOKUP(O290,$AL$2:$AM$12,2,FALSE)</f>
        <v>West</v>
      </c>
      <c r="Q290" t="s">
        <v>1083</v>
      </c>
      <c r="R290">
        <v>587</v>
      </c>
      <c r="S290" t="s">
        <v>1066</v>
      </c>
      <c r="T290">
        <f t="shared" si="29"/>
        <v>2</v>
      </c>
      <c r="U290">
        <v>293.5</v>
      </c>
      <c r="V290">
        <f t="shared" si="30"/>
        <v>10</v>
      </c>
      <c r="W290" t="s">
        <v>1086</v>
      </c>
      <c r="X290" t="s">
        <v>1090</v>
      </c>
      <c r="Y290">
        <f t="shared" si="31"/>
        <v>293.5</v>
      </c>
      <c r="Z290" t="s">
        <v>1108</v>
      </c>
      <c r="AA290" t="str">
        <f t="shared" si="32"/>
        <v>Medium</v>
      </c>
      <c r="AB290" t="s">
        <v>1103</v>
      </c>
      <c r="AC290" t="str">
        <f t="shared" si="33"/>
        <v>Yes</v>
      </c>
      <c r="AD290">
        <v>4</v>
      </c>
      <c r="AE290">
        <v>41515</v>
      </c>
      <c r="AF290">
        <v>16606</v>
      </c>
      <c r="AG290">
        <f t="shared" si="34"/>
        <v>24615.5</v>
      </c>
    </row>
    <row r="291" spans="1:33" x14ac:dyDescent="0.25">
      <c r="A291">
        <v>1290</v>
      </c>
      <c r="B291" s="1">
        <v>44876</v>
      </c>
      <c r="C291" s="1">
        <v>44877</v>
      </c>
      <c r="D291" s="1">
        <v>44880</v>
      </c>
      <c r="E291" t="s">
        <v>1066</v>
      </c>
      <c r="F291" t="s">
        <v>319</v>
      </c>
      <c r="G291" t="s">
        <v>1069</v>
      </c>
      <c r="H291" t="str">
        <f t="shared" si="28"/>
        <v>Furniture</v>
      </c>
      <c r="I291">
        <v>9</v>
      </c>
      <c r="J291" t="str">
        <f>VLOOKUP(K291,$AJ$2:$AK$7,2,FALSE)</f>
        <v>S006</v>
      </c>
      <c r="K291" t="s">
        <v>1102</v>
      </c>
      <c r="L291">
        <v>4.7</v>
      </c>
      <c r="M291" t="str">
        <f>IFERROR(VLOOKUP(TRIM(N291),$AP$2:$AQ$12,2,FALSE),"W001")</f>
        <v>W006</v>
      </c>
      <c r="N291" t="s">
        <v>1057</v>
      </c>
      <c r="O291" t="s">
        <v>1062</v>
      </c>
      <c r="P291" t="str">
        <f>VLOOKUP(O291,$AL$2:$AM$12,2,FALSE)</f>
        <v>North</v>
      </c>
      <c r="Q291" t="s">
        <v>1083</v>
      </c>
      <c r="R291">
        <v>647</v>
      </c>
      <c r="S291" t="s">
        <v>1066</v>
      </c>
      <c r="T291">
        <f t="shared" si="29"/>
        <v>2</v>
      </c>
      <c r="U291">
        <v>323.5</v>
      </c>
      <c r="V291">
        <f t="shared" si="30"/>
        <v>10</v>
      </c>
      <c r="W291" t="s">
        <v>1087</v>
      </c>
      <c r="X291" t="s">
        <v>1091</v>
      </c>
      <c r="Y291">
        <f t="shared" si="31"/>
        <v>0</v>
      </c>
      <c r="Z291" t="s">
        <v>1108</v>
      </c>
      <c r="AA291" t="str">
        <f t="shared" si="32"/>
        <v>Medium</v>
      </c>
      <c r="AB291" t="s">
        <v>1104</v>
      </c>
      <c r="AC291" t="str">
        <f t="shared" si="33"/>
        <v>Yes</v>
      </c>
      <c r="AD291">
        <v>2</v>
      </c>
      <c r="AE291">
        <v>106893</v>
      </c>
      <c r="AF291">
        <v>42757.200000000004</v>
      </c>
      <c r="AG291">
        <f t="shared" si="34"/>
        <v>63812.299999999996</v>
      </c>
    </row>
    <row r="292" spans="1:33" x14ac:dyDescent="0.25">
      <c r="A292">
        <v>1291</v>
      </c>
      <c r="B292" s="1">
        <v>44774</v>
      </c>
      <c r="C292" s="1">
        <v>44776</v>
      </c>
      <c r="D292" s="1">
        <v>44783</v>
      </c>
      <c r="E292" t="s">
        <v>1066</v>
      </c>
      <c r="F292" t="s">
        <v>320</v>
      </c>
      <c r="G292" t="s">
        <v>1070</v>
      </c>
      <c r="H292" t="str">
        <f t="shared" si="28"/>
        <v>Furniture</v>
      </c>
      <c r="I292">
        <v>10</v>
      </c>
      <c r="J292" t="str">
        <f>VLOOKUP(K292,$AJ$2:$AK$7,2,FALSE)</f>
        <v>S004</v>
      </c>
      <c r="K292" t="s">
        <v>1100</v>
      </c>
      <c r="L292">
        <v>3.6</v>
      </c>
      <c r="M292" t="str">
        <f>IFERROR(VLOOKUP(TRIM(N292),$AP$2:$AQ$12,2,FALSE),"W001")</f>
        <v>W010</v>
      </c>
      <c r="N292" t="s">
        <v>1063</v>
      </c>
      <c r="O292" t="s">
        <v>1061</v>
      </c>
      <c r="P292" t="str">
        <f>VLOOKUP(O292,$AL$2:$AM$12,2,FALSE)</f>
        <v>West</v>
      </c>
      <c r="Q292" t="s">
        <v>1084</v>
      </c>
      <c r="R292">
        <v>1760</v>
      </c>
      <c r="S292" t="s">
        <v>1078</v>
      </c>
      <c r="T292">
        <f t="shared" si="29"/>
        <v>6</v>
      </c>
      <c r="U292">
        <v>528</v>
      </c>
      <c r="V292">
        <f t="shared" si="30"/>
        <v>6</v>
      </c>
      <c r="W292" t="s">
        <v>1086</v>
      </c>
      <c r="X292" t="s">
        <v>1089</v>
      </c>
      <c r="Y292">
        <f t="shared" si="31"/>
        <v>528</v>
      </c>
      <c r="Z292" t="s">
        <v>1109</v>
      </c>
      <c r="AA292" t="str">
        <f t="shared" si="32"/>
        <v>High</v>
      </c>
      <c r="AB292" t="s">
        <v>1103</v>
      </c>
      <c r="AC292" t="str">
        <f t="shared" si="33"/>
        <v>No</v>
      </c>
      <c r="AD292">
        <v>2</v>
      </c>
      <c r="AE292">
        <v>61850</v>
      </c>
      <c r="AF292">
        <v>24740</v>
      </c>
      <c r="AG292">
        <f t="shared" si="34"/>
        <v>36582</v>
      </c>
    </row>
    <row r="293" spans="1:33" x14ac:dyDescent="0.25">
      <c r="A293">
        <v>1292</v>
      </c>
      <c r="B293" s="1">
        <v>46325</v>
      </c>
      <c r="C293" s="1">
        <v>46328</v>
      </c>
      <c r="D293" s="1">
        <v>46331</v>
      </c>
      <c r="E293" t="s">
        <v>1064</v>
      </c>
      <c r="F293" t="s">
        <v>321</v>
      </c>
      <c r="G293" t="s">
        <v>1067</v>
      </c>
      <c r="H293" t="str">
        <f t="shared" si="28"/>
        <v>Clothing</v>
      </c>
      <c r="I293">
        <v>2</v>
      </c>
      <c r="J293" t="str">
        <f>VLOOKUP(K293,$AJ$2:$AK$7,2,FALSE)</f>
        <v>S005</v>
      </c>
      <c r="K293" t="s">
        <v>1101</v>
      </c>
      <c r="L293">
        <v>3.7</v>
      </c>
      <c r="M293" t="str">
        <f>IFERROR(VLOOKUP(TRIM(N293),$AP$2:$AQ$12,2,FALSE),"W001")</f>
        <v>W003</v>
      </c>
      <c r="N293" t="s">
        <v>1051</v>
      </c>
      <c r="O293" t="s">
        <v>1061</v>
      </c>
      <c r="P293" t="str">
        <f>VLOOKUP(O293,$AL$2:$AM$12,2,FALSE)</f>
        <v>West</v>
      </c>
      <c r="Q293" t="s">
        <v>1084</v>
      </c>
      <c r="R293">
        <v>421</v>
      </c>
      <c r="S293" t="s">
        <v>1066</v>
      </c>
      <c r="T293">
        <f t="shared" si="29"/>
        <v>2</v>
      </c>
      <c r="U293">
        <v>126.3</v>
      </c>
      <c r="V293">
        <f t="shared" si="30"/>
        <v>6</v>
      </c>
      <c r="W293" t="s">
        <v>1088</v>
      </c>
      <c r="X293" t="s">
        <v>1091</v>
      </c>
      <c r="Y293">
        <f t="shared" si="31"/>
        <v>0</v>
      </c>
      <c r="Z293" t="s">
        <v>1108</v>
      </c>
      <c r="AA293" t="str">
        <f t="shared" si="32"/>
        <v>Low</v>
      </c>
      <c r="AB293" t="s">
        <v>1103</v>
      </c>
      <c r="AC293" t="str">
        <f t="shared" si="33"/>
        <v>Yes</v>
      </c>
      <c r="AD293">
        <v>5</v>
      </c>
      <c r="AE293">
        <v>2796</v>
      </c>
      <c r="AF293">
        <v>1118.4000000000001</v>
      </c>
      <c r="AG293">
        <f t="shared" si="34"/>
        <v>1551.3</v>
      </c>
    </row>
    <row r="294" spans="1:33" x14ac:dyDescent="0.25">
      <c r="A294">
        <v>1293</v>
      </c>
      <c r="B294" s="1">
        <v>45263</v>
      </c>
      <c r="C294" s="1">
        <v>45266</v>
      </c>
      <c r="D294" s="1">
        <v>45269</v>
      </c>
      <c r="E294" t="s">
        <v>1065</v>
      </c>
      <c r="F294" t="s">
        <v>322</v>
      </c>
      <c r="G294" t="s">
        <v>1067</v>
      </c>
      <c r="H294" t="str">
        <f t="shared" si="28"/>
        <v>Clothing</v>
      </c>
      <c r="I294">
        <v>8</v>
      </c>
      <c r="J294" t="str">
        <f>VLOOKUP(K294,$AJ$2:$AK$7,2,FALSE)</f>
        <v>S006</v>
      </c>
      <c r="K294" t="s">
        <v>1102</v>
      </c>
      <c r="L294">
        <v>3.1</v>
      </c>
      <c r="M294" t="str">
        <f>IFERROR(VLOOKUP(TRIM(N294),$AP$2:$AQ$12,2,FALSE),"W001")</f>
        <v>W008</v>
      </c>
      <c r="N294" t="s">
        <v>1061</v>
      </c>
      <c r="O294" t="s">
        <v>1061</v>
      </c>
      <c r="P294" t="str">
        <f>VLOOKUP(O294,$AL$2:$AM$12,2,FALSE)</f>
        <v>West</v>
      </c>
      <c r="Q294" t="s">
        <v>1084</v>
      </c>
      <c r="R294">
        <v>12</v>
      </c>
      <c r="S294" t="s">
        <v>1079</v>
      </c>
      <c r="T294">
        <f t="shared" si="29"/>
        <v>1</v>
      </c>
      <c r="U294">
        <v>3.6</v>
      </c>
      <c r="V294">
        <f t="shared" si="30"/>
        <v>6</v>
      </c>
      <c r="W294" t="s">
        <v>1086</v>
      </c>
      <c r="X294" t="s">
        <v>1091</v>
      </c>
      <c r="Y294">
        <f t="shared" si="31"/>
        <v>3.6</v>
      </c>
      <c r="Z294" t="s">
        <v>1108</v>
      </c>
      <c r="AA294" t="str">
        <f t="shared" si="32"/>
        <v>Low</v>
      </c>
      <c r="AB294" t="s">
        <v>1103</v>
      </c>
      <c r="AC294" t="str">
        <f t="shared" si="33"/>
        <v>Yes</v>
      </c>
      <c r="AD294">
        <v>5</v>
      </c>
      <c r="AE294">
        <v>9168</v>
      </c>
      <c r="AF294">
        <v>3667.2000000000003</v>
      </c>
      <c r="AG294">
        <f t="shared" si="34"/>
        <v>5497.1999999999989</v>
      </c>
    </row>
    <row r="295" spans="1:33" x14ac:dyDescent="0.25">
      <c r="A295">
        <v>1294</v>
      </c>
      <c r="B295" s="1">
        <v>45498</v>
      </c>
      <c r="C295" s="1">
        <v>45499</v>
      </c>
      <c r="D295" s="1">
        <v>45501</v>
      </c>
      <c r="E295" t="s">
        <v>1064</v>
      </c>
      <c r="F295" t="s">
        <v>323</v>
      </c>
      <c r="G295" t="s">
        <v>1071</v>
      </c>
      <c r="H295" t="str">
        <f t="shared" si="28"/>
        <v>Clothing</v>
      </c>
      <c r="I295">
        <v>5</v>
      </c>
      <c r="J295" t="str">
        <f>VLOOKUP(K295,$AJ$2:$AK$7,2,FALSE)</f>
        <v>S001</v>
      </c>
      <c r="K295" t="s">
        <v>1097</v>
      </c>
      <c r="L295">
        <v>4.2</v>
      </c>
      <c r="M295" t="str">
        <f>IFERROR(VLOOKUP(TRIM(N295),$AP$2:$AQ$12,2,FALSE),"W001")</f>
        <v>W001</v>
      </c>
      <c r="N295" t="s">
        <v>1047</v>
      </c>
      <c r="O295" t="s">
        <v>1059</v>
      </c>
      <c r="P295" t="str">
        <f>VLOOKUP(O295,$AL$2:$AM$12,2,FALSE)</f>
        <v>North</v>
      </c>
      <c r="Q295" t="s">
        <v>1080</v>
      </c>
      <c r="R295">
        <v>592</v>
      </c>
      <c r="S295" t="s">
        <v>1066</v>
      </c>
      <c r="T295">
        <f t="shared" si="29"/>
        <v>4</v>
      </c>
      <c r="U295">
        <v>88.8</v>
      </c>
      <c r="V295">
        <f t="shared" si="30"/>
        <v>4</v>
      </c>
      <c r="W295" t="s">
        <v>1086</v>
      </c>
      <c r="X295" t="s">
        <v>1091</v>
      </c>
      <c r="Y295">
        <f t="shared" si="31"/>
        <v>88.8</v>
      </c>
      <c r="Z295" t="s">
        <v>1108</v>
      </c>
      <c r="AA295" t="str">
        <f t="shared" si="32"/>
        <v>Low</v>
      </c>
      <c r="AB295" t="s">
        <v>1103</v>
      </c>
      <c r="AC295" t="str">
        <f t="shared" si="33"/>
        <v>Yes</v>
      </c>
      <c r="AD295">
        <v>4</v>
      </c>
      <c r="AE295">
        <v>8805</v>
      </c>
      <c r="AF295">
        <v>3522</v>
      </c>
      <c r="AG295">
        <f t="shared" si="34"/>
        <v>5194.2</v>
      </c>
    </row>
    <row r="296" spans="1:33" x14ac:dyDescent="0.25">
      <c r="A296">
        <v>1295</v>
      </c>
      <c r="B296" s="1">
        <v>44496</v>
      </c>
      <c r="C296" s="1">
        <v>44499</v>
      </c>
      <c r="D296" s="1">
        <v>44504</v>
      </c>
      <c r="E296" t="s">
        <v>1066</v>
      </c>
      <c r="F296" t="s">
        <v>324</v>
      </c>
      <c r="G296" t="s">
        <v>1071</v>
      </c>
      <c r="H296" t="str">
        <f t="shared" si="28"/>
        <v>Clothing</v>
      </c>
      <c r="I296">
        <v>8</v>
      </c>
      <c r="J296" t="str">
        <f>VLOOKUP(K296,$AJ$2:$AK$7,2,FALSE)</f>
        <v>S005</v>
      </c>
      <c r="K296" t="s">
        <v>1101</v>
      </c>
      <c r="L296">
        <v>4.9000000000000004</v>
      </c>
      <c r="M296" t="str">
        <f>IFERROR(VLOOKUP(TRIM(N296),$AP$2:$AQ$12,2,FALSE),"W001")</f>
        <v>W011</v>
      </c>
      <c r="N296" t="s">
        <v>1059</v>
      </c>
      <c r="O296" t="s">
        <v>1051</v>
      </c>
      <c r="P296" t="str">
        <f>VLOOKUP(O296,$AL$2:$AM$12,2,FALSE)</f>
        <v>West</v>
      </c>
      <c r="Q296" t="s">
        <v>1083</v>
      </c>
      <c r="R296">
        <v>1145</v>
      </c>
      <c r="S296" t="s">
        <v>1078</v>
      </c>
      <c r="T296">
        <f t="shared" si="29"/>
        <v>3</v>
      </c>
      <c r="U296">
        <v>572.5</v>
      </c>
      <c r="V296">
        <f t="shared" si="30"/>
        <v>10</v>
      </c>
      <c r="W296" t="s">
        <v>1086</v>
      </c>
      <c r="X296" t="s">
        <v>1089</v>
      </c>
      <c r="Y296">
        <f t="shared" si="31"/>
        <v>572.5</v>
      </c>
      <c r="Z296" t="s">
        <v>1108</v>
      </c>
      <c r="AA296" t="str">
        <f t="shared" si="32"/>
        <v>Medium</v>
      </c>
      <c r="AB296" t="s">
        <v>1103</v>
      </c>
      <c r="AC296" t="str">
        <f t="shared" si="33"/>
        <v>Yes</v>
      </c>
      <c r="AD296">
        <v>5</v>
      </c>
      <c r="AE296">
        <v>11664</v>
      </c>
      <c r="AF296">
        <v>4665.6000000000004</v>
      </c>
      <c r="AG296">
        <f t="shared" si="34"/>
        <v>6425.9</v>
      </c>
    </row>
    <row r="297" spans="1:33" x14ac:dyDescent="0.25">
      <c r="A297">
        <v>1296</v>
      </c>
      <c r="B297" s="1">
        <v>45498</v>
      </c>
      <c r="C297" s="1">
        <v>45501</v>
      </c>
      <c r="D297" s="1">
        <v>45503</v>
      </c>
      <c r="E297" t="s">
        <v>1066</v>
      </c>
      <c r="F297" t="s">
        <v>325</v>
      </c>
      <c r="G297" t="s">
        <v>1071</v>
      </c>
      <c r="H297" t="str">
        <f t="shared" si="28"/>
        <v>Clothing</v>
      </c>
      <c r="I297">
        <v>7</v>
      </c>
      <c r="J297" t="str">
        <f>VLOOKUP(K297,$AJ$2:$AK$7,2,FALSE)</f>
        <v>S002</v>
      </c>
      <c r="K297" t="s">
        <v>1098</v>
      </c>
      <c r="L297">
        <v>3</v>
      </c>
      <c r="M297" t="str">
        <f>IFERROR(VLOOKUP(TRIM(N297),$AP$2:$AQ$12,2,FALSE),"W001")</f>
        <v>W003</v>
      </c>
      <c r="N297" t="s">
        <v>1051</v>
      </c>
      <c r="O297" t="s">
        <v>1057</v>
      </c>
      <c r="P297" t="str">
        <f>VLOOKUP(O297,$AL$2:$AM$12,2,FALSE)</f>
        <v>South</v>
      </c>
      <c r="Q297" t="s">
        <v>1085</v>
      </c>
      <c r="R297">
        <v>1168</v>
      </c>
      <c r="S297" t="s">
        <v>1078</v>
      </c>
      <c r="T297">
        <f t="shared" si="29"/>
        <v>9</v>
      </c>
      <c r="U297">
        <v>116.8</v>
      </c>
      <c r="V297">
        <f t="shared" si="30"/>
        <v>3</v>
      </c>
      <c r="W297" t="s">
        <v>1088</v>
      </c>
      <c r="X297" t="s">
        <v>1091</v>
      </c>
      <c r="Y297">
        <f t="shared" si="31"/>
        <v>0</v>
      </c>
      <c r="Z297" t="s">
        <v>1108</v>
      </c>
      <c r="AA297" t="str">
        <f t="shared" si="32"/>
        <v>Low</v>
      </c>
      <c r="AB297" t="s">
        <v>1103</v>
      </c>
      <c r="AC297" t="str">
        <f t="shared" si="33"/>
        <v>Yes</v>
      </c>
      <c r="AD297">
        <v>5</v>
      </c>
      <c r="AE297">
        <v>19789</v>
      </c>
      <c r="AF297">
        <v>7915.6</v>
      </c>
      <c r="AG297">
        <f t="shared" si="34"/>
        <v>11756.6</v>
      </c>
    </row>
    <row r="298" spans="1:33" x14ac:dyDescent="0.25">
      <c r="A298">
        <v>1297</v>
      </c>
      <c r="B298" s="1">
        <v>46131</v>
      </c>
      <c r="C298" s="1">
        <v>46132</v>
      </c>
      <c r="D298" s="1">
        <v>46137</v>
      </c>
      <c r="E298" t="s">
        <v>1065</v>
      </c>
      <c r="F298" t="s">
        <v>326</v>
      </c>
      <c r="G298" t="s">
        <v>1068</v>
      </c>
      <c r="H298" t="str">
        <f t="shared" si="28"/>
        <v>Electronics</v>
      </c>
      <c r="I298">
        <v>3</v>
      </c>
      <c r="J298" t="str">
        <f>VLOOKUP(K298,$AJ$2:$AK$7,2,FALSE)</f>
        <v>S006</v>
      </c>
      <c r="K298" t="s">
        <v>1102</v>
      </c>
      <c r="L298">
        <v>5</v>
      </c>
      <c r="M298" t="str">
        <f>IFERROR(VLOOKUP(TRIM(N298),$AP$2:$AQ$12,2,FALSE),"W001")</f>
        <v>W003</v>
      </c>
      <c r="N298" t="s">
        <v>1051</v>
      </c>
      <c r="O298" t="s">
        <v>1049</v>
      </c>
      <c r="P298" t="str">
        <f>VLOOKUP(O298,$AL$2:$AM$12,2,FALSE)</f>
        <v>North</v>
      </c>
      <c r="Q298" t="s">
        <v>1081</v>
      </c>
      <c r="R298">
        <v>919</v>
      </c>
      <c r="S298" t="s">
        <v>1078</v>
      </c>
      <c r="T298">
        <f t="shared" si="29"/>
        <v>5</v>
      </c>
      <c r="U298">
        <v>183.8</v>
      </c>
      <c r="V298">
        <f t="shared" si="30"/>
        <v>5</v>
      </c>
      <c r="W298" t="s">
        <v>1088</v>
      </c>
      <c r="X298" t="s">
        <v>1090</v>
      </c>
      <c r="Y298">
        <f t="shared" si="31"/>
        <v>0</v>
      </c>
      <c r="Z298" t="s">
        <v>1108</v>
      </c>
      <c r="AA298" t="str">
        <f t="shared" si="32"/>
        <v>Low</v>
      </c>
      <c r="AB298" t="s">
        <v>1103</v>
      </c>
      <c r="AC298" t="str">
        <f t="shared" si="33"/>
        <v>Yes</v>
      </c>
      <c r="AD298">
        <v>4</v>
      </c>
      <c r="AE298">
        <v>177771</v>
      </c>
      <c r="AF298">
        <v>71108.400000000009</v>
      </c>
      <c r="AG298">
        <f t="shared" si="34"/>
        <v>106478.79999999999</v>
      </c>
    </row>
    <row r="299" spans="1:33" x14ac:dyDescent="0.25">
      <c r="A299">
        <v>1298</v>
      </c>
      <c r="B299" s="1">
        <v>45415</v>
      </c>
      <c r="C299" s="1">
        <v>45416</v>
      </c>
      <c r="D299" s="1">
        <v>45418</v>
      </c>
      <c r="E299" t="s">
        <v>1064</v>
      </c>
      <c r="F299" t="s">
        <v>327</v>
      </c>
      <c r="G299" t="s">
        <v>1068</v>
      </c>
      <c r="H299" t="str">
        <f t="shared" si="28"/>
        <v>Electronics</v>
      </c>
      <c r="I299">
        <v>8</v>
      </c>
      <c r="J299" t="str">
        <f>VLOOKUP(K299,$AJ$2:$AK$7,2,FALSE)</f>
        <v>S006</v>
      </c>
      <c r="K299" t="s">
        <v>1102</v>
      </c>
      <c r="L299">
        <v>3.9</v>
      </c>
      <c r="M299" t="str">
        <f>IFERROR(VLOOKUP(TRIM(N299),$AP$2:$AQ$12,2,FALSE),"W001")</f>
        <v>W006</v>
      </c>
      <c r="N299" t="s">
        <v>1057</v>
      </c>
      <c r="O299" t="s">
        <v>1047</v>
      </c>
      <c r="P299" t="str">
        <f>VLOOKUP(O299,$AL$2:$AM$12,2,FALSE)</f>
        <v>West</v>
      </c>
      <c r="Q299" t="s">
        <v>1085</v>
      </c>
      <c r="R299">
        <v>1195</v>
      </c>
      <c r="S299" t="s">
        <v>1078</v>
      </c>
      <c r="T299">
        <f t="shared" si="29"/>
        <v>9</v>
      </c>
      <c r="U299">
        <v>119.5</v>
      </c>
      <c r="V299">
        <f t="shared" si="30"/>
        <v>3</v>
      </c>
      <c r="W299" t="s">
        <v>1087</v>
      </c>
      <c r="X299" t="s">
        <v>1091</v>
      </c>
      <c r="Y299">
        <f t="shared" si="31"/>
        <v>0</v>
      </c>
      <c r="Z299" t="s">
        <v>1108</v>
      </c>
      <c r="AA299" t="str">
        <f t="shared" si="32"/>
        <v>Low</v>
      </c>
      <c r="AB299" t="s">
        <v>1103</v>
      </c>
      <c r="AC299" t="str">
        <f t="shared" si="33"/>
        <v>Yes</v>
      </c>
      <c r="AD299">
        <v>5</v>
      </c>
      <c r="AE299">
        <v>329984</v>
      </c>
      <c r="AF299">
        <v>131993.60000000001</v>
      </c>
      <c r="AG299">
        <f t="shared" si="34"/>
        <v>197870.9</v>
      </c>
    </row>
    <row r="300" spans="1:33" x14ac:dyDescent="0.25">
      <c r="A300">
        <v>1299</v>
      </c>
      <c r="B300" s="1">
        <v>44786</v>
      </c>
      <c r="C300" s="1">
        <v>44787</v>
      </c>
      <c r="D300" s="1">
        <v>44790</v>
      </c>
      <c r="E300" t="s">
        <v>1066</v>
      </c>
      <c r="F300" t="s">
        <v>328</v>
      </c>
      <c r="G300" t="s">
        <v>1069</v>
      </c>
      <c r="H300" t="str">
        <f t="shared" si="28"/>
        <v>Furniture</v>
      </c>
      <c r="I300">
        <v>8</v>
      </c>
      <c r="J300" t="str">
        <f>VLOOKUP(K300,$AJ$2:$AK$7,2,FALSE)</f>
        <v>S003</v>
      </c>
      <c r="K300" t="s">
        <v>1099</v>
      </c>
      <c r="L300">
        <v>4.0999999999999996</v>
      </c>
      <c r="M300" t="str">
        <f>IFERROR(VLOOKUP(TRIM(N300),$AP$2:$AQ$12,2,FALSE),"W001")</f>
        <v>W008</v>
      </c>
      <c r="N300" t="s">
        <v>1061</v>
      </c>
      <c r="O300" t="s">
        <v>1060</v>
      </c>
      <c r="P300" t="str">
        <f>VLOOKUP(O300,$AL$2:$AM$12,2,FALSE)</f>
        <v>North</v>
      </c>
      <c r="Q300" t="s">
        <v>1082</v>
      </c>
      <c r="R300">
        <v>339</v>
      </c>
      <c r="S300" t="s">
        <v>1066</v>
      </c>
      <c r="T300">
        <f t="shared" si="29"/>
        <v>2</v>
      </c>
      <c r="U300">
        <v>135.6</v>
      </c>
      <c r="V300">
        <f t="shared" si="30"/>
        <v>8</v>
      </c>
      <c r="W300" t="s">
        <v>1086</v>
      </c>
      <c r="X300" t="s">
        <v>1091</v>
      </c>
      <c r="Y300">
        <f t="shared" si="31"/>
        <v>135.6</v>
      </c>
      <c r="Z300" t="s">
        <v>1108</v>
      </c>
      <c r="AA300" t="str">
        <f t="shared" si="32"/>
        <v>Medium</v>
      </c>
      <c r="AB300" t="s">
        <v>1103</v>
      </c>
      <c r="AC300" t="str">
        <f t="shared" si="33"/>
        <v>Yes</v>
      </c>
      <c r="AD300">
        <v>4</v>
      </c>
      <c r="AE300">
        <v>72952</v>
      </c>
      <c r="AF300">
        <v>29180.800000000003</v>
      </c>
      <c r="AG300">
        <f t="shared" si="34"/>
        <v>43635.6</v>
      </c>
    </row>
    <row r="301" spans="1:33" x14ac:dyDescent="0.25">
      <c r="A301">
        <v>1300</v>
      </c>
      <c r="B301" s="1">
        <v>45749</v>
      </c>
      <c r="C301" s="1">
        <v>45750</v>
      </c>
      <c r="D301" s="1">
        <v>45753</v>
      </c>
      <c r="E301" t="s">
        <v>1064</v>
      </c>
      <c r="F301" t="s">
        <v>329</v>
      </c>
      <c r="G301" t="s">
        <v>1072</v>
      </c>
      <c r="H301" t="str">
        <f t="shared" si="28"/>
        <v>Electronics</v>
      </c>
      <c r="I301">
        <v>10</v>
      </c>
      <c r="J301" t="str">
        <f>VLOOKUP(K301,$AJ$2:$AK$7,2,FALSE)</f>
        <v>S001</v>
      </c>
      <c r="K301" t="s">
        <v>1097</v>
      </c>
      <c r="L301">
        <v>4.3</v>
      </c>
      <c r="M301" t="str">
        <f>IFERROR(VLOOKUP(TRIM(N301),$AP$2:$AQ$12,2,FALSE),"W001")</f>
        <v>W008</v>
      </c>
      <c r="N301" t="s">
        <v>1061</v>
      </c>
      <c r="O301" t="s">
        <v>1063</v>
      </c>
      <c r="P301" t="str">
        <f>VLOOKUP(O301,$AL$2:$AM$12,2,FALSE)</f>
        <v>South</v>
      </c>
      <c r="Q301" t="s">
        <v>1084</v>
      </c>
      <c r="R301">
        <v>1752</v>
      </c>
      <c r="S301" t="s">
        <v>1078</v>
      </c>
      <c r="T301">
        <f t="shared" si="29"/>
        <v>6</v>
      </c>
      <c r="U301">
        <v>525.6</v>
      </c>
      <c r="V301">
        <f t="shared" si="30"/>
        <v>6</v>
      </c>
      <c r="W301" t="s">
        <v>1088</v>
      </c>
      <c r="X301" t="s">
        <v>1091</v>
      </c>
      <c r="Y301">
        <f t="shared" si="31"/>
        <v>0</v>
      </c>
      <c r="Z301" t="s">
        <v>1109</v>
      </c>
      <c r="AA301" t="str">
        <f t="shared" si="32"/>
        <v>High</v>
      </c>
      <c r="AB301" t="s">
        <v>1104</v>
      </c>
      <c r="AC301" t="str">
        <f t="shared" si="33"/>
        <v>No</v>
      </c>
      <c r="AD301">
        <v>2</v>
      </c>
      <c r="AE301">
        <v>135170</v>
      </c>
      <c r="AF301">
        <v>54068</v>
      </c>
      <c r="AG301">
        <f t="shared" si="34"/>
        <v>80576.399999999994</v>
      </c>
    </row>
    <row r="302" spans="1:33" x14ac:dyDescent="0.25">
      <c r="A302">
        <v>1301</v>
      </c>
      <c r="B302" s="1">
        <v>46055</v>
      </c>
      <c r="C302" s="1">
        <v>46057</v>
      </c>
      <c r="D302" s="1">
        <v>46060</v>
      </c>
      <c r="E302" t="s">
        <v>1065</v>
      </c>
      <c r="F302" t="s">
        <v>330</v>
      </c>
      <c r="G302" t="s">
        <v>1069</v>
      </c>
      <c r="H302" t="str">
        <f t="shared" si="28"/>
        <v>Furniture</v>
      </c>
      <c r="I302">
        <v>10</v>
      </c>
      <c r="J302" t="str">
        <f>VLOOKUP(K302,$AJ$2:$AK$7,2,FALSE)</f>
        <v>S006</v>
      </c>
      <c r="K302" t="s">
        <v>1102</v>
      </c>
      <c r="L302">
        <v>4.7</v>
      </c>
      <c r="M302" t="str">
        <f>IFERROR(VLOOKUP(TRIM(N302),$AP$2:$AQ$12,2,FALSE),"W001")</f>
        <v>W009</v>
      </c>
      <c r="N302" t="s">
        <v>1060</v>
      </c>
      <c r="O302" t="s">
        <v>1059</v>
      </c>
      <c r="P302" t="str">
        <f>VLOOKUP(O302,$AL$2:$AM$12,2,FALSE)</f>
        <v>North</v>
      </c>
      <c r="Q302" t="s">
        <v>1080</v>
      </c>
      <c r="R302">
        <v>1913</v>
      </c>
      <c r="S302" t="s">
        <v>1078</v>
      </c>
      <c r="T302">
        <f t="shared" si="29"/>
        <v>8</v>
      </c>
      <c r="U302">
        <v>286.95</v>
      </c>
      <c r="V302">
        <f t="shared" si="30"/>
        <v>4</v>
      </c>
      <c r="W302" t="s">
        <v>1086</v>
      </c>
      <c r="X302" t="s">
        <v>1091</v>
      </c>
      <c r="Y302">
        <f t="shared" si="31"/>
        <v>286.95</v>
      </c>
      <c r="Z302" t="s">
        <v>1108</v>
      </c>
      <c r="AA302" t="str">
        <f t="shared" si="32"/>
        <v>Low</v>
      </c>
      <c r="AB302" t="s">
        <v>1103</v>
      </c>
      <c r="AC302" t="str">
        <f t="shared" si="33"/>
        <v>Yes</v>
      </c>
      <c r="AD302">
        <v>5</v>
      </c>
      <c r="AE302">
        <v>90360</v>
      </c>
      <c r="AF302">
        <v>36144</v>
      </c>
      <c r="AG302">
        <f t="shared" si="34"/>
        <v>53929.05</v>
      </c>
    </row>
    <row r="303" spans="1:33" x14ac:dyDescent="0.25">
      <c r="A303">
        <v>1302</v>
      </c>
      <c r="B303" s="1">
        <v>44602</v>
      </c>
      <c r="C303" s="1">
        <v>44605</v>
      </c>
      <c r="D303" s="1">
        <v>44610</v>
      </c>
      <c r="E303" t="s">
        <v>1065</v>
      </c>
      <c r="F303" t="s">
        <v>331</v>
      </c>
      <c r="G303" t="s">
        <v>1067</v>
      </c>
      <c r="H303" t="str">
        <f t="shared" si="28"/>
        <v>Clothing</v>
      </c>
      <c r="I303">
        <v>3</v>
      </c>
      <c r="J303" t="str">
        <f>VLOOKUP(K303,$AJ$2:$AK$7,2,FALSE)</f>
        <v>S002</v>
      </c>
      <c r="K303" t="s">
        <v>1098</v>
      </c>
      <c r="L303">
        <v>3.1</v>
      </c>
      <c r="M303" t="str">
        <f>IFERROR(VLOOKUP(TRIM(N303),$AP$2:$AQ$12,2,FALSE),"W001")</f>
        <v>W004</v>
      </c>
      <c r="N303" t="s">
        <v>1053</v>
      </c>
      <c r="O303" t="s">
        <v>1051</v>
      </c>
      <c r="P303" t="str">
        <f>VLOOKUP(O303,$AL$2:$AM$12,2,FALSE)</f>
        <v>West</v>
      </c>
      <c r="Q303" t="s">
        <v>1084</v>
      </c>
      <c r="R303">
        <v>774</v>
      </c>
      <c r="S303" t="s">
        <v>1066</v>
      </c>
      <c r="T303">
        <f t="shared" si="29"/>
        <v>3</v>
      </c>
      <c r="U303">
        <v>232.2</v>
      </c>
      <c r="V303">
        <f t="shared" si="30"/>
        <v>6</v>
      </c>
      <c r="W303" t="s">
        <v>1086</v>
      </c>
      <c r="X303" t="s">
        <v>1091</v>
      </c>
      <c r="Y303">
        <f t="shared" si="31"/>
        <v>232.2</v>
      </c>
      <c r="Z303" t="s">
        <v>1108</v>
      </c>
      <c r="AA303" t="str">
        <f t="shared" si="32"/>
        <v>Low</v>
      </c>
      <c r="AB303" t="s">
        <v>1103</v>
      </c>
      <c r="AC303" t="str">
        <f t="shared" si="33"/>
        <v>Yes</v>
      </c>
      <c r="AD303">
        <v>4</v>
      </c>
      <c r="AE303">
        <v>2451</v>
      </c>
      <c r="AF303">
        <v>980.40000000000009</v>
      </c>
      <c r="AG303">
        <f t="shared" si="34"/>
        <v>1238.3999999999999</v>
      </c>
    </row>
    <row r="304" spans="1:33" x14ac:dyDescent="0.25">
      <c r="A304">
        <v>1303</v>
      </c>
      <c r="B304" s="1">
        <v>44312</v>
      </c>
      <c r="C304" s="1">
        <v>44314</v>
      </c>
      <c r="D304" s="1">
        <v>44321</v>
      </c>
      <c r="E304" t="s">
        <v>1065</v>
      </c>
      <c r="F304" t="s">
        <v>332</v>
      </c>
      <c r="G304" t="s">
        <v>1072</v>
      </c>
      <c r="H304" t="str">
        <f t="shared" si="28"/>
        <v>Electronics</v>
      </c>
      <c r="I304">
        <v>9</v>
      </c>
      <c r="J304" t="str">
        <f>VLOOKUP(K304,$AJ$2:$AK$7,2,FALSE)</f>
        <v>S002</v>
      </c>
      <c r="K304" t="s">
        <v>1098</v>
      </c>
      <c r="L304">
        <v>4.2</v>
      </c>
      <c r="M304" t="str">
        <f>IFERROR(VLOOKUP(TRIM(N304),$AP$2:$AQ$12,2,FALSE),"W001")</f>
        <v>W006</v>
      </c>
      <c r="N304" t="s">
        <v>1057</v>
      </c>
      <c r="O304" t="s">
        <v>1053</v>
      </c>
      <c r="P304" t="str">
        <f>VLOOKUP(O304,$AL$2:$AM$12,2,FALSE)</f>
        <v>South</v>
      </c>
      <c r="Q304" t="s">
        <v>1081</v>
      </c>
      <c r="R304">
        <v>117</v>
      </c>
      <c r="S304" t="s">
        <v>1079</v>
      </c>
      <c r="T304">
        <f t="shared" si="29"/>
        <v>1</v>
      </c>
      <c r="U304">
        <v>23.4</v>
      </c>
      <c r="V304">
        <f t="shared" si="30"/>
        <v>5</v>
      </c>
      <c r="W304" t="s">
        <v>1088</v>
      </c>
      <c r="X304" t="s">
        <v>1091</v>
      </c>
      <c r="Y304">
        <f t="shared" si="31"/>
        <v>0</v>
      </c>
      <c r="Z304" t="s">
        <v>1108</v>
      </c>
      <c r="AA304" t="str">
        <f t="shared" si="32"/>
        <v>Low</v>
      </c>
      <c r="AB304" t="s">
        <v>1103</v>
      </c>
      <c r="AC304" t="str">
        <f t="shared" si="33"/>
        <v>Yes</v>
      </c>
      <c r="AD304">
        <v>4</v>
      </c>
      <c r="AE304">
        <v>94842</v>
      </c>
      <c r="AF304">
        <v>37936.800000000003</v>
      </c>
      <c r="AG304">
        <f t="shared" si="34"/>
        <v>56881.799999999996</v>
      </c>
    </row>
    <row r="305" spans="1:33" x14ac:dyDescent="0.25">
      <c r="A305">
        <v>1304</v>
      </c>
      <c r="B305" s="1">
        <v>45224</v>
      </c>
      <c r="C305" s="1">
        <v>45226</v>
      </c>
      <c r="D305" s="1">
        <v>45230</v>
      </c>
      <c r="E305" t="s">
        <v>1064</v>
      </c>
      <c r="F305" t="s">
        <v>333</v>
      </c>
      <c r="G305" t="s">
        <v>1069</v>
      </c>
      <c r="H305" t="str">
        <f t="shared" si="28"/>
        <v>Furniture</v>
      </c>
      <c r="I305">
        <v>10</v>
      </c>
      <c r="J305" t="str">
        <f>VLOOKUP(K305,$AJ$2:$AK$7,2,FALSE)</f>
        <v>S004</v>
      </c>
      <c r="K305" t="s">
        <v>1100</v>
      </c>
      <c r="L305">
        <v>4.5</v>
      </c>
      <c r="M305" t="str">
        <f>IFERROR(VLOOKUP(TRIM(N305),$AP$2:$AQ$12,2,FALSE),"W001")</f>
        <v>W009</v>
      </c>
      <c r="N305" t="s">
        <v>1060</v>
      </c>
      <c r="O305" t="s">
        <v>1063</v>
      </c>
      <c r="P305" t="str">
        <f>VLOOKUP(O305,$AL$2:$AM$12,2,FALSE)</f>
        <v>South</v>
      </c>
      <c r="Q305" t="s">
        <v>1080</v>
      </c>
      <c r="R305">
        <v>1303</v>
      </c>
      <c r="S305" t="s">
        <v>1078</v>
      </c>
      <c r="T305">
        <f t="shared" si="29"/>
        <v>6</v>
      </c>
      <c r="U305">
        <v>195.45</v>
      </c>
      <c r="V305">
        <f t="shared" si="30"/>
        <v>4</v>
      </c>
      <c r="W305" t="s">
        <v>1088</v>
      </c>
      <c r="X305" t="s">
        <v>1091</v>
      </c>
      <c r="Y305">
        <f t="shared" si="31"/>
        <v>0</v>
      </c>
      <c r="Z305" t="s">
        <v>1108</v>
      </c>
      <c r="AA305" t="str">
        <f t="shared" si="32"/>
        <v>Low</v>
      </c>
      <c r="AB305" t="s">
        <v>1103</v>
      </c>
      <c r="AC305" t="str">
        <f t="shared" si="33"/>
        <v>Yes</v>
      </c>
      <c r="AD305">
        <v>5</v>
      </c>
      <c r="AE305">
        <v>134560</v>
      </c>
      <c r="AF305">
        <v>53824</v>
      </c>
      <c r="AG305">
        <f t="shared" si="34"/>
        <v>80540.55</v>
      </c>
    </row>
    <row r="306" spans="1:33" x14ac:dyDescent="0.25">
      <c r="A306">
        <v>1305</v>
      </c>
      <c r="B306" s="1">
        <v>44506</v>
      </c>
      <c r="C306" s="1">
        <v>44508</v>
      </c>
      <c r="D306" s="1">
        <v>44515</v>
      </c>
      <c r="E306" t="s">
        <v>1065</v>
      </c>
      <c r="F306" t="s">
        <v>334</v>
      </c>
      <c r="G306" t="s">
        <v>1067</v>
      </c>
      <c r="H306" t="str">
        <f t="shared" si="28"/>
        <v>Clothing</v>
      </c>
      <c r="I306">
        <v>10</v>
      </c>
      <c r="J306" t="str">
        <f>VLOOKUP(K306,$AJ$2:$AK$7,2,FALSE)</f>
        <v>S002</v>
      </c>
      <c r="K306" t="s">
        <v>1098</v>
      </c>
      <c r="L306">
        <v>3.3</v>
      </c>
      <c r="M306" t="str">
        <f>IFERROR(VLOOKUP(TRIM(N306),$AP$2:$AQ$12,2,FALSE),"W001")</f>
        <v>W001</v>
      </c>
      <c r="N306" t="s">
        <v>1047</v>
      </c>
      <c r="O306" t="s">
        <v>1049</v>
      </c>
      <c r="P306" t="str">
        <f>VLOOKUP(O306,$AL$2:$AM$12,2,FALSE)</f>
        <v>North</v>
      </c>
      <c r="Q306" t="s">
        <v>1080</v>
      </c>
      <c r="R306">
        <v>1409</v>
      </c>
      <c r="S306" t="s">
        <v>1078</v>
      </c>
      <c r="T306">
        <f t="shared" si="29"/>
        <v>7</v>
      </c>
      <c r="U306">
        <v>211.35</v>
      </c>
      <c r="V306">
        <f t="shared" si="30"/>
        <v>4</v>
      </c>
      <c r="W306" t="s">
        <v>1086</v>
      </c>
      <c r="X306" t="s">
        <v>1089</v>
      </c>
      <c r="Y306">
        <f t="shared" si="31"/>
        <v>211.35</v>
      </c>
      <c r="Z306" t="s">
        <v>1108</v>
      </c>
      <c r="AA306" t="str">
        <f t="shared" si="32"/>
        <v>Low</v>
      </c>
      <c r="AB306" t="s">
        <v>1103</v>
      </c>
      <c r="AC306" t="str">
        <f t="shared" si="33"/>
        <v>Yes</v>
      </c>
      <c r="AD306">
        <v>4</v>
      </c>
      <c r="AE306">
        <v>13550</v>
      </c>
      <c r="AF306">
        <v>5420</v>
      </c>
      <c r="AG306">
        <f t="shared" si="34"/>
        <v>7918.65</v>
      </c>
    </row>
    <row r="307" spans="1:33" x14ac:dyDescent="0.25">
      <c r="A307">
        <v>1306</v>
      </c>
      <c r="B307" s="1">
        <v>45232</v>
      </c>
      <c r="C307" s="1">
        <v>45235</v>
      </c>
      <c r="D307" s="1">
        <v>45239</v>
      </c>
      <c r="E307" t="s">
        <v>1064</v>
      </c>
      <c r="F307" t="s">
        <v>335</v>
      </c>
      <c r="G307" t="s">
        <v>1070</v>
      </c>
      <c r="H307" t="str">
        <f t="shared" si="28"/>
        <v>Furniture</v>
      </c>
      <c r="I307">
        <v>4</v>
      </c>
      <c r="J307" t="str">
        <f>VLOOKUP(K307,$AJ$2:$AK$7,2,FALSE)</f>
        <v>S002</v>
      </c>
      <c r="K307" t="s">
        <v>1098</v>
      </c>
      <c r="L307">
        <v>4.8</v>
      </c>
      <c r="M307" t="str">
        <f>IFERROR(VLOOKUP(TRIM(N307),$AP$2:$AQ$12,2,FALSE),"W001")</f>
        <v>W003</v>
      </c>
      <c r="N307" t="s">
        <v>1051</v>
      </c>
      <c r="O307" t="s">
        <v>1049</v>
      </c>
      <c r="P307" t="str">
        <f>VLOOKUP(O307,$AL$2:$AM$12,2,FALSE)</f>
        <v>North</v>
      </c>
      <c r="Q307" t="s">
        <v>1080</v>
      </c>
      <c r="R307">
        <v>984</v>
      </c>
      <c r="S307" t="s">
        <v>1078</v>
      </c>
      <c r="T307">
        <f t="shared" si="29"/>
        <v>5</v>
      </c>
      <c r="U307">
        <v>147.6</v>
      </c>
      <c r="V307">
        <f t="shared" si="30"/>
        <v>4</v>
      </c>
      <c r="W307" t="s">
        <v>1087</v>
      </c>
      <c r="X307" t="s">
        <v>1091</v>
      </c>
      <c r="Y307">
        <f t="shared" si="31"/>
        <v>0</v>
      </c>
      <c r="Z307" t="s">
        <v>1108</v>
      </c>
      <c r="AA307" t="str">
        <f t="shared" si="32"/>
        <v>Low</v>
      </c>
      <c r="AB307" t="s">
        <v>1103</v>
      </c>
      <c r="AC307" t="str">
        <f t="shared" si="33"/>
        <v>Yes</v>
      </c>
      <c r="AD307">
        <v>4</v>
      </c>
      <c r="AE307">
        <v>8268</v>
      </c>
      <c r="AF307">
        <v>3307.2000000000003</v>
      </c>
      <c r="AG307">
        <f t="shared" si="34"/>
        <v>4813.1999999999989</v>
      </c>
    </row>
    <row r="308" spans="1:33" x14ac:dyDescent="0.25">
      <c r="A308">
        <v>1307</v>
      </c>
      <c r="B308" s="1">
        <v>45938</v>
      </c>
      <c r="C308" s="1">
        <v>45941</v>
      </c>
      <c r="D308" s="1">
        <v>45944</v>
      </c>
      <c r="E308" t="s">
        <v>1064</v>
      </c>
      <c r="F308" t="s">
        <v>336</v>
      </c>
      <c r="G308" t="s">
        <v>1069</v>
      </c>
      <c r="H308" t="str">
        <f t="shared" si="28"/>
        <v>Furniture</v>
      </c>
      <c r="I308">
        <v>1</v>
      </c>
      <c r="J308" t="str">
        <f>VLOOKUP(K308,$AJ$2:$AK$7,2,FALSE)</f>
        <v>S006</v>
      </c>
      <c r="K308" t="s">
        <v>1102</v>
      </c>
      <c r="L308">
        <v>3.8</v>
      </c>
      <c r="M308" t="str">
        <f>IFERROR(VLOOKUP(TRIM(N308),$AP$2:$AQ$12,2,FALSE),"W001")</f>
        <v>W005</v>
      </c>
      <c r="N308" t="s">
        <v>1055</v>
      </c>
      <c r="O308" t="s">
        <v>1062</v>
      </c>
      <c r="P308" t="str">
        <f>VLOOKUP(O308,$AL$2:$AM$12,2,FALSE)</f>
        <v>North</v>
      </c>
      <c r="Q308" t="s">
        <v>1085</v>
      </c>
      <c r="R308">
        <v>747</v>
      </c>
      <c r="S308" t="s">
        <v>1066</v>
      </c>
      <c r="T308">
        <f t="shared" si="29"/>
        <v>7</v>
      </c>
      <c r="U308">
        <v>74.7</v>
      </c>
      <c r="V308">
        <f t="shared" si="30"/>
        <v>3</v>
      </c>
      <c r="W308" t="s">
        <v>1088</v>
      </c>
      <c r="X308" t="s">
        <v>1091</v>
      </c>
      <c r="Y308">
        <f t="shared" si="31"/>
        <v>0</v>
      </c>
      <c r="Z308" t="s">
        <v>1108</v>
      </c>
      <c r="AA308" t="str">
        <f t="shared" si="32"/>
        <v>Low</v>
      </c>
      <c r="AB308" t="s">
        <v>1103</v>
      </c>
      <c r="AC308" t="str">
        <f t="shared" si="33"/>
        <v>Yes</v>
      </c>
      <c r="AD308">
        <v>4</v>
      </c>
      <c r="AE308">
        <v>11677</v>
      </c>
      <c r="AF308">
        <v>4670.8</v>
      </c>
      <c r="AG308">
        <f t="shared" si="34"/>
        <v>6931.5</v>
      </c>
    </row>
    <row r="309" spans="1:33" x14ac:dyDescent="0.25">
      <c r="A309">
        <v>1308</v>
      </c>
      <c r="B309" s="1">
        <v>45352</v>
      </c>
      <c r="C309" s="1">
        <v>45354</v>
      </c>
      <c r="D309" s="1">
        <v>45361</v>
      </c>
      <c r="E309" t="s">
        <v>1066</v>
      </c>
      <c r="F309" t="s">
        <v>337</v>
      </c>
      <c r="G309" t="s">
        <v>1071</v>
      </c>
      <c r="H309" t="str">
        <f t="shared" si="28"/>
        <v>Clothing</v>
      </c>
      <c r="I309">
        <v>2</v>
      </c>
      <c r="J309" t="str">
        <f>VLOOKUP(K309,$AJ$2:$AK$7,2,FALSE)</f>
        <v>S002</v>
      </c>
      <c r="K309" t="s">
        <v>1098</v>
      </c>
      <c r="L309">
        <v>3.1</v>
      </c>
      <c r="M309" t="str">
        <f>IFERROR(VLOOKUP(TRIM(N309),$AP$2:$AQ$12,2,FALSE),"W001")</f>
        <v>W006</v>
      </c>
      <c r="N309" t="s">
        <v>1057</v>
      </c>
      <c r="O309" t="s">
        <v>1047</v>
      </c>
      <c r="P309" t="str">
        <f>VLOOKUP(O309,$AL$2:$AM$12,2,FALSE)</f>
        <v>West</v>
      </c>
      <c r="Q309" t="s">
        <v>1083</v>
      </c>
      <c r="R309">
        <v>1003</v>
      </c>
      <c r="S309" t="s">
        <v>1078</v>
      </c>
      <c r="T309">
        <f t="shared" si="29"/>
        <v>2</v>
      </c>
      <c r="U309">
        <v>501.5</v>
      </c>
      <c r="V309">
        <f t="shared" si="30"/>
        <v>10</v>
      </c>
      <c r="W309" t="s">
        <v>1086</v>
      </c>
      <c r="X309" t="s">
        <v>1091</v>
      </c>
      <c r="Y309">
        <f t="shared" si="31"/>
        <v>501.5</v>
      </c>
      <c r="Z309" t="s">
        <v>1108</v>
      </c>
      <c r="AA309" t="str">
        <f t="shared" si="32"/>
        <v>Medium</v>
      </c>
      <c r="AB309" t="s">
        <v>1103</v>
      </c>
      <c r="AC309" t="str">
        <f t="shared" si="33"/>
        <v>Yes</v>
      </c>
      <c r="AD309">
        <v>4</v>
      </c>
      <c r="AE309">
        <v>2730</v>
      </c>
      <c r="AF309">
        <v>1092</v>
      </c>
      <c r="AG309">
        <f t="shared" si="34"/>
        <v>1136.5</v>
      </c>
    </row>
    <row r="310" spans="1:33" x14ac:dyDescent="0.25">
      <c r="A310">
        <v>1309</v>
      </c>
      <c r="B310" s="1">
        <v>45199</v>
      </c>
      <c r="C310" s="1">
        <v>45201</v>
      </c>
      <c r="D310" s="1">
        <v>45206</v>
      </c>
      <c r="E310" t="s">
        <v>1064</v>
      </c>
      <c r="F310" t="s">
        <v>338</v>
      </c>
      <c r="G310" t="s">
        <v>1070</v>
      </c>
      <c r="H310" t="str">
        <f t="shared" si="28"/>
        <v>Furniture</v>
      </c>
      <c r="I310">
        <v>6</v>
      </c>
      <c r="J310" t="str">
        <f>VLOOKUP(K310,$AJ$2:$AK$7,2,FALSE)</f>
        <v>S005</v>
      </c>
      <c r="K310" t="s">
        <v>1101</v>
      </c>
      <c r="L310">
        <v>4.9000000000000004</v>
      </c>
      <c r="M310" t="str">
        <f>IFERROR(VLOOKUP(TRIM(N310),$AP$2:$AQ$12,2,FALSE),"W001")</f>
        <v>W001</v>
      </c>
      <c r="N310" t="s">
        <v>1047</v>
      </c>
      <c r="O310" t="s">
        <v>1053</v>
      </c>
      <c r="P310" t="str">
        <f>VLOOKUP(O310,$AL$2:$AM$12,2,FALSE)</f>
        <v>South</v>
      </c>
      <c r="Q310" t="s">
        <v>1084</v>
      </c>
      <c r="R310">
        <v>1634</v>
      </c>
      <c r="S310" t="s">
        <v>1078</v>
      </c>
      <c r="T310">
        <f t="shared" si="29"/>
        <v>6</v>
      </c>
      <c r="U310">
        <v>490.2</v>
      </c>
      <c r="V310">
        <f t="shared" si="30"/>
        <v>6</v>
      </c>
      <c r="W310" t="s">
        <v>1086</v>
      </c>
      <c r="X310" t="s">
        <v>1091</v>
      </c>
      <c r="Y310">
        <f t="shared" si="31"/>
        <v>490.2</v>
      </c>
      <c r="Z310" t="s">
        <v>1109</v>
      </c>
      <c r="AA310" t="str">
        <f t="shared" si="32"/>
        <v>High</v>
      </c>
      <c r="AB310" t="s">
        <v>1104</v>
      </c>
      <c r="AC310" t="str">
        <f t="shared" si="33"/>
        <v>No</v>
      </c>
      <c r="AD310">
        <v>2</v>
      </c>
      <c r="AE310">
        <v>36972</v>
      </c>
      <c r="AF310">
        <v>14788.800000000001</v>
      </c>
      <c r="AG310">
        <f t="shared" si="34"/>
        <v>21692.999999999996</v>
      </c>
    </row>
    <row r="311" spans="1:33" x14ac:dyDescent="0.25">
      <c r="A311">
        <v>1310</v>
      </c>
      <c r="B311" s="1">
        <v>45226</v>
      </c>
      <c r="C311" s="1">
        <v>45228</v>
      </c>
      <c r="D311" s="1">
        <v>45233</v>
      </c>
      <c r="E311" t="s">
        <v>1066</v>
      </c>
      <c r="F311" t="s">
        <v>339</v>
      </c>
      <c r="G311" t="s">
        <v>1068</v>
      </c>
      <c r="H311" t="str">
        <f t="shared" si="28"/>
        <v>Electronics</v>
      </c>
      <c r="I311">
        <v>2</v>
      </c>
      <c r="J311" t="str">
        <f>VLOOKUP(K311,$AJ$2:$AK$7,2,FALSE)</f>
        <v>S003</v>
      </c>
      <c r="K311" t="s">
        <v>1099</v>
      </c>
      <c r="L311">
        <v>3.8</v>
      </c>
      <c r="M311" t="str">
        <f>IFERROR(VLOOKUP(TRIM(N311),$AP$2:$AQ$12,2,FALSE),"W001")</f>
        <v>W010</v>
      </c>
      <c r="N311" t="s">
        <v>1063</v>
      </c>
      <c r="O311" t="s">
        <v>1062</v>
      </c>
      <c r="P311" t="str">
        <f>VLOOKUP(O311,$AL$2:$AM$12,2,FALSE)</f>
        <v>North</v>
      </c>
      <c r="Q311" t="s">
        <v>1083</v>
      </c>
      <c r="R311">
        <v>1182</v>
      </c>
      <c r="S311" t="s">
        <v>1078</v>
      </c>
      <c r="T311">
        <f t="shared" si="29"/>
        <v>3</v>
      </c>
      <c r="U311">
        <v>591</v>
      </c>
      <c r="V311">
        <f t="shared" si="30"/>
        <v>10</v>
      </c>
      <c r="W311" t="s">
        <v>1087</v>
      </c>
      <c r="X311" t="s">
        <v>1091</v>
      </c>
      <c r="Y311">
        <f t="shared" si="31"/>
        <v>0</v>
      </c>
      <c r="Z311" t="s">
        <v>1108</v>
      </c>
      <c r="AA311" t="str">
        <f t="shared" si="32"/>
        <v>Medium</v>
      </c>
      <c r="AB311" t="s">
        <v>1103</v>
      </c>
      <c r="AC311" t="str">
        <f t="shared" si="33"/>
        <v>Yes</v>
      </c>
      <c r="AD311">
        <v>5</v>
      </c>
      <c r="AE311">
        <v>82338</v>
      </c>
      <c r="AF311">
        <v>32935.200000000004</v>
      </c>
      <c r="AG311">
        <f t="shared" si="34"/>
        <v>48811.799999999996</v>
      </c>
    </row>
    <row r="312" spans="1:33" x14ac:dyDescent="0.25">
      <c r="A312">
        <v>1311</v>
      </c>
      <c r="B312" s="1">
        <v>46038</v>
      </c>
      <c r="C312" s="1">
        <v>46041</v>
      </c>
      <c r="D312" s="1">
        <v>46048</v>
      </c>
      <c r="E312" t="s">
        <v>1064</v>
      </c>
      <c r="F312" t="s">
        <v>340</v>
      </c>
      <c r="G312" t="s">
        <v>1067</v>
      </c>
      <c r="H312" t="str">
        <f t="shared" si="28"/>
        <v>Clothing</v>
      </c>
      <c r="I312">
        <v>5</v>
      </c>
      <c r="J312" t="str">
        <f>VLOOKUP(K312,$AJ$2:$AK$7,2,FALSE)</f>
        <v>S001</v>
      </c>
      <c r="K312" t="s">
        <v>1097</v>
      </c>
      <c r="L312">
        <v>3.5</v>
      </c>
      <c r="M312" t="str">
        <f>IFERROR(VLOOKUP(TRIM(N312),$AP$2:$AQ$12,2,FALSE),"W001")</f>
        <v>W011</v>
      </c>
      <c r="N312" t="s">
        <v>1059</v>
      </c>
      <c r="O312" t="s">
        <v>1055</v>
      </c>
      <c r="P312" t="str">
        <f>VLOOKUP(O312,$AL$2:$AM$12,2,FALSE)</f>
        <v>South</v>
      </c>
      <c r="Q312" t="s">
        <v>1082</v>
      </c>
      <c r="R312">
        <v>1273</v>
      </c>
      <c r="S312" t="s">
        <v>1078</v>
      </c>
      <c r="T312">
        <f t="shared" si="29"/>
        <v>4</v>
      </c>
      <c r="U312">
        <v>509.2</v>
      </c>
      <c r="V312">
        <f t="shared" si="30"/>
        <v>8</v>
      </c>
      <c r="W312" t="s">
        <v>1088</v>
      </c>
      <c r="X312" t="s">
        <v>1089</v>
      </c>
      <c r="Y312">
        <f t="shared" si="31"/>
        <v>0</v>
      </c>
      <c r="Z312" t="s">
        <v>1109</v>
      </c>
      <c r="AA312" t="str">
        <f t="shared" si="32"/>
        <v>High</v>
      </c>
      <c r="AB312" t="s">
        <v>1104</v>
      </c>
      <c r="AC312" t="str">
        <f t="shared" si="33"/>
        <v>No</v>
      </c>
      <c r="AD312">
        <v>1</v>
      </c>
      <c r="AE312">
        <v>4870</v>
      </c>
      <c r="AF312">
        <v>1948</v>
      </c>
      <c r="AG312">
        <f t="shared" si="34"/>
        <v>2412.8000000000002</v>
      </c>
    </row>
    <row r="313" spans="1:33" x14ac:dyDescent="0.25">
      <c r="A313">
        <v>1312</v>
      </c>
      <c r="B313" s="1">
        <v>44967</v>
      </c>
      <c r="C313" s="1">
        <v>44970</v>
      </c>
      <c r="D313" s="1">
        <v>44976</v>
      </c>
      <c r="E313" t="s">
        <v>1066</v>
      </c>
      <c r="F313" t="s">
        <v>341</v>
      </c>
      <c r="G313" t="s">
        <v>1072</v>
      </c>
      <c r="H313" t="str">
        <f t="shared" si="28"/>
        <v>Electronics</v>
      </c>
      <c r="I313">
        <v>7</v>
      </c>
      <c r="J313" t="str">
        <f>VLOOKUP(K313,$AJ$2:$AK$7,2,FALSE)</f>
        <v>S002</v>
      </c>
      <c r="K313" t="s">
        <v>1098</v>
      </c>
      <c r="L313">
        <v>4.8</v>
      </c>
      <c r="M313" t="str">
        <f>IFERROR(VLOOKUP(TRIM(N313),$AP$2:$AQ$12,2,FALSE),"W001")</f>
        <v>W008</v>
      </c>
      <c r="N313" t="s">
        <v>1061</v>
      </c>
      <c r="O313" t="s">
        <v>1062</v>
      </c>
      <c r="P313" t="str">
        <f>VLOOKUP(O313,$AL$2:$AM$12,2,FALSE)</f>
        <v>North</v>
      </c>
      <c r="Q313" t="s">
        <v>1080</v>
      </c>
      <c r="R313">
        <v>1395</v>
      </c>
      <c r="S313" t="s">
        <v>1078</v>
      </c>
      <c r="T313">
        <f t="shared" si="29"/>
        <v>7</v>
      </c>
      <c r="U313">
        <v>209.25</v>
      </c>
      <c r="V313">
        <f t="shared" si="30"/>
        <v>4</v>
      </c>
      <c r="W313" t="s">
        <v>1088</v>
      </c>
      <c r="X313" t="s">
        <v>1091</v>
      </c>
      <c r="Y313">
        <f t="shared" si="31"/>
        <v>0</v>
      </c>
      <c r="Z313" t="s">
        <v>1108</v>
      </c>
      <c r="AA313" t="str">
        <f t="shared" si="32"/>
        <v>Low</v>
      </c>
      <c r="AB313" t="s">
        <v>1103</v>
      </c>
      <c r="AC313" t="str">
        <f t="shared" si="33"/>
        <v>Yes</v>
      </c>
      <c r="AD313">
        <v>5</v>
      </c>
      <c r="AE313">
        <v>169197</v>
      </c>
      <c r="AF313">
        <v>67678.8</v>
      </c>
      <c r="AG313">
        <f t="shared" si="34"/>
        <v>101308.95</v>
      </c>
    </row>
    <row r="314" spans="1:33" x14ac:dyDescent="0.25">
      <c r="A314">
        <v>1313</v>
      </c>
      <c r="B314" s="1">
        <v>44955</v>
      </c>
      <c r="C314" s="1">
        <v>44957</v>
      </c>
      <c r="D314" s="1">
        <v>44962</v>
      </c>
      <c r="E314" t="s">
        <v>1064</v>
      </c>
      <c r="F314" t="s">
        <v>342</v>
      </c>
      <c r="G314" t="s">
        <v>1070</v>
      </c>
      <c r="H314" t="str">
        <f t="shared" si="28"/>
        <v>Furniture</v>
      </c>
      <c r="I314">
        <v>9</v>
      </c>
      <c r="J314" t="str">
        <f>VLOOKUP(K314,$AJ$2:$AK$7,2,FALSE)</f>
        <v>S001</v>
      </c>
      <c r="K314" t="s">
        <v>1097</v>
      </c>
      <c r="L314">
        <v>3.7</v>
      </c>
      <c r="M314" t="str">
        <f>IFERROR(VLOOKUP(TRIM(N314),$AP$2:$AQ$12,2,FALSE),"W001")</f>
        <v>W003</v>
      </c>
      <c r="N314" t="s">
        <v>1051</v>
      </c>
      <c r="O314" t="s">
        <v>1049</v>
      </c>
      <c r="P314" t="str">
        <f>VLOOKUP(O314,$AL$2:$AM$12,2,FALSE)</f>
        <v>North</v>
      </c>
      <c r="Q314" t="s">
        <v>1080</v>
      </c>
      <c r="R314">
        <v>123</v>
      </c>
      <c r="S314" t="s">
        <v>1079</v>
      </c>
      <c r="T314">
        <f t="shared" si="29"/>
        <v>2</v>
      </c>
      <c r="U314">
        <v>18.45</v>
      </c>
      <c r="V314">
        <f t="shared" si="30"/>
        <v>4</v>
      </c>
      <c r="W314" t="s">
        <v>1087</v>
      </c>
      <c r="X314" t="s">
        <v>1089</v>
      </c>
      <c r="Y314">
        <f t="shared" si="31"/>
        <v>0</v>
      </c>
      <c r="Z314" t="s">
        <v>1108</v>
      </c>
      <c r="AA314" t="str">
        <f t="shared" si="32"/>
        <v>Low</v>
      </c>
      <c r="AB314" t="s">
        <v>1103</v>
      </c>
      <c r="AC314" t="str">
        <f t="shared" si="33"/>
        <v>Yes</v>
      </c>
      <c r="AD314">
        <v>5</v>
      </c>
      <c r="AE314">
        <v>45045</v>
      </c>
      <c r="AF314">
        <v>18018</v>
      </c>
      <c r="AG314">
        <f t="shared" si="34"/>
        <v>27008.55</v>
      </c>
    </row>
    <row r="315" spans="1:33" x14ac:dyDescent="0.25">
      <c r="A315">
        <v>1314</v>
      </c>
      <c r="B315" s="1">
        <v>44934</v>
      </c>
      <c r="C315" s="1">
        <v>44935</v>
      </c>
      <c r="D315" s="1">
        <v>44938</v>
      </c>
      <c r="E315" t="s">
        <v>1065</v>
      </c>
      <c r="F315" t="s">
        <v>343</v>
      </c>
      <c r="G315" t="s">
        <v>1069</v>
      </c>
      <c r="H315" t="str">
        <f t="shared" si="28"/>
        <v>Furniture</v>
      </c>
      <c r="I315">
        <v>8</v>
      </c>
      <c r="J315" t="str">
        <f>VLOOKUP(K315,$AJ$2:$AK$7,2,FALSE)</f>
        <v>S002</v>
      </c>
      <c r="K315" t="s">
        <v>1098</v>
      </c>
      <c r="L315">
        <v>4.3</v>
      </c>
      <c r="M315" t="str">
        <f>IFERROR(VLOOKUP(TRIM(N315),$AP$2:$AQ$12,2,FALSE),"W001")</f>
        <v>W010</v>
      </c>
      <c r="N315" t="s">
        <v>1063</v>
      </c>
      <c r="O315" t="s">
        <v>1063</v>
      </c>
      <c r="P315" t="str">
        <f>VLOOKUP(O315,$AL$2:$AM$12,2,FALSE)</f>
        <v>South</v>
      </c>
      <c r="Q315" t="s">
        <v>1082</v>
      </c>
      <c r="R315">
        <v>33</v>
      </c>
      <c r="S315" t="s">
        <v>1079</v>
      </c>
      <c r="T315">
        <f t="shared" si="29"/>
        <v>1</v>
      </c>
      <c r="U315">
        <v>13.2</v>
      </c>
      <c r="V315">
        <f t="shared" si="30"/>
        <v>8</v>
      </c>
      <c r="W315" t="s">
        <v>1086</v>
      </c>
      <c r="X315" t="s">
        <v>1090</v>
      </c>
      <c r="Y315">
        <f t="shared" si="31"/>
        <v>13.2</v>
      </c>
      <c r="Z315" t="s">
        <v>1108</v>
      </c>
      <c r="AA315" t="str">
        <f t="shared" si="32"/>
        <v>Medium</v>
      </c>
      <c r="AB315" t="s">
        <v>1104</v>
      </c>
      <c r="AC315" t="str">
        <f t="shared" si="33"/>
        <v>Yes</v>
      </c>
      <c r="AD315">
        <v>2</v>
      </c>
      <c r="AE315">
        <v>55680</v>
      </c>
      <c r="AF315">
        <v>22272</v>
      </c>
      <c r="AG315">
        <f t="shared" si="34"/>
        <v>33394.800000000003</v>
      </c>
    </row>
    <row r="316" spans="1:33" x14ac:dyDescent="0.25">
      <c r="A316">
        <v>1315</v>
      </c>
      <c r="B316" s="1">
        <v>45309</v>
      </c>
      <c r="C316" s="1">
        <v>45312</v>
      </c>
      <c r="D316" s="1">
        <v>45315</v>
      </c>
      <c r="E316" t="s">
        <v>1065</v>
      </c>
      <c r="F316" t="s">
        <v>344</v>
      </c>
      <c r="G316" t="s">
        <v>1067</v>
      </c>
      <c r="H316" t="str">
        <f t="shared" si="28"/>
        <v>Clothing</v>
      </c>
      <c r="I316">
        <v>8</v>
      </c>
      <c r="J316" t="str">
        <f>VLOOKUP(K316,$AJ$2:$AK$7,2,FALSE)</f>
        <v>S006</v>
      </c>
      <c r="K316" t="s">
        <v>1102</v>
      </c>
      <c r="L316">
        <v>5</v>
      </c>
      <c r="M316" t="str">
        <f>IFERROR(VLOOKUP(TRIM(N316),$AP$2:$AQ$12,2,FALSE),"W001")</f>
        <v>W004</v>
      </c>
      <c r="N316" t="s">
        <v>1053</v>
      </c>
      <c r="O316" t="s">
        <v>1047</v>
      </c>
      <c r="P316" t="str">
        <f>VLOOKUP(O316,$AL$2:$AM$12,2,FALSE)</f>
        <v>West</v>
      </c>
      <c r="Q316" t="s">
        <v>1083</v>
      </c>
      <c r="R316">
        <v>1618</v>
      </c>
      <c r="S316" t="s">
        <v>1078</v>
      </c>
      <c r="T316">
        <f t="shared" si="29"/>
        <v>3</v>
      </c>
      <c r="U316">
        <v>809</v>
      </c>
      <c r="V316">
        <f t="shared" si="30"/>
        <v>10</v>
      </c>
      <c r="W316" t="s">
        <v>1087</v>
      </c>
      <c r="X316" t="s">
        <v>1089</v>
      </c>
      <c r="Y316">
        <f t="shared" si="31"/>
        <v>0</v>
      </c>
      <c r="Z316" t="s">
        <v>1108</v>
      </c>
      <c r="AA316" t="str">
        <f t="shared" si="32"/>
        <v>Medium</v>
      </c>
      <c r="AB316" t="s">
        <v>1103</v>
      </c>
      <c r="AC316" t="str">
        <f t="shared" si="33"/>
        <v>Yes</v>
      </c>
      <c r="AD316">
        <v>5</v>
      </c>
      <c r="AE316">
        <v>8608</v>
      </c>
      <c r="AF316">
        <v>3443.2000000000003</v>
      </c>
      <c r="AG316">
        <f t="shared" si="34"/>
        <v>4355.7999999999993</v>
      </c>
    </row>
    <row r="317" spans="1:33" x14ac:dyDescent="0.25">
      <c r="A317">
        <v>1316</v>
      </c>
      <c r="B317" s="1">
        <v>45070</v>
      </c>
      <c r="C317" s="1">
        <v>45072</v>
      </c>
      <c r="D317" s="1">
        <v>45076</v>
      </c>
      <c r="E317" t="s">
        <v>1065</v>
      </c>
      <c r="F317" t="s">
        <v>345</v>
      </c>
      <c r="G317" t="s">
        <v>1071</v>
      </c>
      <c r="H317" t="str">
        <f t="shared" si="28"/>
        <v>Clothing</v>
      </c>
      <c r="I317">
        <v>10</v>
      </c>
      <c r="J317" t="str">
        <f>VLOOKUP(K317,$AJ$2:$AK$7,2,FALSE)</f>
        <v>S004</v>
      </c>
      <c r="K317" t="s">
        <v>1100</v>
      </c>
      <c r="L317">
        <v>3</v>
      </c>
      <c r="M317" t="str">
        <f>IFERROR(VLOOKUP(TRIM(N317),$AP$2:$AQ$12,2,FALSE),"W001")</f>
        <v>W009</v>
      </c>
      <c r="N317" t="s">
        <v>1060</v>
      </c>
      <c r="O317" t="s">
        <v>1055</v>
      </c>
      <c r="P317" t="str">
        <f>VLOOKUP(O317,$AL$2:$AM$12,2,FALSE)</f>
        <v>South</v>
      </c>
      <c r="Q317" t="s">
        <v>1085</v>
      </c>
      <c r="R317">
        <v>1318</v>
      </c>
      <c r="S317" t="s">
        <v>1078</v>
      </c>
      <c r="T317">
        <f t="shared" si="29"/>
        <v>10</v>
      </c>
      <c r="U317">
        <v>131.80000000000001</v>
      </c>
      <c r="V317">
        <f t="shared" si="30"/>
        <v>3</v>
      </c>
      <c r="W317" t="s">
        <v>1086</v>
      </c>
      <c r="X317" t="s">
        <v>1091</v>
      </c>
      <c r="Y317">
        <f t="shared" si="31"/>
        <v>131.80000000000001</v>
      </c>
      <c r="Z317" t="s">
        <v>1108</v>
      </c>
      <c r="AA317" t="str">
        <f t="shared" si="32"/>
        <v>Low</v>
      </c>
      <c r="AB317" t="s">
        <v>1103</v>
      </c>
      <c r="AC317" t="str">
        <f t="shared" si="33"/>
        <v>Yes</v>
      </c>
      <c r="AD317">
        <v>4</v>
      </c>
      <c r="AE317">
        <v>29550</v>
      </c>
      <c r="AF317">
        <v>11820</v>
      </c>
      <c r="AG317">
        <f t="shared" si="34"/>
        <v>17598.2</v>
      </c>
    </row>
    <row r="318" spans="1:33" x14ac:dyDescent="0.25">
      <c r="A318">
        <v>1317</v>
      </c>
      <c r="B318" s="1">
        <v>44922</v>
      </c>
      <c r="C318" s="1">
        <v>44924</v>
      </c>
      <c r="D318" s="1">
        <v>44929</v>
      </c>
      <c r="E318" t="s">
        <v>1066</v>
      </c>
      <c r="F318" t="s">
        <v>346</v>
      </c>
      <c r="G318" t="s">
        <v>1071</v>
      </c>
      <c r="H318" t="str">
        <f t="shared" si="28"/>
        <v>Clothing</v>
      </c>
      <c r="I318">
        <v>9</v>
      </c>
      <c r="J318" t="str">
        <f>VLOOKUP(K318,$AJ$2:$AK$7,2,FALSE)</f>
        <v>S001</v>
      </c>
      <c r="K318" t="s">
        <v>1097</v>
      </c>
      <c r="L318">
        <v>4.0999999999999996</v>
      </c>
      <c r="M318" t="str">
        <f>IFERROR(VLOOKUP(TRIM(N318),$AP$2:$AQ$12,2,FALSE),"W001")</f>
        <v>W001</v>
      </c>
      <c r="N318" t="s">
        <v>1047</v>
      </c>
      <c r="O318" t="s">
        <v>1053</v>
      </c>
      <c r="P318" t="str">
        <f>VLOOKUP(O318,$AL$2:$AM$12,2,FALSE)</f>
        <v>South</v>
      </c>
      <c r="Q318" t="s">
        <v>1083</v>
      </c>
      <c r="R318">
        <v>549</v>
      </c>
      <c r="S318" t="s">
        <v>1066</v>
      </c>
      <c r="T318">
        <f t="shared" si="29"/>
        <v>2</v>
      </c>
      <c r="U318">
        <v>274.5</v>
      </c>
      <c r="V318">
        <f t="shared" si="30"/>
        <v>10</v>
      </c>
      <c r="W318" t="s">
        <v>1088</v>
      </c>
      <c r="X318" t="s">
        <v>1090</v>
      </c>
      <c r="Y318">
        <f t="shared" si="31"/>
        <v>0</v>
      </c>
      <c r="Z318" t="s">
        <v>1108</v>
      </c>
      <c r="AA318" t="str">
        <f t="shared" si="32"/>
        <v>Medium</v>
      </c>
      <c r="AB318" t="s">
        <v>1103</v>
      </c>
      <c r="AC318" t="str">
        <f t="shared" si="33"/>
        <v>Yes</v>
      </c>
      <c r="AD318">
        <v>4</v>
      </c>
      <c r="AE318">
        <v>16506</v>
      </c>
      <c r="AF318">
        <v>6602.4000000000005</v>
      </c>
      <c r="AG318">
        <f t="shared" si="34"/>
        <v>9629.0999999999985</v>
      </c>
    </row>
    <row r="319" spans="1:33" x14ac:dyDescent="0.25">
      <c r="A319">
        <v>1318</v>
      </c>
      <c r="B319" s="1">
        <v>46382</v>
      </c>
      <c r="C319" s="1">
        <v>46383</v>
      </c>
      <c r="D319" s="1">
        <v>46389</v>
      </c>
      <c r="E319" t="s">
        <v>1066</v>
      </c>
      <c r="F319" t="s">
        <v>347</v>
      </c>
      <c r="G319" t="s">
        <v>1071</v>
      </c>
      <c r="H319" t="str">
        <f t="shared" si="28"/>
        <v>Clothing</v>
      </c>
      <c r="I319">
        <v>10</v>
      </c>
      <c r="J319" t="str">
        <f>VLOOKUP(K319,$AJ$2:$AK$7,2,FALSE)</f>
        <v>S002</v>
      </c>
      <c r="K319" t="s">
        <v>1098</v>
      </c>
      <c r="L319">
        <v>3.7</v>
      </c>
      <c r="M319" t="str">
        <f>IFERROR(VLOOKUP(TRIM(N319),$AP$2:$AQ$12,2,FALSE),"W001")</f>
        <v>W001</v>
      </c>
      <c r="N319" t="s">
        <v>1047</v>
      </c>
      <c r="O319" t="s">
        <v>1055</v>
      </c>
      <c r="P319" t="str">
        <f>VLOOKUP(O319,$AL$2:$AM$12,2,FALSE)</f>
        <v>South</v>
      </c>
      <c r="Q319" t="s">
        <v>1081</v>
      </c>
      <c r="R319">
        <v>1126</v>
      </c>
      <c r="S319" t="s">
        <v>1078</v>
      </c>
      <c r="T319">
        <f t="shared" si="29"/>
        <v>6</v>
      </c>
      <c r="U319">
        <v>225.2</v>
      </c>
      <c r="V319">
        <f t="shared" si="30"/>
        <v>5</v>
      </c>
      <c r="W319" t="s">
        <v>1088</v>
      </c>
      <c r="X319" t="s">
        <v>1091</v>
      </c>
      <c r="Y319">
        <f t="shared" si="31"/>
        <v>0</v>
      </c>
      <c r="Z319" t="s">
        <v>1108</v>
      </c>
      <c r="AA319" t="str">
        <f t="shared" si="32"/>
        <v>Low</v>
      </c>
      <c r="AB319" t="s">
        <v>1103</v>
      </c>
      <c r="AC319" t="str">
        <f t="shared" si="33"/>
        <v>Yes</v>
      </c>
      <c r="AD319">
        <v>4</v>
      </c>
      <c r="AE319">
        <v>17520</v>
      </c>
      <c r="AF319">
        <v>7008</v>
      </c>
      <c r="AG319">
        <f t="shared" si="34"/>
        <v>10286.799999999999</v>
      </c>
    </row>
    <row r="320" spans="1:33" x14ac:dyDescent="0.25">
      <c r="A320">
        <v>1319</v>
      </c>
      <c r="B320" s="1">
        <v>44808</v>
      </c>
      <c r="C320" s="1">
        <v>44809</v>
      </c>
      <c r="D320" s="1">
        <v>44816</v>
      </c>
      <c r="E320" t="s">
        <v>1065</v>
      </c>
      <c r="F320" t="s">
        <v>348</v>
      </c>
      <c r="G320" t="s">
        <v>1072</v>
      </c>
      <c r="H320" t="str">
        <f t="shared" si="28"/>
        <v>Electronics</v>
      </c>
      <c r="I320">
        <v>5</v>
      </c>
      <c r="J320" t="str">
        <f>VLOOKUP(K320,$AJ$2:$AK$7,2,FALSE)</f>
        <v>S004</v>
      </c>
      <c r="K320" t="s">
        <v>1100</v>
      </c>
      <c r="L320">
        <v>4.7</v>
      </c>
      <c r="M320" t="str">
        <f>IFERROR(VLOOKUP(TRIM(N320),$AP$2:$AQ$12,2,FALSE),"W001")</f>
        <v>W010</v>
      </c>
      <c r="N320" t="s">
        <v>1063</v>
      </c>
      <c r="O320" t="s">
        <v>1060</v>
      </c>
      <c r="P320" t="str">
        <f>VLOOKUP(O320,$AL$2:$AM$12,2,FALSE)</f>
        <v>North</v>
      </c>
      <c r="Q320" t="s">
        <v>1085</v>
      </c>
      <c r="R320">
        <v>422</v>
      </c>
      <c r="S320" t="s">
        <v>1066</v>
      </c>
      <c r="T320">
        <f t="shared" si="29"/>
        <v>5</v>
      </c>
      <c r="U320">
        <v>42.2</v>
      </c>
      <c r="V320">
        <f t="shared" si="30"/>
        <v>3</v>
      </c>
      <c r="W320" t="s">
        <v>1086</v>
      </c>
      <c r="X320" t="s">
        <v>1090</v>
      </c>
      <c r="Y320">
        <f t="shared" si="31"/>
        <v>42.2</v>
      </c>
      <c r="Z320" t="s">
        <v>1108</v>
      </c>
      <c r="AA320" t="str">
        <f t="shared" si="32"/>
        <v>Low</v>
      </c>
      <c r="AB320" t="s">
        <v>1103</v>
      </c>
      <c r="AC320" t="str">
        <f t="shared" si="33"/>
        <v>Yes</v>
      </c>
      <c r="AD320">
        <v>4</v>
      </c>
      <c r="AE320">
        <v>69535</v>
      </c>
      <c r="AF320">
        <v>27814</v>
      </c>
      <c r="AG320">
        <f t="shared" si="34"/>
        <v>41678.800000000003</v>
      </c>
    </row>
    <row r="321" spans="1:33" x14ac:dyDescent="0.25">
      <c r="A321">
        <v>1320</v>
      </c>
      <c r="B321" s="1">
        <v>46109</v>
      </c>
      <c r="C321" s="1">
        <v>46112</v>
      </c>
      <c r="D321" s="1">
        <v>46116</v>
      </c>
      <c r="E321" t="s">
        <v>1065</v>
      </c>
      <c r="F321" t="s">
        <v>349</v>
      </c>
      <c r="G321" t="s">
        <v>1071</v>
      </c>
      <c r="H321" t="str">
        <f t="shared" si="28"/>
        <v>Clothing</v>
      </c>
      <c r="I321">
        <v>6</v>
      </c>
      <c r="J321" t="str">
        <f>VLOOKUP(K321,$AJ$2:$AK$7,2,FALSE)</f>
        <v>S005</v>
      </c>
      <c r="K321" t="s">
        <v>1101</v>
      </c>
      <c r="L321">
        <v>4.4000000000000004</v>
      </c>
      <c r="M321" t="str">
        <f>IFERROR(VLOOKUP(TRIM(N321),$AP$2:$AQ$12,2,FALSE),"W001")</f>
        <v>W002</v>
      </c>
      <c r="N321" t="s">
        <v>1049</v>
      </c>
      <c r="O321" t="s">
        <v>1060</v>
      </c>
      <c r="P321" t="str">
        <f>VLOOKUP(O321,$AL$2:$AM$12,2,FALSE)</f>
        <v>North</v>
      </c>
      <c r="Q321" t="s">
        <v>1084</v>
      </c>
      <c r="R321">
        <v>1897</v>
      </c>
      <c r="S321" t="s">
        <v>1078</v>
      </c>
      <c r="T321">
        <f t="shared" si="29"/>
        <v>6</v>
      </c>
      <c r="U321">
        <v>569.1</v>
      </c>
      <c r="V321">
        <f t="shared" si="30"/>
        <v>6</v>
      </c>
      <c r="W321" t="s">
        <v>1087</v>
      </c>
      <c r="X321" t="s">
        <v>1091</v>
      </c>
      <c r="Y321">
        <f t="shared" si="31"/>
        <v>0</v>
      </c>
      <c r="Z321" t="s">
        <v>1109</v>
      </c>
      <c r="AA321" t="str">
        <f t="shared" si="32"/>
        <v>High</v>
      </c>
      <c r="AB321" t="s">
        <v>1103</v>
      </c>
      <c r="AC321" t="str">
        <f t="shared" si="33"/>
        <v>No</v>
      </c>
      <c r="AD321">
        <v>2</v>
      </c>
      <c r="AE321">
        <v>14970</v>
      </c>
      <c r="AF321">
        <v>5988</v>
      </c>
      <c r="AG321">
        <f t="shared" si="34"/>
        <v>8412.9</v>
      </c>
    </row>
    <row r="322" spans="1:33" x14ac:dyDescent="0.25">
      <c r="A322">
        <v>1321</v>
      </c>
      <c r="B322" s="1">
        <v>44978</v>
      </c>
      <c r="C322" s="1">
        <v>44979</v>
      </c>
      <c r="D322" s="1">
        <v>44983</v>
      </c>
      <c r="E322" t="s">
        <v>1065</v>
      </c>
      <c r="F322" t="s">
        <v>350</v>
      </c>
      <c r="G322" t="s">
        <v>1070</v>
      </c>
      <c r="H322" t="str">
        <f t="shared" si="28"/>
        <v>Furniture</v>
      </c>
      <c r="I322">
        <v>10</v>
      </c>
      <c r="J322" t="str">
        <f>VLOOKUP(K322,$AJ$2:$AK$7,2,FALSE)</f>
        <v>S004</v>
      </c>
      <c r="K322" t="s">
        <v>1100</v>
      </c>
      <c r="L322">
        <v>3.2</v>
      </c>
      <c r="M322" t="str">
        <f>IFERROR(VLOOKUP(TRIM(N322),$AP$2:$AQ$12,2,FALSE),"W001")</f>
        <v>W011</v>
      </c>
      <c r="N322" t="s">
        <v>1059</v>
      </c>
      <c r="O322" t="s">
        <v>1063</v>
      </c>
      <c r="P322" t="str">
        <f>VLOOKUP(O322,$AL$2:$AM$12,2,FALSE)</f>
        <v>South</v>
      </c>
      <c r="Q322" t="s">
        <v>1080</v>
      </c>
      <c r="R322">
        <v>1688</v>
      </c>
      <c r="S322" t="s">
        <v>1078</v>
      </c>
      <c r="T322">
        <f t="shared" si="29"/>
        <v>8</v>
      </c>
      <c r="U322">
        <v>253.2</v>
      </c>
      <c r="V322">
        <f t="shared" si="30"/>
        <v>4</v>
      </c>
      <c r="W322" t="s">
        <v>1086</v>
      </c>
      <c r="X322" t="s">
        <v>1089</v>
      </c>
      <c r="Y322">
        <f t="shared" si="31"/>
        <v>253.2</v>
      </c>
      <c r="Z322" t="s">
        <v>1108</v>
      </c>
      <c r="AA322" t="str">
        <f t="shared" si="32"/>
        <v>Low</v>
      </c>
      <c r="AB322" t="s">
        <v>1103</v>
      </c>
      <c r="AC322" t="str">
        <f t="shared" si="33"/>
        <v>Yes</v>
      </c>
      <c r="AD322">
        <v>4</v>
      </c>
      <c r="AE322">
        <v>22590</v>
      </c>
      <c r="AF322">
        <v>9036</v>
      </c>
      <c r="AG322">
        <f t="shared" si="34"/>
        <v>13300.8</v>
      </c>
    </row>
    <row r="323" spans="1:33" x14ac:dyDescent="0.25">
      <c r="A323">
        <v>1322</v>
      </c>
      <c r="B323" s="1">
        <v>44721</v>
      </c>
      <c r="C323" s="1">
        <v>44723</v>
      </c>
      <c r="D323" s="1">
        <v>44730</v>
      </c>
      <c r="E323" t="s">
        <v>1065</v>
      </c>
      <c r="F323" t="s">
        <v>351</v>
      </c>
      <c r="G323" t="s">
        <v>1069</v>
      </c>
      <c r="H323" t="str">
        <f t="shared" ref="H323:H386" si="35">IF(OR(G323="Laptop",G323="Mobile"),"Electronics",
IF(OR(G323="T-Shirt",G323="Jeans"),"Clothing",
IF(OR(G323="Table",G323="Chair"),"Furniture","")))</f>
        <v>Furniture</v>
      </c>
      <c r="I323">
        <v>1</v>
      </c>
      <c r="J323" t="str">
        <f>VLOOKUP(K323,$AJ$2:$AK$7,2,FALSE)</f>
        <v>S006</v>
      </c>
      <c r="K323" t="s">
        <v>1102</v>
      </c>
      <c r="L323">
        <v>4.4000000000000004</v>
      </c>
      <c r="M323" t="str">
        <f>IFERROR(VLOOKUP(TRIM(N323),$AP$2:$AQ$12,2,FALSE),"W001")</f>
        <v>W009</v>
      </c>
      <c r="N323" t="s">
        <v>1060</v>
      </c>
      <c r="O323" t="s">
        <v>1049</v>
      </c>
      <c r="P323" t="str">
        <f>VLOOKUP(O323,$AL$2:$AM$12,2,FALSE)</f>
        <v>North</v>
      </c>
      <c r="Q323" t="s">
        <v>1080</v>
      </c>
      <c r="R323">
        <v>428</v>
      </c>
      <c r="S323" t="s">
        <v>1066</v>
      </c>
      <c r="T323">
        <f t="shared" ref="T323:T386" si="36">IF(Q323="Air",ROUND(R323/700,0)+1,
IF(Q323="Express",ROUND(R323/500,0)+1,
IF(Q323="Courier",ROUND(R323/350,0)+1,
IF(Q323="Road",ROUND(R323/250,0)+1,
IF(Q323="Rail",ROUND(R323/300,0)+2,
IF(Q323="Ship",ROUND(R323/200,0)+3,""))))))</f>
        <v>3</v>
      </c>
      <c r="U323">
        <v>64.2</v>
      </c>
      <c r="V323">
        <f t="shared" ref="V323:V386" si="37">IF(Q323="Road",5,
IF(Q323="Rail",4,
IF(Q323="Air",10,
IF(Q323="Ship",3,
IF(Q323="Courier",6,
IF(Q323="Express",8))))))</f>
        <v>4</v>
      </c>
      <c r="W323" t="s">
        <v>1088</v>
      </c>
      <c r="X323" t="s">
        <v>1091</v>
      </c>
      <c r="Y323">
        <f t="shared" ref="Y323:Y386" si="38">IF(W323="COD",U323,0)</f>
        <v>0</v>
      </c>
      <c r="Z323" t="s">
        <v>1108</v>
      </c>
      <c r="AA323" t="str">
        <f t="shared" ref="AA323:AA386" si="39">IF(Z323="Delayed","High",
IF(OR(Q323="Air",Q323="Express"),"Medium","Low"))</f>
        <v>Low</v>
      </c>
      <c r="AB323" t="s">
        <v>1103</v>
      </c>
      <c r="AC323" t="str">
        <f t="shared" ref="AC323:AC386" si="40">IF(Z323="Delayed","No","Yes")</f>
        <v>Yes</v>
      </c>
      <c r="AD323">
        <v>4</v>
      </c>
      <c r="AE323">
        <v>8965</v>
      </c>
      <c r="AF323">
        <v>3586</v>
      </c>
      <c r="AG323">
        <f t="shared" ref="AG323:AG386" si="41">AE323 - AF323-U323</f>
        <v>5314.8</v>
      </c>
    </row>
    <row r="324" spans="1:33" x14ac:dyDescent="0.25">
      <c r="A324">
        <v>1323</v>
      </c>
      <c r="B324" s="1">
        <v>45604</v>
      </c>
      <c r="C324" s="1">
        <v>45606</v>
      </c>
      <c r="D324" s="1">
        <v>45608</v>
      </c>
      <c r="E324" t="s">
        <v>1066</v>
      </c>
      <c r="F324" t="s">
        <v>352</v>
      </c>
      <c r="G324" t="s">
        <v>1072</v>
      </c>
      <c r="H324" t="str">
        <f t="shared" si="35"/>
        <v>Electronics</v>
      </c>
      <c r="I324">
        <v>7</v>
      </c>
      <c r="J324" t="str">
        <f>VLOOKUP(K324,$AJ$2:$AK$7,2,FALSE)</f>
        <v>S003</v>
      </c>
      <c r="K324" t="s">
        <v>1099</v>
      </c>
      <c r="L324">
        <v>4.0999999999999996</v>
      </c>
      <c r="M324" t="str">
        <f>IFERROR(VLOOKUP(TRIM(N324),$AP$2:$AQ$12,2,FALSE),"W001")</f>
        <v>W001</v>
      </c>
      <c r="N324" t="s">
        <v>1047</v>
      </c>
      <c r="O324" t="s">
        <v>1059</v>
      </c>
      <c r="P324" t="str">
        <f>VLOOKUP(O324,$AL$2:$AM$12,2,FALSE)</f>
        <v>North</v>
      </c>
      <c r="Q324" t="s">
        <v>1082</v>
      </c>
      <c r="R324">
        <v>1346</v>
      </c>
      <c r="S324" t="s">
        <v>1078</v>
      </c>
      <c r="T324">
        <f t="shared" si="36"/>
        <v>4</v>
      </c>
      <c r="U324">
        <v>538.4</v>
      </c>
      <c r="V324">
        <f t="shared" si="37"/>
        <v>8</v>
      </c>
      <c r="W324" t="s">
        <v>1088</v>
      </c>
      <c r="X324" t="s">
        <v>1091</v>
      </c>
      <c r="Y324">
        <f t="shared" si="38"/>
        <v>0</v>
      </c>
      <c r="Z324" t="s">
        <v>1109</v>
      </c>
      <c r="AA324" t="str">
        <f t="shared" si="39"/>
        <v>High</v>
      </c>
      <c r="AB324" t="s">
        <v>1103</v>
      </c>
      <c r="AC324" t="str">
        <f t="shared" si="40"/>
        <v>No</v>
      </c>
      <c r="AD324">
        <v>3</v>
      </c>
      <c r="AE324">
        <v>79422</v>
      </c>
      <c r="AF324">
        <v>31768.800000000003</v>
      </c>
      <c r="AG324">
        <f t="shared" si="41"/>
        <v>47114.799999999996</v>
      </c>
    </row>
    <row r="325" spans="1:33" x14ac:dyDescent="0.25">
      <c r="A325">
        <v>1324</v>
      </c>
      <c r="B325" s="1">
        <v>44295</v>
      </c>
      <c r="C325" s="1">
        <v>44298</v>
      </c>
      <c r="D325" s="1">
        <v>44300</v>
      </c>
      <c r="E325" t="s">
        <v>1064</v>
      </c>
      <c r="F325" t="s">
        <v>353</v>
      </c>
      <c r="G325" t="s">
        <v>1071</v>
      </c>
      <c r="H325" t="str">
        <f t="shared" si="35"/>
        <v>Clothing</v>
      </c>
      <c r="I325">
        <v>2</v>
      </c>
      <c r="J325" t="str">
        <f>VLOOKUP(K325,$AJ$2:$AK$7,2,FALSE)</f>
        <v>S005</v>
      </c>
      <c r="K325" t="s">
        <v>1101</v>
      </c>
      <c r="L325">
        <v>3.4</v>
      </c>
      <c r="M325" t="str">
        <f>IFERROR(VLOOKUP(TRIM(N325),$AP$2:$AQ$12,2,FALSE),"W001")</f>
        <v>W007</v>
      </c>
      <c r="N325" t="s">
        <v>1062</v>
      </c>
      <c r="O325" t="s">
        <v>1057</v>
      </c>
      <c r="P325" t="str">
        <f>VLOOKUP(O325,$AL$2:$AM$12,2,FALSE)</f>
        <v>South</v>
      </c>
      <c r="Q325" t="s">
        <v>1080</v>
      </c>
      <c r="R325">
        <v>290</v>
      </c>
      <c r="S325" t="s">
        <v>1066</v>
      </c>
      <c r="T325">
        <f t="shared" si="36"/>
        <v>3</v>
      </c>
      <c r="U325">
        <v>43.5</v>
      </c>
      <c r="V325">
        <f t="shared" si="37"/>
        <v>4</v>
      </c>
      <c r="W325" t="s">
        <v>1086</v>
      </c>
      <c r="X325" t="s">
        <v>1089</v>
      </c>
      <c r="Y325">
        <f t="shared" si="38"/>
        <v>43.5</v>
      </c>
      <c r="Z325" t="s">
        <v>1108</v>
      </c>
      <c r="AA325" t="str">
        <f t="shared" si="39"/>
        <v>Low</v>
      </c>
      <c r="AB325" t="s">
        <v>1103</v>
      </c>
      <c r="AC325" t="str">
        <f t="shared" si="40"/>
        <v>Yes</v>
      </c>
      <c r="AD325">
        <v>5</v>
      </c>
      <c r="AE325">
        <v>2988</v>
      </c>
      <c r="AF325">
        <v>1195.2</v>
      </c>
      <c r="AG325">
        <f t="shared" si="41"/>
        <v>1749.3</v>
      </c>
    </row>
    <row r="326" spans="1:33" x14ac:dyDescent="0.25">
      <c r="A326">
        <v>1325</v>
      </c>
      <c r="B326" s="1">
        <v>44518</v>
      </c>
      <c r="C326" s="1">
        <v>44521</v>
      </c>
      <c r="D326" s="1">
        <v>44528</v>
      </c>
      <c r="E326" t="s">
        <v>1065</v>
      </c>
      <c r="F326" t="s">
        <v>354</v>
      </c>
      <c r="G326" t="s">
        <v>1072</v>
      </c>
      <c r="H326" t="str">
        <f t="shared" si="35"/>
        <v>Electronics</v>
      </c>
      <c r="I326">
        <v>1</v>
      </c>
      <c r="J326" t="str">
        <f>VLOOKUP(K326,$AJ$2:$AK$7,2,FALSE)</f>
        <v>S003</v>
      </c>
      <c r="K326" t="s">
        <v>1099</v>
      </c>
      <c r="L326">
        <v>4.3</v>
      </c>
      <c r="M326" t="str">
        <f>IFERROR(VLOOKUP(TRIM(N326),$AP$2:$AQ$12,2,FALSE),"W001")</f>
        <v>W001</v>
      </c>
      <c r="N326" t="s">
        <v>1047</v>
      </c>
      <c r="O326" t="s">
        <v>1051</v>
      </c>
      <c r="P326" t="str">
        <f>VLOOKUP(O326,$AL$2:$AM$12,2,FALSE)</f>
        <v>West</v>
      </c>
      <c r="Q326" t="s">
        <v>1084</v>
      </c>
      <c r="R326">
        <v>499</v>
      </c>
      <c r="S326" t="s">
        <v>1066</v>
      </c>
      <c r="T326">
        <f t="shared" si="36"/>
        <v>2</v>
      </c>
      <c r="U326">
        <v>149.69999999999999</v>
      </c>
      <c r="V326">
        <f t="shared" si="37"/>
        <v>6</v>
      </c>
      <c r="W326" t="s">
        <v>1086</v>
      </c>
      <c r="X326" t="s">
        <v>1090</v>
      </c>
      <c r="Y326">
        <f t="shared" si="38"/>
        <v>149.69999999999999</v>
      </c>
      <c r="Z326" t="s">
        <v>1108</v>
      </c>
      <c r="AA326" t="str">
        <f t="shared" si="39"/>
        <v>Low</v>
      </c>
      <c r="AB326" t="s">
        <v>1103</v>
      </c>
      <c r="AC326" t="str">
        <f t="shared" si="40"/>
        <v>Yes</v>
      </c>
      <c r="AD326">
        <v>4</v>
      </c>
      <c r="AE326">
        <v>26348</v>
      </c>
      <c r="AF326">
        <v>10539.2</v>
      </c>
      <c r="AG326">
        <f t="shared" si="41"/>
        <v>15659.099999999999</v>
      </c>
    </row>
    <row r="327" spans="1:33" x14ac:dyDescent="0.25">
      <c r="A327">
        <v>1326</v>
      </c>
      <c r="B327" s="1">
        <v>44889</v>
      </c>
      <c r="C327" s="1">
        <v>44890</v>
      </c>
      <c r="D327" s="1">
        <v>44896</v>
      </c>
      <c r="E327" t="s">
        <v>1065</v>
      </c>
      <c r="F327" t="s">
        <v>355</v>
      </c>
      <c r="G327" t="s">
        <v>1070</v>
      </c>
      <c r="H327" t="str">
        <f t="shared" si="35"/>
        <v>Furniture</v>
      </c>
      <c r="I327">
        <v>7</v>
      </c>
      <c r="J327" t="str">
        <f>VLOOKUP(K327,$AJ$2:$AK$7,2,FALSE)</f>
        <v>S002</v>
      </c>
      <c r="K327" t="s">
        <v>1098</v>
      </c>
      <c r="L327">
        <v>3.7</v>
      </c>
      <c r="M327" t="str">
        <f>IFERROR(VLOOKUP(TRIM(N327),$AP$2:$AQ$12,2,FALSE),"W001")</f>
        <v>W002</v>
      </c>
      <c r="N327" t="s">
        <v>1049</v>
      </c>
      <c r="O327" t="s">
        <v>1060</v>
      </c>
      <c r="P327" t="str">
        <f>VLOOKUP(O327,$AL$2:$AM$12,2,FALSE)</f>
        <v>North</v>
      </c>
      <c r="Q327" t="s">
        <v>1084</v>
      </c>
      <c r="R327">
        <v>1833</v>
      </c>
      <c r="S327" t="s">
        <v>1078</v>
      </c>
      <c r="T327">
        <f t="shared" si="36"/>
        <v>6</v>
      </c>
      <c r="U327">
        <v>549.9</v>
      </c>
      <c r="V327">
        <f t="shared" si="37"/>
        <v>6</v>
      </c>
      <c r="W327" t="s">
        <v>1088</v>
      </c>
      <c r="X327" t="s">
        <v>1091</v>
      </c>
      <c r="Y327">
        <f t="shared" si="38"/>
        <v>0</v>
      </c>
      <c r="Z327" t="s">
        <v>1109</v>
      </c>
      <c r="AA327" t="str">
        <f t="shared" si="39"/>
        <v>High</v>
      </c>
      <c r="AB327" t="s">
        <v>1104</v>
      </c>
      <c r="AC327" t="str">
        <f t="shared" si="40"/>
        <v>No</v>
      </c>
      <c r="AD327">
        <v>2</v>
      </c>
      <c r="AE327">
        <v>33243</v>
      </c>
      <c r="AF327">
        <v>13297.2</v>
      </c>
      <c r="AG327">
        <f t="shared" si="41"/>
        <v>19395.899999999998</v>
      </c>
    </row>
    <row r="328" spans="1:33" x14ac:dyDescent="0.25">
      <c r="A328">
        <v>1327</v>
      </c>
      <c r="B328" s="1">
        <v>45414</v>
      </c>
      <c r="C328" s="1">
        <v>45416</v>
      </c>
      <c r="D328" s="1">
        <v>45418</v>
      </c>
      <c r="E328" t="s">
        <v>1064</v>
      </c>
      <c r="F328" t="s">
        <v>356</v>
      </c>
      <c r="G328" t="s">
        <v>1071</v>
      </c>
      <c r="H328" t="str">
        <f t="shared" si="35"/>
        <v>Clothing</v>
      </c>
      <c r="I328">
        <v>2</v>
      </c>
      <c r="J328" t="str">
        <f>VLOOKUP(K328,$AJ$2:$AK$7,2,FALSE)</f>
        <v>S002</v>
      </c>
      <c r="K328" t="s">
        <v>1098</v>
      </c>
      <c r="L328">
        <v>3.7</v>
      </c>
      <c r="M328" t="str">
        <f>IFERROR(VLOOKUP(TRIM(N328),$AP$2:$AQ$12,2,FALSE),"W001")</f>
        <v>W010</v>
      </c>
      <c r="N328" t="s">
        <v>1063</v>
      </c>
      <c r="O328" t="s">
        <v>1057</v>
      </c>
      <c r="P328" t="str">
        <f>VLOOKUP(O328,$AL$2:$AM$12,2,FALSE)</f>
        <v>South</v>
      </c>
      <c r="Q328" t="s">
        <v>1085</v>
      </c>
      <c r="R328">
        <v>1646</v>
      </c>
      <c r="S328" t="s">
        <v>1078</v>
      </c>
      <c r="T328">
        <f t="shared" si="36"/>
        <v>11</v>
      </c>
      <c r="U328">
        <v>164.6</v>
      </c>
      <c r="V328">
        <f t="shared" si="37"/>
        <v>3</v>
      </c>
      <c r="W328" t="s">
        <v>1088</v>
      </c>
      <c r="X328" t="s">
        <v>1089</v>
      </c>
      <c r="Y328">
        <f t="shared" si="38"/>
        <v>0</v>
      </c>
      <c r="Z328" t="s">
        <v>1108</v>
      </c>
      <c r="AA328" t="str">
        <f t="shared" si="39"/>
        <v>Low</v>
      </c>
      <c r="AB328" t="s">
        <v>1103</v>
      </c>
      <c r="AC328" t="str">
        <f t="shared" si="40"/>
        <v>Yes</v>
      </c>
      <c r="AD328">
        <v>4</v>
      </c>
      <c r="AE328">
        <v>3332</v>
      </c>
      <c r="AF328">
        <v>1332.8000000000002</v>
      </c>
      <c r="AG328">
        <f t="shared" si="41"/>
        <v>1834.6</v>
      </c>
    </row>
    <row r="329" spans="1:33" x14ac:dyDescent="0.25">
      <c r="A329">
        <v>1328</v>
      </c>
      <c r="B329" s="1">
        <v>45094</v>
      </c>
      <c r="C329" s="1">
        <v>45095</v>
      </c>
      <c r="D329" s="1">
        <v>45102</v>
      </c>
      <c r="E329" t="s">
        <v>1064</v>
      </c>
      <c r="F329" t="s">
        <v>357</v>
      </c>
      <c r="G329" t="s">
        <v>1072</v>
      </c>
      <c r="H329" t="str">
        <f t="shared" si="35"/>
        <v>Electronics</v>
      </c>
      <c r="I329">
        <v>10</v>
      </c>
      <c r="J329" t="str">
        <f>VLOOKUP(K329,$AJ$2:$AK$7,2,FALSE)</f>
        <v>S004</v>
      </c>
      <c r="K329" t="s">
        <v>1100</v>
      </c>
      <c r="L329">
        <v>3.7</v>
      </c>
      <c r="M329" t="str">
        <f>IFERROR(VLOOKUP(TRIM(N329),$AP$2:$AQ$12,2,FALSE),"W001")</f>
        <v>W003</v>
      </c>
      <c r="N329" t="s">
        <v>1051</v>
      </c>
      <c r="O329" t="s">
        <v>1057</v>
      </c>
      <c r="P329" t="str">
        <f>VLOOKUP(O329,$AL$2:$AM$12,2,FALSE)</f>
        <v>South</v>
      </c>
      <c r="Q329" t="s">
        <v>1080</v>
      </c>
      <c r="R329">
        <v>646</v>
      </c>
      <c r="S329" t="s">
        <v>1066</v>
      </c>
      <c r="T329">
        <f t="shared" si="36"/>
        <v>4</v>
      </c>
      <c r="U329">
        <v>96.9</v>
      </c>
      <c r="V329">
        <f t="shared" si="37"/>
        <v>4</v>
      </c>
      <c r="W329" t="s">
        <v>1088</v>
      </c>
      <c r="X329" t="s">
        <v>1091</v>
      </c>
      <c r="Y329">
        <f t="shared" si="38"/>
        <v>0</v>
      </c>
      <c r="Z329" t="s">
        <v>1108</v>
      </c>
      <c r="AA329" t="str">
        <f t="shared" si="39"/>
        <v>Low</v>
      </c>
      <c r="AB329" t="s">
        <v>1103</v>
      </c>
      <c r="AC329" t="str">
        <f t="shared" si="40"/>
        <v>Yes</v>
      </c>
      <c r="AD329">
        <v>4</v>
      </c>
      <c r="AE329">
        <v>282500</v>
      </c>
      <c r="AF329">
        <v>113000</v>
      </c>
      <c r="AG329">
        <f t="shared" si="41"/>
        <v>169403.1</v>
      </c>
    </row>
    <row r="330" spans="1:33" x14ac:dyDescent="0.25">
      <c r="A330">
        <v>1329</v>
      </c>
      <c r="B330" s="1">
        <v>45865</v>
      </c>
      <c r="C330" s="1">
        <v>45868</v>
      </c>
      <c r="D330" s="1">
        <v>45873</v>
      </c>
      <c r="E330" t="s">
        <v>1064</v>
      </c>
      <c r="F330" t="s">
        <v>358</v>
      </c>
      <c r="G330" t="s">
        <v>1071</v>
      </c>
      <c r="H330" t="str">
        <f t="shared" si="35"/>
        <v>Clothing</v>
      </c>
      <c r="I330">
        <v>2</v>
      </c>
      <c r="J330" t="str">
        <f>VLOOKUP(K330,$AJ$2:$AK$7,2,FALSE)</f>
        <v>S002</v>
      </c>
      <c r="K330" t="s">
        <v>1098</v>
      </c>
      <c r="L330">
        <v>4.0999999999999996</v>
      </c>
      <c r="M330" t="str">
        <f>IFERROR(VLOOKUP(TRIM(N330),$AP$2:$AQ$12,2,FALSE),"W001")</f>
        <v>W010</v>
      </c>
      <c r="N330" t="s">
        <v>1063</v>
      </c>
      <c r="O330" t="s">
        <v>1062</v>
      </c>
      <c r="P330" t="str">
        <f>VLOOKUP(O330,$AL$2:$AM$12,2,FALSE)</f>
        <v>North</v>
      </c>
      <c r="Q330" t="s">
        <v>1084</v>
      </c>
      <c r="R330">
        <v>1489</v>
      </c>
      <c r="S330" t="s">
        <v>1078</v>
      </c>
      <c r="T330">
        <f t="shared" si="36"/>
        <v>5</v>
      </c>
      <c r="U330">
        <v>446.7</v>
      </c>
      <c r="V330">
        <f t="shared" si="37"/>
        <v>6</v>
      </c>
      <c r="W330" t="s">
        <v>1087</v>
      </c>
      <c r="X330" t="s">
        <v>1091</v>
      </c>
      <c r="Y330">
        <f t="shared" si="38"/>
        <v>0</v>
      </c>
      <c r="Z330" t="s">
        <v>1108</v>
      </c>
      <c r="AA330" t="str">
        <f t="shared" si="39"/>
        <v>Low</v>
      </c>
      <c r="AB330" t="s">
        <v>1103</v>
      </c>
      <c r="AC330" t="str">
        <f t="shared" si="40"/>
        <v>Yes</v>
      </c>
      <c r="AD330">
        <v>4</v>
      </c>
      <c r="AE330">
        <v>3484</v>
      </c>
      <c r="AF330">
        <v>1393.6000000000001</v>
      </c>
      <c r="AG330">
        <f t="shared" si="41"/>
        <v>1643.6999999999996</v>
      </c>
    </row>
    <row r="331" spans="1:33" x14ac:dyDescent="0.25">
      <c r="A331">
        <v>1330</v>
      </c>
      <c r="B331" s="1">
        <v>44270</v>
      </c>
      <c r="C331" s="1">
        <v>44273</v>
      </c>
      <c r="D331" s="1">
        <v>44279</v>
      </c>
      <c r="E331" t="s">
        <v>1066</v>
      </c>
      <c r="F331" t="s">
        <v>359</v>
      </c>
      <c r="G331" t="s">
        <v>1071</v>
      </c>
      <c r="H331" t="str">
        <f t="shared" si="35"/>
        <v>Clothing</v>
      </c>
      <c r="I331">
        <v>9</v>
      </c>
      <c r="J331" t="str">
        <f>VLOOKUP(K331,$AJ$2:$AK$7,2,FALSE)</f>
        <v>S004</v>
      </c>
      <c r="K331" t="s">
        <v>1100</v>
      </c>
      <c r="L331">
        <v>4.9000000000000004</v>
      </c>
      <c r="M331" t="str">
        <f>IFERROR(VLOOKUP(TRIM(N331),$AP$2:$AQ$12,2,FALSE),"W001")</f>
        <v>W009</v>
      </c>
      <c r="N331" t="s">
        <v>1060</v>
      </c>
      <c r="O331" t="s">
        <v>1047</v>
      </c>
      <c r="P331" t="str">
        <f>VLOOKUP(O331,$AL$2:$AM$12,2,FALSE)</f>
        <v>West</v>
      </c>
      <c r="Q331" t="s">
        <v>1085</v>
      </c>
      <c r="R331">
        <v>1565</v>
      </c>
      <c r="S331" t="s">
        <v>1078</v>
      </c>
      <c r="T331">
        <f t="shared" si="36"/>
        <v>11</v>
      </c>
      <c r="U331">
        <v>156.5</v>
      </c>
      <c r="V331">
        <f t="shared" si="37"/>
        <v>3</v>
      </c>
      <c r="W331" t="s">
        <v>1088</v>
      </c>
      <c r="X331" t="s">
        <v>1091</v>
      </c>
      <c r="Y331">
        <f t="shared" si="38"/>
        <v>0</v>
      </c>
      <c r="Z331" t="s">
        <v>1108</v>
      </c>
      <c r="AA331" t="str">
        <f t="shared" si="39"/>
        <v>Low</v>
      </c>
      <c r="AB331" t="s">
        <v>1103</v>
      </c>
      <c r="AC331" t="str">
        <f t="shared" si="40"/>
        <v>Yes</v>
      </c>
      <c r="AD331">
        <v>5</v>
      </c>
      <c r="AE331">
        <v>21555</v>
      </c>
      <c r="AF331">
        <v>8622</v>
      </c>
      <c r="AG331">
        <f t="shared" si="41"/>
        <v>12776.5</v>
      </c>
    </row>
    <row r="332" spans="1:33" x14ac:dyDescent="0.25">
      <c r="A332">
        <v>1331</v>
      </c>
      <c r="B332" s="1">
        <v>45781</v>
      </c>
      <c r="C332" s="1">
        <v>45784</v>
      </c>
      <c r="D332" s="1">
        <v>45791</v>
      </c>
      <c r="E332" t="s">
        <v>1066</v>
      </c>
      <c r="F332" t="s">
        <v>360</v>
      </c>
      <c r="G332" t="s">
        <v>1071</v>
      </c>
      <c r="H332" t="str">
        <f t="shared" si="35"/>
        <v>Clothing</v>
      </c>
      <c r="I332">
        <v>2</v>
      </c>
      <c r="J332" t="str">
        <f>VLOOKUP(K332,$AJ$2:$AK$7,2,FALSE)</f>
        <v>S006</v>
      </c>
      <c r="K332" t="s">
        <v>1102</v>
      </c>
      <c r="L332">
        <v>4.2</v>
      </c>
      <c r="M332" t="str">
        <f>IFERROR(VLOOKUP(TRIM(N332),$AP$2:$AQ$12,2,FALSE),"W001")</f>
        <v>W009</v>
      </c>
      <c r="N332" t="s">
        <v>1060</v>
      </c>
      <c r="O332" t="s">
        <v>1062</v>
      </c>
      <c r="P332" t="str">
        <f>VLOOKUP(O332,$AL$2:$AM$12,2,FALSE)</f>
        <v>North</v>
      </c>
      <c r="Q332" t="s">
        <v>1084</v>
      </c>
      <c r="R332">
        <v>1742</v>
      </c>
      <c r="S332" t="s">
        <v>1078</v>
      </c>
      <c r="T332">
        <f t="shared" si="36"/>
        <v>6</v>
      </c>
      <c r="U332">
        <v>522.6</v>
      </c>
      <c r="V332">
        <f t="shared" si="37"/>
        <v>6</v>
      </c>
      <c r="W332" t="s">
        <v>1086</v>
      </c>
      <c r="X332" t="s">
        <v>1091</v>
      </c>
      <c r="Y332">
        <f t="shared" si="38"/>
        <v>522.6</v>
      </c>
      <c r="Z332" t="s">
        <v>1109</v>
      </c>
      <c r="AA332" t="str">
        <f t="shared" si="39"/>
        <v>High</v>
      </c>
      <c r="AB332" t="s">
        <v>1104</v>
      </c>
      <c r="AC332" t="str">
        <f t="shared" si="40"/>
        <v>No</v>
      </c>
      <c r="AD332">
        <v>2</v>
      </c>
      <c r="AE332">
        <v>3198</v>
      </c>
      <c r="AF332">
        <v>1279.2</v>
      </c>
      <c r="AG332">
        <f t="shared" si="41"/>
        <v>1396.1999999999998</v>
      </c>
    </row>
    <row r="333" spans="1:33" x14ac:dyDescent="0.25">
      <c r="A333">
        <v>1332</v>
      </c>
      <c r="B333" s="1">
        <v>44445</v>
      </c>
      <c r="C333" s="1">
        <v>44447</v>
      </c>
      <c r="D333" s="1">
        <v>44451</v>
      </c>
      <c r="E333" t="s">
        <v>1064</v>
      </c>
      <c r="F333" t="s">
        <v>361</v>
      </c>
      <c r="G333" t="s">
        <v>1069</v>
      </c>
      <c r="H333" t="str">
        <f t="shared" si="35"/>
        <v>Furniture</v>
      </c>
      <c r="I333">
        <v>3</v>
      </c>
      <c r="J333" t="str">
        <f>VLOOKUP(K333,$AJ$2:$AK$7,2,FALSE)</f>
        <v>S003</v>
      </c>
      <c r="K333" t="s">
        <v>1099</v>
      </c>
      <c r="L333">
        <v>4.3</v>
      </c>
      <c r="M333" t="str">
        <f>IFERROR(VLOOKUP(TRIM(N333),$AP$2:$AQ$12,2,FALSE),"W001")</f>
        <v>W002</v>
      </c>
      <c r="N333" t="s">
        <v>1049</v>
      </c>
      <c r="O333" t="s">
        <v>1055</v>
      </c>
      <c r="P333" t="str">
        <f>VLOOKUP(O333,$AL$2:$AM$12,2,FALSE)</f>
        <v>South</v>
      </c>
      <c r="Q333" t="s">
        <v>1080</v>
      </c>
      <c r="R333">
        <v>518</v>
      </c>
      <c r="S333" t="s">
        <v>1066</v>
      </c>
      <c r="T333">
        <f t="shared" si="36"/>
        <v>4</v>
      </c>
      <c r="U333">
        <v>77.7</v>
      </c>
      <c r="V333">
        <f t="shared" si="37"/>
        <v>4</v>
      </c>
      <c r="W333" t="s">
        <v>1086</v>
      </c>
      <c r="X333" t="s">
        <v>1091</v>
      </c>
      <c r="Y333">
        <f t="shared" si="38"/>
        <v>77.7</v>
      </c>
      <c r="Z333" t="s">
        <v>1108</v>
      </c>
      <c r="AA333" t="str">
        <f t="shared" si="39"/>
        <v>Low</v>
      </c>
      <c r="AB333" t="s">
        <v>1103</v>
      </c>
      <c r="AC333" t="str">
        <f t="shared" si="40"/>
        <v>Yes</v>
      </c>
      <c r="AD333">
        <v>5</v>
      </c>
      <c r="AE333">
        <v>42969</v>
      </c>
      <c r="AF333">
        <v>17187.600000000002</v>
      </c>
      <c r="AG333">
        <f t="shared" si="41"/>
        <v>25703.699999999997</v>
      </c>
    </row>
    <row r="334" spans="1:33" x14ac:dyDescent="0.25">
      <c r="A334">
        <v>1333</v>
      </c>
      <c r="B334" s="1">
        <v>45813</v>
      </c>
      <c r="C334" s="1">
        <v>45816</v>
      </c>
      <c r="D334" s="1">
        <v>45819</v>
      </c>
      <c r="E334" t="s">
        <v>1066</v>
      </c>
      <c r="F334" t="s">
        <v>362</v>
      </c>
      <c r="G334" t="s">
        <v>1071</v>
      </c>
      <c r="H334" t="str">
        <f t="shared" si="35"/>
        <v>Clothing</v>
      </c>
      <c r="I334">
        <v>6</v>
      </c>
      <c r="J334" t="str">
        <f>VLOOKUP(K334,$AJ$2:$AK$7,2,FALSE)</f>
        <v>S003</v>
      </c>
      <c r="K334" t="s">
        <v>1099</v>
      </c>
      <c r="L334">
        <v>3.5</v>
      </c>
      <c r="M334" t="str">
        <f>IFERROR(VLOOKUP(TRIM(N334),$AP$2:$AQ$12,2,FALSE),"W001")</f>
        <v>W002</v>
      </c>
      <c r="N334" t="s">
        <v>1049</v>
      </c>
      <c r="O334" t="s">
        <v>1062</v>
      </c>
      <c r="P334" t="str">
        <f>VLOOKUP(O334,$AL$2:$AM$12,2,FALSE)</f>
        <v>North</v>
      </c>
      <c r="Q334" t="s">
        <v>1083</v>
      </c>
      <c r="R334">
        <v>1487</v>
      </c>
      <c r="S334" t="s">
        <v>1078</v>
      </c>
      <c r="T334">
        <f t="shared" si="36"/>
        <v>3</v>
      </c>
      <c r="U334">
        <v>743.5</v>
      </c>
      <c r="V334">
        <f t="shared" si="37"/>
        <v>10</v>
      </c>
      <c r="W334" t="s">
        <v>1087</v>
      </c>
      <c r="X334" t="s">
        <v>1089</v>
      </c>
      <c r="Y334">
        <f t="shared" si="38"/>
        <v>0</v>
      </c>
      <c r="Z334" t="s">
        <v>1108</v>
      </c>
      <c r="AA334" t="str">
        <f t="shared" si="39"/>
        <v>Medium</v>
      </c>
      <c r="AB334" t="s">
        <v>1103</v>
      </c>
      <c r="AC334" t="str">
        <f t="shared" si="40"/>
        <v>Yes</v>
      </c>
      <c r="AD334">
        <v>4</v>
      </c>
      <c r="AE334">
        <v>16338</v>
      </c>
      <c r="AF334">
        <v>6535.2000000000007</v>
      </c>
      <c r="AG334">
        <f t="shared" si="41"/>
        <v>9059.2999999999993</v>
      </c>
    </row>
    <row r="335" spans="1:33" x14ac:dyDescent="0.25">
      <c r="A335">
        <v>1334</v>
      </c>
      <c r="B335" s="1">
        <v>44892</v>
      </c>
      <c r="C335" s="1">
        <v>44894</v>
      </c>
      <c r="D335" s="1">
        <v>44901</v>
      </c>
      <c r="E335" t="s">
        <v>1065</v>
      </c>
      <c r="F335" t="s">
        <v>363</v>
      </c>
      <c r="G335" t="s">
        <v>1071</v>
      </c>
      <c r="H335" t="str">
        <f t="shared" si="35"/>
        <v>Clothing</v>
      </c>
      <c r="I335">
        <v>5</v>
      </c>
      <c r="J335" t="str">
        <f>VLOOKUP(K335,$AJ$2:$AK$7,2,FALSE)</f>
        <v>S004</v>
      </c>
      <c r="K335" t="s">
        <v>1100</v>
      </c>
      <c r="L335">
        <v>4.3</v>
      </c>
      <c r="M335" t="str">
        <f>IFERROR(VLOOKUP(TRIM(N335),$AP$2:$AQ$12,2,FALSE),"W001")</f>
        <v>W010</v>
      </c>
      <c r="N335" t="s">
        <v>1063</v>
      </c>
      <c r="O335" t="s">
        <v>1060</v>
      </c>
      <c r="P335" t="str">
        <f>VLOOKUP(O335,$AL$2:$AM$12,2,FALSE)</f>
        <v>North</v>
      </c>
      <c r="Q335" t="s">
        <v>1083</v>
      </c>
      <c r="R335">
        <v>1388</v>
      </c>
      <c r="S335" t="s">
        <v>1078</v>
      </c>
      <c r="T335">
        <f t="shared" si="36"/>
        <v>3</v>
      </c>
      <c r="U335">
        <v>694</v>
      </c>
      <c r="V335">
        <f t="shared" si="37"/>
        <v>10</v>
      </c>
      <c r="W335" t="s">
        <v>1087</v>
      </c>
      <c r="X335" t="s">
        <v>1091</v>
      </c>
      <c r="Y335">
        <f t="shared" si="38"/>
        <v>0</v>
      </c>
      <c r="Z335" t="s">
        <v>1108</v>
      </c>
      <c r="AA335" t="str">
        <f t="shared" si="39"/>
        <v>Medium</v>
      </c>
      <c r="AB335" t="s">
        <v>1104</v>
      </c>
      <c r="AC335" t="str">
        <f t="shared" si="40"/>
        <v>Yes</v>
      </c>
      <c r="AD335">
        <v>1</v>
      </c>
      <c r="AE335">
        <v>11180</v>
      </c>
      <c r="AF335">
        <v>4472</v>
      </c>
      <c r="AG335">
        <f t="shared" si="41"/>
        <v>6014</v>
      </c>
    </row>
    <row r="336" spans="1:33" x14ac:dyDescent="0.25">
      <c r="A336">
        <v>1335</v>
      </c>
      <c r="B336" s="1">
        <v>46223</v>
      </c>
      <c r="C336" s="1">
        <v>46225</v>
      </c>
      <c r="D336" s="1">
        <v>46230</v>
      </c>
      <c r="E336" t="s">
        <v>1064</v>
      </c>
      <c r="F336" t="s">
        <v>364</v>
      </c>
      <c r="G336" t="s">
        <v>1072</v>
      </c>
      <c r="H336" t="str">
        <f t="shared" si="35"/>
        <v>Electronics</v>
      </c>
      <c r="I336">
        <v>7</v>
      </c>
      <c r="J336" t="str">
        <f>VLOOKUP(K336,$AJ$2:$AK$7,2,FALSE)</f>
        <v>S004</v>
      </c>
      <c r="K336" t="s">
        <v>1100</v>
      </c>
      <c r="L336">
        <v>3.1</v>
      </c>
      <c r="M336" t="str">
        <f>IFERROR(VLOOKUP(TRIM(N336),$AP$2:$AQ$12,2,FALSE),"W001")</f>
        <v>W004</v>
      </c>
      <c r="N336" t="s">
        <v>1053</v>
      </c>
      <c r="O336" t="s">
        <v>1062</v>
      </c>
      <c r="P336" t="str">
        <f>VLOOKUP(O336,$AL$2:$AM$12,2,FALSE)</f>
        <v>North</v>
      </c>
      <c r="Q336" t="s">
        <v>1082</v>
      </c>
      <c r="R336">
        <v>909</v>
      </c>
      <c r="S336" t="s">
        <v>1078</v>
      </c>
      <c r="T336">
        <f t="shared" si="36"/>
        <v>3</v>
      </c>
      <c r="U336">
        <v>363.6</v>
      </c>
      <c r="V336">
        <f t="shared" si="37"/>
        <v>8</v>
      </c>
      <c r="W336" t="s">
        <v>1086</v>
      </c>
      <c r="X336" t="s">
        <v>1090</v>
      </c>
      <c r="Y336">
        <f t="shared" si="38"/>
        <v>363.6</v>
      </c>
      <c r="Z336" t="s">
        <v>1109</v>
      </c>
      <c r="AA336" t="str">
        <f t="shared" si="39"/>
        <v>High</v>
      </c>
      <c r="AB336" t="s">
        <v>1103</v>
      </c>
      <c r="AC336" t="str">
        <f t="shared" si="40"/>
        <v>No</v>
      </c>
      <c r="AD336">
        <v>3</v>
      </c>
      <c r="AE336">
        <v>74200</v>
      </c>
      <c r="AF336">
        <v>29680</v>
      </c>
      <c r="AG336">
        <f t="shared" si="41"/>
        <v>44156.4</v>
      </c>
    </row>
    <row r="337" spans="1:33" x14ac:dyDescent="0.25">
      <c r="A337">
        <v>1336</v>
      </c>
      <c r="B337" s="1">
        <v>44376</v>
      </c>
      <c r="C337" s="1">
        <v>44379</v>
      </c>
      <c r="D337" s="1">
        <v>44382</v>
      </c>
      <c r="E337" t="s">
        <v>1064</v>
      </c>
      <c r="F337" t="s">
        <v>365</v>
      </c>
      <c r="G337" t="s">
        <v>1070</v>
      </c>
      <c r="H337" t="str">
        <f t="shared" si="35"/>
        <v>Furniture</v>
      </c>
      <c r="I337">
        <v>5</v>
      </c>
      <c r="J337" t="str">
        <f>VLOOKUP(K337,$AJ$2:$AK$7,2,FALSE)</f>
        <v>S002</v>
      </c>
      <c r="K337" t="s">
        <v>1098</v>
      </c>
      <c r="L337">
        <v>4.2</v>
      </c>
      <c r="M337" t="str">
        <f>IFERROR(VLOOKUP(TRIM(N337),$AP$2:$AQ$12,2,FALSE),"W001")</f>
        <v>W009</v>
      </c>
      <c r="N337" t="s">
        <v>1060</v>
      </c>
      <c r="O337" t="s">
        <v>1051</v>
      </c>
      <c r="P337" t="str">
        <f>VLOOKUP(O337,$AL$2:$AM$12,2,FALSE)</f>
        <v>West</v>
      </c>
      <c r="Q337" t="s">
        <v>1085</v>
      </c>
      <c r="R337">
        <v>1973</v>
      </c>
      <c r="S337" t="s">
        <v>1078</v>
      </c>
      <c r="T337">
        <f t="shared" si="36"/>
        <v>13</v>
      </c>
      <c r="U337">
        <v>197.3</v>
      </c>
      <c r="V337">
        <f t="shared" si="37"/>
        <v>3</v>
      </c>
      <c r="W337" t="s">
        <v>1087</v>
      </c>
      <c r="X337" t="s">
        <v>1091</v>
      </c>
      <c r="Y337">
        <f t="shared" si="38"/>
        <v>0</v>
      </c>
      <c r="Z337" t="s">
        <v>1109</v>
      </c>
      <c r="AA337" t="str">
        <f t="shared" si="39"/>
        <v>High</v>
      </c>
      <c r="AB337" t="s">
        <v>1103</v>
      </c>
      <c r="AC337" t="str">
        <f t="shared" si="40"/>
        <v>No</v>
      </c>
      <c r="AD337">
        <v>3</v>
      </c>
      <c r="AE337">
        <v>31820</v>
      </c>
      <c r="AF337">
        <v>12728</v>
      </c>
      <c r="AG337">
        <f t="shared" si="41"/>
        <v>18894.7</v>
      </c>
    </row>
    <row r="338" spans="1:33" x14ac:dyDescent="0.25">
      <c r="A338">
        <v>1337</v>
      </c>
      <c r="B338" s="1">
        <v>46370</v>
      </c>
      <c r="C338" s="1">
        <v>46371</v>
      </c>
      <c r="D338" s="1">
        <v>46377</v>
      </c>
      <c r="E338" t="s">
        <v>1065</v>
      </c>
      <c r="F338" t="s">
        <v>366</v>
      </c>
      <c r="G338" t="s">
        <v>1067</v>
      </c>
      <c r="H338" t="str">
        <f t="shared" si="35"/>
        <v>Clothing</v>
      </c>
      <c r="I338">
        <v>1</v>
      </c>
      <c r="J338" t="str">
        <f>VLOOKUP(K338,$AJ$2:$AK$7,2,FALSE)</f>
        <v>S002</v>
      </c>
      <c r="K338" t="s">
        <v>1098</v>
      </c>
      <c r="L338">
        <v>5</v>
      </c>
      <c r="M338" t="str">
        <f>IFERROR(VLOOKUP(TRIM(N338),$AP$2:$AQ$12,2,FALSE),"W001")</f>
        <v>W007</v>
      </c>
      <c r="N338" t="s">
        <v>1062</v>
      </c>
      <c r="O338" t="s">
        <v>1057</v>
      </c>
      <c r="P338" t="str">
        <f>VLOOKUP(O338,$AL$2:$AM$12,2,FALSE)</f>
        <v>South</v>
      </c>
      <c r="Q338" t="s">
        <v>1083</v>
      </c>
      <c r="R338">
        <v>1522</v>
      </c>
      <c r="S338" t="s">
        <v>1078</v>
      </c>
      <c r="T338">
        <f t="shared" si="36"/>
        <v>3</v>
      </c>
      <c r="U338">
        <v>761</v>
      </c>
      <c r="V338">
        <f t="shared" si="37"/>
        <v>10</v>
      </c>
      <c r="W338" t="s">
        <v>1088</v>
      </c>
      <c r="X338" t="s">
        <v>1091</v>
      </c>
      <c r="Y338">
        <f t="shared" si="38"/>
        <v>0</v>
      </c>
      <c r="Z338" t="s">
        <v>1108</v>
      </c>
      <c r="AA338" t="str">
        <f t="shared" si="39"/>
        <v>Medium</v>
      </c>
      <c r="AB338" t="s">
        <v>1104</v>
      </c>
      <c r="AC338" t="str">
        <f t="shared" si="40"/>
        <v>Yes</v>
      </c>
      <c r="AD338">
        <v>2</v>
      </c>
      <c r="AE338">
        <v>965</v>
      </c>
      <c r="AF338">
        <v>386</v>
      </c>
      <c r="AG338">
        <f t="shared" si="41"/>
        <v>-182</v>
      </c>
    </row>
    <row r="339" spans="1:33" x14ac:dyDescent="0.25">
      <c r="A339">
        <v>1338</v>
      </c>
      <c r="B339" s="1">
        <v>44519</v>
      </c>
      <c r="C339" s="1">
        <v>44522</v>
      </c>
      <c r="D339" s="1">
        <v>44527</v>
      </c>
      <c r="E339" t="s">
        <v>1065</v>
      </c>
      <c r="F339" t="s">
        <v>367</v>
      </c>
      <c r="G339" t="s">
        <v>1067</v>
      </c>
      <c r="H339" t="str">
        <f t="shared" si="35"/>
        <v>Clothing</v>
      </c>
      <c r="I339">
        <v>1</v>
      </c>
      <c r="J339" t="str">
        <f>VLOOKUP(K339,$AJ$2:$AK$7,2,FALSE)</f>
        <v>S006</v>
      </c>
      <c r="K339" t="s">
        <v>1102</v>
      </c>
      <c r="L339">
        <v>3.1</v>
      </c>
      <c r="M339" t="str">
        <f>IFERROR(VLOOKUP(TRIM(N339),$AP$2:$AQ$12,2,FALSE),"W001")</f>
        <v>W009</v>
      </c>
      <c r="N339" t="s">
        <v>1060</v>
      </c>
      <c r="O339" t="s">
        <v>1063</v>
      </c>
      <c r="P339" t="str">
        <f>VLOOKUP(O339,$AL$2:$AM$12,2,FALSE)</f>
        <v>South</v>
      </c>
      <c r="Q339" t="s">
        <v>1081</v>
      </c>
      <c r="R339">
        <v>966</v>
      </c>
      <c r="S339" t="s">
        <v>1078</v>
      </c>
      <c r="T339">
        <f t="shared" si="36"/>
        <v>5</v>
      </c>
      <c r="U339">
        <v>193.2</v>
      </c>
      <c r="V339">
        <f t="shared" si="37"/>
        <v>5</v>
      </c>
      <c r="W339" t="s">
        <v>1086</v>
      </c>
      <c r="X339" t="s">
        <v>1090</v>
      </c>
      <c r="Y339">
        <f t="shared" si="38"/>
        <v>193.2</v>
      </c>
      <c r="Z339" t="s">
        <v>1108</v>
      </c>
      <c r="AA339" t="str">
        <f t="shared" si="39"/>
        <v>Low</v>
      </c>
      <c r="AB339" t="s">
        <v>1103</v>
      </c>
      <c r="AC339" t="str">
        <f t="shared" si="40"/>
        <v>Yes</v>
      </c>
      <c r="AD339">
        <v>5</v>
      </c>
      <c r="AE339">
        <v>885</v>
      </c>
      <c r="AF339">
        <v>354</v>
      </c>
      <c r="AG339">
        <f t="shared" si="41"/>
        <v>337.8</v>
      </c>
    </row>
    <row r="340" spans="1:33" x14ac:dyDescent="0.25">
      <c r="A340">
        <v>1339</v>
      </c>
      <c r="B340" s="1">
        <v>45239</v>
      </c>
      <c r="C340" s="1">
        <v>45240</v>
      </c>
      <c r="D340" s="1">
        <v>45245</v>
      </c>
      <c r="E340" t="s">
        <v>1065</v>
      </c>
      <c r="F340" t="s">
        <v>368</v>
      </c>
      <c r="G340" t="s">
        <v>1072</v>
      </c>
      <c r="H340" t="str">
        <f t="shared" si="35"/>
        <v>Electronics</v>
      </c>
      <c r="I340">
        <v>1</v>
      </c>
      <c r="J340" t="str">
        <f>VLOOKUP(K340,$AJ$2:$AK$7,2,FALSE)</f>
        <v>S001</v>
      </c>
      <c r="K340" t="s">
        <v>1097</v>
      </c>
      <c r="L340">
        <v>3.2</v>
      </c>
      <c r="M340" t="str">
        <f>IFERROR(VLOOKUP(TRIM(N340),$AP$2:$AQ$12,2,FALSE),"W001")</f>
        <v>W001</v>
      </c>
      <c r="N340" t="s">
        <v>1047</v>
      </c>
      <c r="O340" t="s">
        <v>1061</v>
      </c>
      <c r="P340" t="str">
        <f>VLOOKUP(O340,$AL$2:$AM$12,2,FALSE)</f>
        <v>West</v>
      </c>
      <c r="Q340" t="s">
        <v>1082</v>
      </c>
      <c r="R340">
        <v>1821</v>
      </c>
      <c r="S340" t="s">
        <v>1078</v>
      </c>
      <c r="T340">
        <f t="shared" si="36"/>
        <v>5</v>
      </c>
      <c r="U340">
        <v>728.4</v>
      </c>
      <c r="V340">
        <f t="shared" si="37"/>
        <v>8</v>
      </c>
      <c r="W340" t="s">
        <v>1086</v>
      </c>
      <c r="X340" t="s">
        <v>1090</v>
      </c>
      <c r="Y340">
        <f t="shared" si="38"/>
        <v>728.4</v>
      </c>
      <c r="Z340" t="s">
        <v>1109</v>
      </c>
      <c r="AA340" t="str">
        <f t="shared" si="39"/>
        <v>High</v>
      </c>
      <c r="AB340" t="s">
        <v>1103</v>
      </c>
      <c r="AC340" t="str">
        <f t="shared" si="40"/>
        <v>No</v>
      </c>
      <c r="AD340">
        <v>3</v>
      </c>
      <c r="AE340">
        <v>19554</v>
      </c>
      <c r="AF340">
        <v>7821.6</v>
      </c>
      <c r="AG340">
        <f t="shared" si="41"/>
        <v>11004</v>
      </c>
    </row>
    <row r="341" spans="1:33" x14ac:dyDescent="0.25">
      <c r="A341">
        <v>1340</v>
      </c>
      <c r="B341" s="1">
        <v>46072</v>
      </c>
      <c r="C341" s="1">
        <v>46074</v>
      </c>
      <c r="D341" s="1">
        <v>46076</v>
      </c>
      <c r="E341" t="s">
        <v>1064</v>
      </c>
      <c r="F341" t="s">
        <v>369</v>
      </c>
      <c r="G341" t="s">
        <v>1067</v>
      </c>
      <c r="H341" t="str">
        <f t="shared" si="35"/>
        <v>Clothing</v>
      </c>
      <c r="I341">
        <v>1</v>
      </c>
      <c r="J341" t="str">
        <f>VLOOKUP(K341,$AJ$2:$AK$7,2,FALSE)</f>
        <v>S004</v>
      </c>
      <c r="K341" t="s">
        <v>1100</v>
      </c>
      <c r="L341">
        <v>3.4</v>
      </c>
      <c r="M341" t="str">
        <f>IFERROR(VLOOKUP(TRIM(N341),$AP$2:$AQ$12,2,FALSE),"W001")</f>
        <v>W010</v>
      </c>
      <c r="N341" t="s">
        <v>1063</v>
      </c>
      <c r="O341" t="s">
        <v>1051</v>
      </c>
      <c r="P341" t="str">
        <f>VLOOKUP(O341,$AL$2:$AM$12,2,FALSE)</f>
        <v>West</v>
      </c>
      <c r="Q341" t="s">
        <v>1085</v>
      </c>
      <c r="R341">
        <v>1415</v>
      </c>
      <c r="S341" t="s">
        <v>1078</v>
      </c>
      <c r="T341">
        <f t="shared" si="36"/>
        <v>10</v>
      </c>
      <c r="U341">
        <v>141.5</v>
      </c>
      <c r="V341">
        <f t="shared" si="37"/>
        <v>3</v>
      </c>
      <c r="W341" t="s">
        <v>1088</v>
      </c>
      <c r="X341" t="s">
        <v>1091</v>
      </c>
      <c r="Y341">
        <f t="shared" si="38"/>
        <v>0</v>
      </c>
      <c r="Z341" t="s">
        <v>1108</v>
      </c>
      <c r="AA341" t="str">
        <f t="shared" si="39"/>
        <v>Low</v>
      </c>
      <c r="AB341" t="s">
        <v>1103</v>
      </c>
      <c r="AC341" t="str">
        <f t="shared" si="40"/>
        <v>Yes</v>
      </c>
      <c r="AD341">
        <v>4</v>
      </c>
      <c r="AE341">
        <v>1282</v>
      </c>
      <c r="AF341">
        <v>512.80000000000007</v>
      </c>
      <c r="AG341">
        <f t="shared" si="41"/>
        <v>627.69999999999993</v>
      </c>
    </row>
    <row r="342" spans="1:33" x14ac:dyDescent="0.25">
      <c r="A342">
        <v>1341</v>
      </c>
      <c r="B342" s="1">
        <v>45279</v>
      </c>
      <c r="C342" s="1">
        <v>45280</v>
      </c>
      <c r="D342" s="1">
        <v>45286</v>
      </c>
      <c r="E342" t="s">
        <v>1065</v>
      </c>
      <c r="F342" t="s">
        <v>370</v>
      </c>
      <c r="G342" t="s">
        <v>1070</v>
      </c>
      <c r="H342" t="str">
        <f t="shared" si="35"/>
        <v>Furniture</v>
      </c>
      <c r="I342">
        <v>8</v>
      </c>
      <c r="J342" t="str">
        <f>VLOOKUP(K342,$AJ$2:$AK$7,2,FALSE)</f>
        <v>S005</v>
      </c>
      <c r="K342" t="s">
        <v>1101</v>
      </c>
      <c r="L342">
        <v>4.0999999999999996</v>
      </c>
      <c r="M342" t="str">
        <f>IFERROR(VLOOKUP(TRIM(N342),$AP$2:$AQ$12,2,FALSE),"W001")</f>
        <v>W008</v>
      </c>
      <c r="N342" t="s">
        <v>1061</v>
      </c>
      <c r="O342" t="s">
        <v>1055</v>
      </c>
      <c r="P342" t="str">
        <f>VLOOKUP(O342,$AL$2:$AM$12,2,FALSE)</f>
        <v>South</v>
      </c>
      <c r="Q342" t="s">
        <v>1080</v>
      </c>
      <c r="R342">
        <v>410</v>
      </c>
      <c r="S342" t="s">
        <v>1066</v>
      </c>
      <c r="T342">
        <f t="shared" si="36"/>
        <v>3</v>
      </c>
      <c r="U342">
        <v>61.5</v>
      </c>
      <c r="V342">
        <f t="shared" si="37"/>
        <v>4</v>
      </c>
      <c r="W342" t="s">
        <v>1087</v>
      </c>
      <c r="X342" t="s">
        <v>1091</v>
      </c>
      <c r="Y342">
        <f t="shared" si="38"/>
        <v>0</v>
      </c>
      <c r="Z342" t="s">
        <v>1108</v>
      </c>
      <c r="AA342" t="str">
        <f t="shared" si="39"/>
        <v>Low</v>
      </c>
      <c r="AB342" t="s">
        <v>1103</v>
      </c>
      <c r="AC342" t="str">
        <f t="shared" si="40"/>
        <v>Yes</v>
      </c>
      <c r="AD342">
        <v>5</v>
      </c>
      <c r="AE342">
        <v>60472</v>
      </c>
      <c r="AF342">
        <v>24188.800000000003</v>
      </c>
      <c r="AG342">
        <f t="shared" si="41"/>
        <v>36221.699999999997</v>
      </c>
    </row>
    <row r="343" spans="1:33" x14ac:dyDescent="0.25">
      <c r="A343">
        <v>1342</v>
      </c>
      <c r="B343" s="1">
        <v>45868</v>
      </c>
      <c r="C343" s="1">
        <v>45870</v>
      </c>
      <c r="D343" s="1">
        <v>45874</v>
      </c>
      <c r="E343" t="s">
        <v>1065</v>
      </c>
      <c r="F343" t="s">
        <v>371</v>
      </c>
      <c r="G343" t="s">
        <v>1068</v>
      </c>
      <c r="H343" t="str">
        <f t="shared" si="35"/>
        <v>Electronics</v>
      </c>
      <c r="I343">
        <v>9</v>
      </c>
      <c r="J343" t="str">
        <f>VLOOKUP(K343,$AJ$2:$AK$7,2,FALSE)</f>
        <v>S002</v>
      </c>
      <c r="K343" t="s">
        <v>1098</v>
      </c>
      <c r="L343">
        <v>4.5</v>
      </c>
      <c r="M343" t="str">
        <f>IFERROR(VLOOKUP(TRIM(N343),$AP$2:$AQ$12,2,FALSE),"W001")</f>
        <v>W002</v>
      </c>
      <c r="N343" t="s">
        <v>1049</v>
      </c>
      <c r="O343" t="s">
        <v>1051</v>
      </c>
      <c r="P343" t="str">
        <f>VLOOKUP(O343,$AL$2:$AM$12,2,FALSE)</f>
        <v>West</v>
      </c>
      <c r="Q343" t="s">
        <v>1080</v>
      </c>
      <c r="R343">
        <v>874</v>
      </c>
      <c r="S343" t="s">
        <v>1078</v>
      </c>
      <c r="T343">
        <f t="shared" si="36"/>
        <v>5</v>
      </c>
      <c r="U343">
        <v>131.1</v>
      </c>
      <c r="V343">
        <f t="shared" si="37"/>
        <v>4</v>
      </c>
      <c r="W343" t="s">
        <v>1087</v>
      </c>
      <c r="X343" t="s">
        <v>1091</v>
      </c>
      <c r="Y343">
        <f t="shared" si="38"/>
        <v>0</v>
      </c>
      <c r="Z343" t="s">
        <v>1108</v>
      </c>
      <c r="AA343" t="str">
        <f t="shared" si="39"/>
        <v>Low</v>
      </c>
      <c r="AB343" t="s">
        <v>1103</v>
      </c>
      <c r="AC343" t="str">
        <f t="shared" si="40"/>
        <v>Yes</v>
      </c>
      <c r="AD343">
        <v>5</v>
      </c>
      <c r="AE343">
        <v>360927</v>
      </c>
      <c r="AF343">
        <v>144370.80000000002</v>
      </c>
      <c r="AG343">
        <f t="shared" si="41"/>
        <v>216425.09999999998</v>
      </c>
    </row>
    <row r="344" spans="1:33" x14ac:dyDescent="0.25">
      <c r="A344">
        <v>1343</v>
      </c>
      <c r="B344" s="1">
        <v>45164</v>
      </c>
      <c r="C344" s="1">
        <v>45167</v>
      </c>
      <c r="D344" s="1">
        <v>45174</v>
      </c>
      <c r="E344" t="s">
        <v>1065</v>
      </c>
      <c r="F344" t="s">
        <v>372</v>
      </c>
      <c r="G344" t="s">
        <v>1068</v>
      </c>
      <c r="H344" t="str">
        <f t="shared" si="35"/>
        <v>Electronics</v>
      </c>
      <c r="I344">
        <v>1</v>
      </c>
      <c r="J344" t="str">
        <f>VLOOKUP(K344,$AJ$2:$AK$7,2,FALSE)</f>
        <v>S005</v>
      </c>
      <c r="K344" t="s">
        <v>1101</v>
      </c>
      <c r="L344">
        <v>4.4000000000000004</v>
      </c>
      <c r="M344" t="str">
        <f>IFERROR(VLOOKUP(TRIM(N344),$AP$2:$AQ$12,2,FALSE),"W001")</f>
        <v>W011</v>
      </c>
      <c r="N344" t="s">
        <v>1059</v>
      </c>
      <c r="O344" t="s">
        <v>1049</v>
      </c>
      <c r="P344" t="str">
        <f>VLOOKUP(O344,$AL$2:$AM$12,2,FALSE)</f>
        <v>North</v>
      </c>
      <c r="Q344" t="s">
        <v>1085</v>
      </c>
      <c r="R344">
        <v>1589</v>
      </c>
      <c r="S344" t="s">
        <v>1078</v>
      </c>
      <c r="T344">
        <f t="shared" si="36"/>
        <v>11</v>
      </c>
      <c r="U344">
        <v>158.9</v>
      </c>
      <c r="V344">
        <f t="shared" si="37"/>
        <v>3</v>
      </c>
      <c r="W344" t="s">
        <v>1088</v>
      </c>
      <c r="X344" t="s">
        <v>1091</v>
      </c>
      <c r="Y344">
        <f t="shared" si="38"/>
        <v>0</v>
      </c>
      <c r="Z344" t="s">
        <v>1108</v>
      </c>
      <c r="AA344" t="str">
        <f t="shared" si="39"/>
        <v>Low</v>
      </c>
      <c r="AB344" t="s">
        <v>1103</v>
      </c>
      <c r="AC344" t="str">
        <f t="shared" si="40"/>
        <v>Yes</v>
      </c>
      <c r="AD344">
        <v>4</v>
      </c>
      <c r="AE344">
        <v>52466</v>
      </c>
      <c r="AF344">
        <v>20986.400000000001</v>
      </c>
      <c r="AG344">
        <f t="shared" si="41"/>
        <v>31320.699999999997</v>
      </c>
    </row>
    <row r="345" spans="1:33" x14ac:dyDescent="0.25">
      <c r="A345">
        <v>1344</v>
      </c>
      <c r="B345" s="1">
        <v>44906</v>
      </c>
      <c r="C345" s="1">
        <v>44907</v>
      </c>
      <c r="D345" s="1">
        <v>44914</v>
      </c>
      <c r="E345" t="s">
        <v>1064</v>
      </c>
      <c r="F345" t="s">
        <v>373</v>
      </c>
      <c r="G345" t="s">
        <v>1067</v>
      </c>
      <c r="H345" t="str">
        <f t="shared" si="35"/>
        <v>Clothing</v>
      </c>
      <c r="I345">
        <v>10</v>
      </c>
      <c r="J345" t="str">
        <f>VLOOKUP(K345,$AJ$2:$AK$7,2,FALSE)</f>
        <v>S003</v>
      </c>
      <c r="K345" t="s">
        <v>1099</v>
      </c>
      <c r="L345">
        <v>3.1</v>
      </c>
      <c r="M345" t="str">
        <f>IFERROR(VLOOKUP(TRIM(N345),$AP$2:$AQ$12,2,FALSE),"W001")</f>
        <v>W008</v>
      </c>
      <c r="N345" t="s">
        <v>1061</v>
      </c>
      <c r="O345" t="s">
        <v>1051</v>
      </c>
      <c r="P345" t="str">
        <f>VLOOKUP(O345,$AL$2:$AM$12,2,FALSE)</f>
        <v>West</v>
      </c>
      <c r="Q345" t="s">
        <v>1083</v>
      </c>
      <c r="R345">
        <v>1303</v>
      </c>
      <c r="S345" t="s">
        <v>1078</v>
      </c>
      <c r="T345">
        <f t="shared" si="36"/>
        <v>3</v>
      </c>
      <c r="U345">
        <v>651.5</v>
      </c>
      <c r="V345">
        <f t="shared" si="37"/>
        <v>10</v>
      </c>
      <c r="W345" t="s">
        <v>1088</v>
      </c>
      <c r="X345" t="s">
        <v>1091</v>
      </c>
      <c r="Y345">
        <f t="shared" si="38"/>
        <v>0</v>
      </c>
      <c r="Z345" t="s">
        <v>1108</v>
      </c>
      <c r="AA345" t="str">
        <f t="shared" si="39"/>
        <v>Medium</v>
      </c>
      <c r="AB345" t="s">
        <v>1103</v>
      </c>
      <c r="AC345" t="str">
        <f t="shared" si="40"/>
        <v>Yes</v>
      </c>
      <c r="AD345">
        <v>4</v>
      </c>
      <c r="AE345">
        <v>13510</v>
      </c>
      <c r="AF345">
        <v>5404</v>
      </c>
      <c r="AG345">
        <f t="shared" si="41"/>
        <v>7454.5</v>
      </c>
    </row>
    <row r="346" spans="1:33" x14ac:dyDescent="0.25">
      <c r="A346">
        <v>1345</v>
      </c>
      <c r="B346" s="1">
        <v>45262</v>
      </c>
      <c r="C346" s="1">
        <v>45265</v>
      </c>
      <c r="D346" s="1">
        <v>45272</v>
      </c>
      <c r="E346" t="s">
        <v>1064</v>
      </c>
      <c r="F346" t="s">
        <v>374</v>
      </c>
      <c r="G346" t="s">
        <v>1072</v>
      </c>
      <c r="H346" t="str">
        <f t="shared" si="35"/>
        <v>Electronics</v>
      </c>
      <c r="I346">
        <v>5</v>
      </c>
      <c r="J346" t="str">
        <f>VLOOKUP(K346,$AJ$2:$AK$7,2,FALSE)</f>
        <v>S002</v>
      </c>
      <c r="K346" t="s">
        <v>1098</v>
      </c>
      <c r="L346">
        <v>4.5999999999999996</v>
      </c>
      <c r="M346" t="str">
        <f>IFERROR(VLOOKUP(TRIM(N346),$AP$2:$AQ$12,2,FALSE),"W001")</f>
        <v>W005</v>
      </c>
      <c r="N346" t="s">
        <v>1055</v>
      </c>
      <c r="O346" t="s">
        <v>1055</v>
      </c>
      <c r="P346" t="str">
        <f>VLOOKUP(O346,$AL$2:$AM$12,2,FALSE)</f>
        <v>South</v>
      </c>
      <c r="Q346" t="s">
        <v>1085</v>
      </c>
      <c r="R346">
        <v>19</v>
      </c>
      <c r="S346" t="s">
        <v>1079</v>
      </c>
      <c r="T346">
        <f t="shared" si="36"/>
        <v>3</v>
      </c>
      <c r="U346">
        <v>1.9</v>
      </c>
      <c r="V346">
        <f t="shared" si="37"/>
        <v>3</v>
      </c>
      <c r="W346" t="s">
        <v>1087</v>
      </c>
      <c r="X346" t="s">
        <v>1089</v>
      </c>
      <c r="Y346">
        <f t="shared" si="38"/>
        <v>0</v>
      </c>
      <c r="Z346" t="s">
        <v>1108</v>
      </c>
      <c r="AA346" t="str">
        <f t="shared" si="39"/>
        <v>Low</v>
      </c>
      <c r="AB346" t="s">
        <v>1103</v>
      </c>
      <c r="AC346" t="str">
        <f t="shared" si="40"/>
        <v>Yes</v>
      </c>
      <c r="AD346">
        <v>4</v>
      </c>
      <c r="AE346">
        <v>59930</v>
      </c>
      <c r="AF346">
        <v>23972</v>
      </c>
      <c r="AG346">
        <f t="shared" si="41"/>
        <v>35956.1</v>
      </c>
    </row>
    <row r="347" spans="1:33" x14ac:dyDescent="0.25">
      <c r="A347">
        <v>1346</v>
      </c>
      <c r="B347" s="1">
        <v>44713</v>
      </c>
      <c r="C347" s="1">
        <v>44714</v>
      </c>
      <c r="D347" s="1">
        <v>44718</v>
      </c>
      <c r="E347" t="s">
        <v>1066</v>
      </c>
      <c r="F347" t="s">
        <v>375</v>
      </c>
      <c r="G347" t="s">
        <v>1068</v>
      </c>
      <c r="H347" t="str">
        <f t="shared" si="35"/>
        <v>Electronics</v>
      </c>
      <c r="I347">
        <v>5</v>
      </c>
      <c r="J347" t="str">
        <f>VLOOKUP(K347,$AJ$2:$AK$7,2,FALSE)</f>
        <v>S005</v>
      </c>
      <c r="K347" t="s">
        <v>1101</v>
      </c>
      <c r="L347">
        <v>4.8</v>
      </c>
      <c r="M347" t="str">
        <f>IFERROR(VLOOKUP(TRIM(N347),$AP$2:$AQ$12,2,FALSE),"W001")</f>
        <v>W003</v>
      </c>
      <c r="N347" t="s">
        <v>1051</v>
      </c>
      <c r="O347" t="s">
        <v>1051</v>
      </c>
      <c r="P347" t="str">
        <f>VLOOKUP(O347,$AL$2:$AM$12,2,FALSE)</f>
        <v>West</v>
      </c>
      <c r="Q347" t="s">
        <v>1083</v>
      </c>
      <c r="R347">
        <v>37</v>
      </c>
      <c r="S347" t="s">
        <v>1079</v>
      </c>
      <c r="T347">
        <f t="shared" si="36"/>
        <v>1</v>
      </c>
      <c r="U347">
        <v>18.5</v>
      </c>
      <c r="V347">
        <f t="shared" si="37"/>
        <v>10</v>
      </c>
      <c r="W347" t="s">
        <v>1087</v>
      </c>
      <c r="X347" t="s">
        <v>1091</v>
      </c>
      <c r="Y347">
        <f t="shared" si="38"/>
        <v>0</v>
      </c>
      <c r="Z347" t="s">
        <v>1108</v>
      </c>
      <c r="AA347" t="str">
        <f t="shared" si="39"/>
        <v>Medium</v>
      </c>
      <c r="AB347" t="s">
        <v>1103</v>
      </c>
      <c r="AC347" t="str">
        <f t="shared" si="40"/>
        <v>Yes</v>
      </c>
      <c r="AD347">
        <v>5</v>
      </c>
      <c r="AE347">
        <v>339060</v>
      </c>
      <c r="AF347">
        <v>135624</v>
      </c>
      <c r="AG347">
        <f t="shared" si="41"/>
        <v>203417.5</v>
      </c>
    </row>
    <row r="348" spans="1:33" x14ac:dyDescent="0.25">
      <c r="A348">
        <v>1347</v>
      </c>
      <c r="B348" s="1">
        <v>45183</v>
      </c>
      <c r="C348" s="1">
        <v>45184</v>
      </c>
      <c r="D348" s="1">
        <v>45190</v>
      </c>
      <c r="E348" t="s">
        <v>1064</v>
      </c>
      <c r="F348" t="s">
        <v>376</v>
      </c>
      <c r="G348" t="s">
        <v>1068</v>
      </c>
      <c r="H348" t="str">
        <f t="shared" si="35"/>
        <v>Electronics</v>
      </c>
      <c r="I348">
        <v>4</v>
      </c>
      <c r="J348" t="str">
        <f>VLOOKUP(K348,$AJ$2:$AK$7,2,FALSE)</f>
        <v>S002</v>
      </c>
      <c r="K348" t="s">
        <v>1098</v>
      </c>
      <c r="L348">
        <v>3.9</v>
      </c>
      <c r="M348" t="str">
        <f>IFERROR(VLOOKUP(TRIM(N348),$AP$2:$AQ$12,2,FALSE),"W001")</f>
        <v>W011</v>
      </c>
      <c r="N348" t="s">
        <v>1059</v>
      </c>
      <c r="O348" t="s">
        <v>1049</v>
      </c>
      <c r="P348" t="str">
        <f>VLOOKUP(O348,$AL$2:$AM$12,2,FALSE)</f>
        <v>North</v>
      </c>
      <c r="Q348" t="s">
        <v>1084</v>
      </c>
      <c r="R348">
        <v>1122</v>
      </c>
      <c r="S348" t="s">
        <v>1078</v>
      </c>
      <c r="T348">
        <f t="shared" si="36"/>
        <v>4</v>
      </c>
      <c r="U348">
        <v>336.6</v>
      </c>
      <c r="V348">
        <f t="shared" si="37"/>
        <v>6</v>
      </c>
      <c r="W348" t="s">
        <v>1088</v>
      </c>
      <c r="X348" t="s">
        <v>1091</v>
      </c>
      <c r="Y348">
        <f t="shared" si="38"/>
        <v>0</v>
      </c>
      <c r="Z348" t="s">
        <v>1108</v>
      </c>
      <c r="AA348" t="str">
        <f t="shared" si="39"/>
        <v>Low</v>
      </c>
      <c r="AB348" t="s">
        <v>1103</v>
      </c>
      <c r="AC348" t="str">
        <f t="shared" si="40"/>
        <v>Yes</v>
      </c>
      <c r="AD348">
        <v>5</v>
      </c>
      <c r="AE348">
        <v>197764</v>
      </c>
      <c r="AF348">
        <v>79105.600000000006</v>
      </c>
      <c r="AG348">
        <f t="shared" si="41"/>
        <v>118321.79999999999</v>
      </c>
    </row>
    <row r="349" spans="1:33" x14ac:dyDescent="0.25">
      <c r="A349">
        <v>1348</v>
      </c>
      <c r="B349" s="1">
        <v>45969</v>
      </c>
      <c r="C349" s="1">
        <v>45971</v>
      </c>
      <c r="D349" s="1">
        <v>45973</v>
      </c>
      <c r="E349" t="s">
        <v>1066</v>
      </c>
      <c r="F349" t="s">
        <v>377</v>
      </c>
      <c r="G349" t="s">
        <v>1071</v>
      </c>
      <c r="H349" t="str">
        <f t="shared" si="35"/>
        <v>Clothing</v>
      </c>
      <c r="I349">
        <v>3</v>
      </c>
      <c r="J349" t="str">
        <f>VLOOKUP(K349,$AJ$2:$AK$7,2,FALSE)</f>
        <v>S004</v>
      </c>
      <c r="K349" t="s">
        <v>1100</v>
      </c>
      <c r="L349">
        <v>3.2</v>
      </c>
      <c r="M349" t="str">
        <f>IFERROR(VLOOKUP(TRIM(N349),$AP$2:$AQ$12,2,FALSE),"W001")</f>
        <v>W009</v>
      </c>
      <c r="N349" t="s">
        <v>1060</v>
      </c>
      <c r="O349" t="s">
        <v>1049</v>
      </c>
      <c r="P349" t="str">
        <f>VLOOKUP(O349,$AL$2:$AM$12,2,FALSE)</f>
        <v>North</v>
      </c>
      <c r="Q349" t="s">
        <v>1084</v>
      </c>
      <c r="R349">
        <v>410</v>
      </c>
      <c r="S349" t="s">
        <v>1066</v>
      </c>
      <c r="T349">
        <f t="shared" si="36"/>
        <v>2</v>
      </c>
      <c r="U349">
        <v>123</v>
      </c>
      <c r="V349">
        <f t="shared" si="37"/>
        <v>6</v>
      </c>
      <c r="W349" t="s">
        <v>1086</v>
      </c>
      <c r="X349" t="s">
        <v>1089</v>
      </c>
      <c r="Y349">
        <f t="shared" si="38"/>
        <v>123</v>
      </c>
      <c r="Z349" t="s">
        <v>1108</v>
      </c>
      <c r="AA349" t="str">
        <f t="shared" si="39"/>
        <v>Low</v>
      </c>
      <c r="AB349" t="s">
        <v>1103</v>
      </c>
      <c r="AC349" t="str">
        <f t="shared" si="40"/>
        <v>Yes</v>
      </c>
      <c r="AD349">
        <v>4</v>
      </c>
      <c r="AE349">
        <v>7983</v>
      </c>
      <c r="AF349">
        <v>3193.2000000000003</v>
      </c>
      <c r="AG349">
        <f t="shared" si="41"/>
        <v>4666.7999999999993</v>
      </c>
    </row>
    <row r="350" spans="1:33" x14ac:dyDescent="0.25">
      <c r="A350">
        <v>1349</v>
      </c>
      <c r="B350" s="1">
        <v>46003</v>
      </c>
      <c r="C350" s="1">
        <v>46004</v>
      </c>
      <c r="D350" s="1">
        <v>46006</v>
      </c>
      <c r="E350" t="s">
        <v>1064</v>
      </c>
      <c r="F350" t="s">
        <v>378</v>
      </c>
      <c r="G350" t="s">
        <v>1070</v>
      </c>
      <c r="H350" t="str">
        <f t="shared" si="35"/>
        <v>Furniture</v>
      </c>
      <c r="I350">
        <v>3</v>
      </c>
      <c r="J350" t="str">
        <f>VLOOKUP(K350,$AJ$2:$AK$7,2,FALSE)</f>
        <v>S005</v>
      </c>
      <c r="K350" t="s">
        <v>1101</v>
      </c>
      <c r="L350">
        <v>4.7</v>
      </c>
      <c r="M350" t="str">
        <f>IFERROR(VLOOKUP(TRIM(N350),$AP$2:$AQ$12,2,FALSE),"W001")</f>
        <v>W001</v>
      </c>
      <c r="N350" t="s">
        <v>1047</v>
      </c>
      <c r="O350" t="s">
        <v>1051</v>
      </c>
      <c r="P350" t="str">
        <f>VLOOKUP(O350,$AL$2:$AM$12,2,FALSE)</f>
        <v>West</v>
      </c>
      <c r="Q350" t="s">
        <v>1084</v>
      </c>
      <c r="R350">
        <v>1836</v>
      </c>
      <c r="S350" t="s">
        <v>1078</v>
      </c>
      <c r="T350">
        <f t="shared" si="36"/>
        <v>6</v>
      </c>
      <c r="U350">
        <v>550.79999999999995</v>
      </c>
      <c r="V350">
        <f t="shared" si="37"/>
        <v>6</v>
      </c>
      <c r="W350" t="s">
        <v>1086</v>
      </c>
      <c r="X350" t="s">
        <v>1091</v>
      </c>
      <c r="Y350">
        <f t="shared" si="38"/>
        <v>550.79999999999995</v>
      </c>
      <c r="Z350" t="s">
        <v>1109</v>
      </c>
      <c r="AA350" t="str">
        <f t="shared" si="39"/>
        <v>High</v>
      </c>
      <c r="AB350" t="s">
        <v>1103</v>
      </c>
      <c r="AC350" t="str">
        <f t="shared" si="40"/>
        <v>No</v>
      </c>
      <c r="AD350">
        <v>2</v>
      </c>
      <c r="AE350">
        <v>7491</v>
      </c>
      <c r="AF350">
        <v>2996.4</v>
      </c>
      <c r="AG350">
        <f t="shared" si="41"/>
        <v>3943.8</v>
      </c>
    </row>
    <row r="351" spans="1:33" x14ac:dyDescent="0.25">
      <c r="A351">
        <v>1350</v>
      </c>
      <c r="B351" s="1">
        <v>45405</v>
      </c>
      <c r="C351" s="1">
        <v>45407</v>
      </c>
      <c r="D351" s="1">
        <v>45411</v>
      </c>
      <c r="E351" t="s">
        <v>1065</v>
      </c>
      <c r="F351" t="s">
        <v>379</v>
      </c>
      <c r="G351" t="s">
        <v>1067</v>
      </c>
      <c r="H351" t="str">
        <f t="shared" si="35"/>
        <v>Clothing</v>
      </c>
      <c r="I351">
        <v>4</v>
      </c>
      <c r="J351" t="str">
        <f>VLOOKUP(K351,$AJ$2:$AK$7,2,FALSE)</f>
        <v>S004</v>
      </c>
      <c r="K351" t="s">
        <v>1100</v>
      </c>
      <c r="L351">
        <v>4</v>
      </c>
      <c r="M351" t="str">
        <f>IFERROR(VLOOKUP(TRIM(N351),$AP$2:$AQ$12,2,FALSE),"W001")</f>
        <v>W011</v>
      </c>
      <c r="N351" t="s">
        <v>1059</v>
      </c>
      <c r="O351" t="s">
        <v>1051</v>
      </c>
      <c r="P351" t="str">
        <f>VLOOKUP(O351,$AL$2:$AM$12,2,FALSE)</f>
        <v>West</v>
      </c>
      <c r="Q351" t="s">
        <v>1080</v>
      </c>
      <c r="R351">
        <v>1950</v>
      </c>
      <c r="S351" t="s">
        <v>1078</v>
      </c>
      <c r="T351">
        <f t="shared" si="36"/>
        <v>9</v>
      </c>
      <c r="U351">
        <v>292.5</v>
      </c>
      <c r="V351">
        <f t="shared" si="37"/>
        <v>4</v>
      </c>
      <c r="W351" t="s">
        <v>1086</v>
      </c>
      <c r="X351" t="s">
        <v>1089</v>
      </c>
      <c r="Y351">
        <f t="shared" si="38"/>
        <v>292.5</v>
      </c>
      <c r="Z351" t="s">
        <v>1109</v>
      </c>
      <c r="AA351" t="str">
        <f t="shared" si="39"/>
        <v>High</v>
      </c>
      <c r="AB351" t="s">
        <v>1104</v>
      </c>
      <c r="AC351" t="str">
        <f t="shared" si="40"/>
        <v>No</v>
      </c>
      <c r="AD351">
        <v>2</v>
      </c>
      <c r="AE351">
        <v>5012</v>
      </c>
      <c r="AF351">
        <v>2004.8000000000002</v>
      </c>
      <c r="AG351">
        <f t="shared" si="41"/>
        <v>2714.7</v>
      </c>
    </row>
    <row r="352" spans="1:33" x14ac:dyDescent="0.25">
      <c r="A352">
        <v>1351</v>
      </c>
      <c r="B352" s="1">
        <v>44393</v>
      </c>
      <c r="C352" s="1">
        <v>44395</v>
      </c>
      <c r="D352" s="1">
        <v>44401</v>
      </c>
      <c r="E352" t="s">
        <v>1065</v>
      </c>
      <c r="F352" t="s">
        <v>380</v>
      </c>
      <c r="G352" t="s">
        <v>1072</v>
      </c>
      <c r="H352" t="str">
        <f t="shared" si="35"/>
        <v>Electronics</v>
      </c>
      <c r="I352">
        <v>7</v>
      </c>
      <c r="J352" t="str">
        <f>VLOOKUP(K352,$AJ$2:$AK$7,2,FALSE)</f>
        <v>S006</v>
      </c>
      <c r="K352" t="s">
        <v>1102</v>
      </c>
      <c r="L352">
        <v>4.5</v>
      </c>
      <c r="M352" t="str">
        <f>IFERROR(VLOOKUP(TRIM(N352),$AP$2:$AQ$12,2,FALSE),"W001")</f>
        <v>W002</v>
      </c>
      <c r="N352" t="s">
        <v>1049</v>
      </c>
      <c r="O352" t="s">
        <v>1063</v>
      </c>
      <c r="P352" t="str">
        <f>VLOOKUP(O352,$AL$2:$AM$12,2,FALSE)</f>
        <v>South</v>
      </c>
      <c r="Q352" t="s">
        <v>1083</v>
      </c>
      <c r="R352">
        <v>568</v>
      </c>
      <c r="S352" t="s">
        <v>1066</v>
      </c>
      <c r="T352">
        <f t="shared" si="36"/>
        <v>2</v>
      </c>
      <c r="U352">
        <v>284</v>
      </c>
      <c r="V352">
        <f t="shared" si="37"/>
        <v>10</v>
      </c>
      <c r="W352" t="s">
        <v>1088</v>
      </c>
      <c r="X352" t="s">
        <v>1090</v>
      </c>
      <c r="Y352">
        <f t="shared" si="38"/>
        <v>0</v>
      </c>
      <c r="Z352" t="s">
        <v>1108</v>
      </c>
      <c r="AA352" t="str">
        <f t="shared" si="39"/>
        <v>Medium</v>
      </c>
      <c r="AB352" t="s">
        <v>1104</v>
      </c>
      <c r="AC352" t="str">
        <f t="shared" si="40"/>
        <v>Yes</v>
      </c>
      <c r="AD352">
        <v>1</v>
      </c>
      <c r="AE352">
        <v>127561</v>
      </c>
      <c r="AF352">
        <v>51024.4</v>
      </c>
      <c r="AG352">
        <f t="shared" si="41"/>
        <v>76252.600000000006</v>
      </c>
    </row>
    <row r="353" spans="1:33" x14ac:dyDescent="0.25">
      <c r="A353">
        <v>1352</v>
      </c>
      <c r="B353" s="1">
        <v>44943</v>
      </c>
      <c r="C353" s="1">
        <v>44946</v>
      </c>
      <c r="D353" s="1">
        <v>44951</v>
      </c>
      <c r="E353" t="s">
        <v>1064</v>
      </c>
      <c r="F353" t="s">
        <v>381</v>
      </c>
      <c r="G353" t="s">
        <v>1070</v>
      </c>
      <c r="H353" t="str">
        <f t="shared" si="35"/>
        <v>Furniture</v>
      </c>
      <c r="I353">
        <v>6</v>
      </c>
      <c r="J353" t="str">
        <f>VLOOKUP(K353,$AJ$2:$AK$7,2,FALSE)</f>
        <v>S004</v>
      </c>
      <c r="K353" t="s">
        <v>1100</v>
      </c>
      <c r="L353">
        <v>3.6</v>
      </c>
      <c r="M353" t="str">
        <f>IFERROR(VLOOKUP(TRIM(N353),$AP$2:$AQ$12,2,FALSE),"W001")</f>
        <v>W001</v>
      </c>
      <c r="N353" t="s">
        <v>1047</v>
      </c>
      <c r="O353" t="s">
        <v>1061</v>
      </c>
      <c r="P353" t="str">
        <f>VLOOKUP(O353,$AL$2:$AM$12,2,FALSE)</f>
        <v>West</v>
      </c>
      <c r="Q353" t="s">
        <v>1083</v>
      </c>
      <c r="R353">
        <v>1008</v>
      </c>
      <c r="S353" t="s">
        <v>1078</v>
      </c>
      <c r="T353">
        <f t="shared" si="36"/>
        <v>2</v>
      </c>
      <c r="U353">
        <v>504</v>
      </c>
      <c r="V353">
        <f t="shared" si="37"/>
        <v>10</v>
      </c>
      <c r="W353" t="s">
        <v>1087</v>
      </c>
      <c r="X353" t="s">
        <v>1090</v>
      </c>
      <c r="Y353">
        <f t="shared" si="38"/>
        <v>0</v>
      </c>
      <c r="Z353" t="s">
        <v>1108</v>
      </c>
      <c r="AA353" t="str">
        <f t="shared" si="39"/>
        <v>Medium</v>
      </c>
      <c r="AB353" t="s">
        <v>1104</v>
      </c>
      <c r="AC353" t="str">
        <f t="shared" si="40"/>
        <v>Yes</v>
      </c>
      <c r="AD353">
        <v>2</v>
      </c>
      <c r="AE353">
        <v>32778</v>
      </c>
      <c r="AF353">
        <v>13111.2</v>
      </c>
      <c r="AG353">
        <f t="shared" si="41"/>
        <v>19162.8</v>
      </c>
    </row>
    <row r="354" spans="1:33" x14ac:dyDescent="0.25">
      <c r="A354">
        <v>1353</v>
      </c>
      <c r="B354" s="1">
        <v>45999</v>
      </c>
      <c r="C354" s="1">
        <v>46000</v>
      </c>
      <c r="D354" s="1">
        <v>46003</v>
      </c>
      <c r="E354" t="s">
        <v>1064</v>
      </c>
      <c r="F354" t="s">
        <v>382</v>
      </c>
      <c r="G354" t="s">
        <v>1067</v>
      </c>
      <c r="H354" t="str">
        <f t="shared" si="35"/>
        <v>Clothing</v>
      </c>
      <c r="I354">
        <v>6</v>
      </c>
      <c r="J354" t="str">
        <f>VLOOKUP(K354,$AJ$2:$AK$7,2,FALSE)</f>
        <v>S006</v>
      </c>
      <c r="K354" t="s">
        <v>1102</v>
      </c>
      <c r="L354">
        <v>3.1</v>
      </c>
      <c r="M354" t="str">
        <f>IFERROR(VLOOKUP(TRIM(N354),$AP$2:$AQ$12,2,FALSE),"W001")</f>
        <v>W010</v>
      </c>
      <c r="N354" t="s">
        <v>1063</v>
      </c>
      <c r="O354" t="s">
        <v>1057</v>
      </c>
      <c r="P354" t="str">
        <f>VLOOKUP(O354,$AL$2:$AM$12,2,FALSE)</f>
        <v>South</v>
      </c>
      <c r="Q354" t="s">
        <v>1080</v>
      </c>
      <c r="R354">
        <v>601</v>
      </c>
      <c r="S354" t="s">
        <v>1066</v>
      </c>
      <c r="T354">
        <f t="shared" si="36"/>
        <v>4</v>
      </c>
      <c r="U354">
        <v>90.15</v>
      </c>
      <c r="V354">
        <f t="shared" si="37"/>
        <v>4</v>
      </c>
      <c r="W354" t="s">
        <v>1086</v>
      </c>
      <c r="X354" t="s">
        <v>1091</v>
      </c>
      <c r="Y354">
        <f t="shared" si="38"/>
        <v>90.15</v>
      </c>
      <c r="Z354" t="s">
        <v>1108</v>
      </c>
      <c r="AA354" t="str">
        <f t="shared" si="39"/>
        <v>Low</v>
      </c>
      <c r="AB354" t="s">
        <v>1103</v>
      </c>
      <c r="AC354" t="str">
        <f t="shared" si="40"/>
        <v>Yes</v>
      </c>
      <c r="AD354">
        <v>5</v>
      </c>
      <c r="AE354">
        <v>3864</v>
      </c>
      <c r="AF354">
        <v>1545.6000000000001</v>
      </c>
      <c r="AG354">
        <f t="shared" si="41"/>
        <v>2228.2499999999995</v>
      </c>
    </row>
    <row r="355" spans="1:33" x14ac:dyDescent="0.25">
      <c r="A355">
        <v>1354</v>
      </c>
      <c r="B355" s="1">
        <v>44638</v>
      </c>
      <c r="C355" s="1">
        <v>44639</v>
      </c>
      <c r="D355" s="1">
        <v>44645</v>
      </c>
      <c r="E355" t="s">
        <v>1064</v>
      </c>
      <c r="F355" t="s">
        <v>383</v>
      </c>
      <c r="G355" t="s">
        <v>1067</v>
      </c>
      <c r="H355" t="str">
        <f t="shared" si="35"/>
        <v>Clothing</v>
      </c>
      <c r="I355">
        <v>5</v>
      </c>
      <c r="J355" t="str">
        <f>VLOOKUP(K355,$AJ$2:$AK$7,2,FALSE)</f>
        <v>S003</v>
      </c>
      <c r="K355" t="s">
        <v>1099</v>
      </c>
      <c r="L355">
        <v>3.7</v>
      </c>
      <c r="M355" t="str">
        <f>IFERROR(VLOOKUP(TRIM(N355),$AP$2:$AQ$12,2,FALSE),"W001")</f>
        <v>W005</v>
      </c>
      <c r="N355" t="s">
        <v>1055</v>
      </c>
      <c r="O355" t="s">
        <v>1057</v>
      </c>
      <c r="P355" t="str">
        <f>VLOOKUP(O355,$AL$2:$AM$12,2,FALSE)</f>
        <v>South</v>
      </c>
      <c r="Q355" t="s">
        <v>1084</v>
      </c>
      <c r="R355">
        <v>527</v>
      </c>
      <c r="S355" t="s">
        <v>1066</v>
      </c>
      <c r="T355">
        <f t="shared" si="36"/>
        <v>3</v>
      </c>
      <c r="U355">
        <v>158.1</v>
      </c>
      <c r="V355">
        <f t="shared" si="37"/>
        <v>6</v>
      </c>
      <c r="W355" t="s">
        <v>1086</v>
      </c>
      <c r="X355" t="s">
        <v>1091</v>
      </c>
      <c r="Y355">
        <f t="shared" si="38"/>
        <v>158.1</v>
      </c>
      <c r="Z355" t="s">
        <v>1108</v>
      </c>
      <c r="AA355" t="str">
        <f t="shared" si="39"/>
        <v>Low</v>
      </c>
      <c r="AB355" t="s">
        <v>1103</v>
      </c>
      <c r="AC355" t="str">
        <f t="shared" si="40"/>
        <v>Yes</v>
      </c>
      <c r="AD355">
        <v>5</v>
      </c>
      <c r="AE355">
        <v>6300</v>
      </c>
      <c r="AF355">
        <v>2520</v>
      </c>
      <c r="AG355">
        <f t="shared" si="41"/>
        <v>3621.9</v>
      </c>
    </row>
    <row r="356" spans="1:33" x14ac:dyDescent="0.25">
      <c r="A356">
        <v>1355</v>
      </c>
      <c r="B356" s="1">
        <v>44628</v>
      </c>
      <c r="C356" s="1">
        <v>44629</v>
      </c>
      <c r="D356" s="1">
        <v>44632</v>
      </c>
      <c r="E356" t="s">
        <v>1064</v>
      </c>
      <c r="F356" t="s">
        <v>384</v>
      </c>
      <c r="G356" t="s">
        <v>1069</v>
      </c>
      <c r="H356" t="str">
        <f t="shared" si="35"/>
        <v>Furniture</v>
      </c>
      <c r="I356">
        <v>6</v>
      </c>
      <c r="J356" t="str">
        <f>VLOOKUP(K356,$AJ$2:$AK$7,2,FALSE)</f>
        <v>S003</v>
      </c>
      <c r="K356" t="s">
        <v>1099</v>
      </c>
      <c r="L356">
        <v>3.3</v>
      </c>
      <c r="M356" t="str">
        <f>IFERROR(VLOOKUP(TRIM(N356),$AP$2:$AQ$12,2,FALSE),"W001")</f>
        <v>W009</v>
      </c>
      <c r="N356" t="s">
        <v>1060</v>
      </c>
      <c r="O356" t="s">
        <v>1047</v>
      </c>
      <c r="P356" t="str">
        <f>VLOOKUP(O356,$AL$2:$AM$12,2,FALSE)</f>
        <v>West</v>
      </c>
      <c r="Q356" t="s">
        <v>1084</v>
      </c>
      <c r="R356">
        <v>1987</v>
      </c>
      <c r="S356" t="s">
        <v>1078</v>
      </c>
      <c r="T356">
        <f t="shared" si="36"/>
        <v>7</v>
      </c>
      <c r="U356">
        <v>596.1</v>
      </c>
      <c r="V356">
        <f t="shared" si="37"/>
        <v>6</v>
      </c>
      <c r="W356" t="s">
        <v>1086</v>
      </c>
      <c r="X356" t="s">
        <v>1091</v>
      </c>
      <c r="Y356">
        <f t="shared" si="38"/>
        <v>596.1</v>
      </c>
      <c r="Z356" t="s">
        <v>1109</v>
      </c>
      <c r="AA356" t="str">
        <f t="shared" si="39"/>
        <v>High</v>
      </c>
      <c r="AB356" t="s">
        <v>1104</v>
      </c>
      <c r="AC356" t="str">
        <f t="shared" si="40"/>
        <v>No</v>
      </c>
      <c r="AD356">
        <v>2</v>
      </c>
      <c r="AE356">
        <v>80424</v>
      </c>
      <c r="AF356">
        <v>32169.600000000002</v>
      </c>
      <c r="AG356">
        <f t="shared" si="41"/>
        <v>47658.299999999996</v>
      </c>
    </row>
    <row r="357" spans="1:33" x14ac:dyDescent="0.25">
      <c r="A357">
        <v>1356</v>
      </c>
      <c r="B357" s="1">
        <v>45034</v>
      </c>
      <c r="C357" s="1">
        <v>45035</v>
      </c>
      <c r="D357" s="1">
        <v>45040</v>
      </c>
      <c r="E357" t="s">
        <v>1065</v>
      </c>
      <c r="F357" t="s">
        <v>385</v>
      </c>
      <c r="G357" t="s">
        <v>1070</v>
      </c>
      <c r="H357" t="str">
        <f t="shared" si="35"/>
        <v>Furniture</v>
      </c>
      <c r="I357">
        <v>2</v>
      </c>
      <c r="J357" t="str">
        <f>VLOOKUP(K357,$AJ$2:$AK$7,2,FALSE)</f>
        <v>S001</v>
      </c>
      <c r="K357" t="s">
        <v>1097</v>
      </c>
      <c r="L357">
        <v>4.0999999999999996</v>
      </c>
      <c r="M357" t="str">
        <f>IFERROR(VLOOKUP(TRIM(N357),$AP$2:$AQ$12,2,FALSE),"W001")</f>
        <v>W008</v>
      </c>
      <c r="N357" t="s">
        <v>1061</v>
      </c>
      <c r="O357" t="s">
        <v>1059</v>
      </c>
      <c r="P357" t="str">
        <f>VLOOKUP(O357,$AL$2:$AM$12,2,FALSE)</f>
        <v>North</v>
      </c>
      <c r="Q357" t="s">
        <v>1084</v>
      </c>
      <c r="R357">
        <v>1284</v>
      </c>
      <c r="S357" t="s">
        <v>1078</v>
      </c>
      <c r="T357">
        <f t="shared" si="36"/>
        <v>5</v>
      </c>
      <c r="U357">
        <v>385.2</v>
      </c>
      <c r="V357">
        <f t="shared" si="37"/>
        <v>6</v>
      </c>
      <c r="W357" t="s">
        <v>1087</v>
      </c>
      <c r="X357" t="s">
        <v>1091</v>
      </c>
      <c r="Y357">
        <f t="shared" si="38"/>
        <v>0</v>
      </c>
      <c r="Z357" t="s">
        <v>1108</v>
      </c>
      <c r="AA357" t="str">
        <f t="shared" si="39"/>
        <v>Low</v>
      </c>
      <c r="AB357" t="s">
        <v>1103</v>
      </c>
      <c r="AC357" t="str">
        <f t="shared" si="40"/>
        <v>Yes</v>
      </c>
      <c r="AD357">
        <v>4</v>
      </c>
      <c r="AE357">
        <v>10360</v>
      </c>
      <c r="AF357">
        <v>4144</v>
      </c>
      <c r="AG357">
        <f t="shared" si="41"/>
        <v>5830.8</v>
      </c>
    </row>
    <row r="358" spans="1:33" x14ac:dyDescent="0.25">
      <c r="A358">
        <v>1357</v>
      </c>
      <c r="B358" s="1">
        <v>45362</v>
      </c>
      <c r="C358" s="1">
        <v>45365</v>
      </c>
      <c r="D358" s="1">
        <v>45372</v>
      </c>
      <c r="E358" t="s">
        <v>1064</v>
      </c>
      <c r="F358" t="s">
        <v>386</v>
      </c>
      <c r="G358" t="s">
        <v>1072</v>
      </c>
      <c r="H358" t="str">
        <f t="shared" si="35"/>
        <v>Electronics</v>
      </c>
      <c r="I358">
        <v>8</v>
      </c>
      <c r="J358" t="str">
        <f>VLOOKUP(K358,$AJ$2:$AK$7,2,FALSE)</f>
        <v>S003</v>
      </c>
      <c r="K358" t="s">
        <v>1099</v>
      </c>
      <c r="L358">
        <v>3.7</v>
      </c>
      <c r="M358" t="str">
        <f>IFERROR(VLOOKUP(TRIM(N358),$AP$2:$AQ$12,2,FALSE),"W001")</f>
        <v>W002</v>
      </c>
      <c r="N358" t="s">
        <v>1049</v>
      </c>
      <c r="O358" t="s">
        <v>1060</v>
      </c>
      <c r="P358" t="str">
        <f>VLOOKUP(O358,$AL$2:$AM$12,2,FALSE)</f>
        <v>North</v>
      </c>
      <c r="Q358" t="s">
        <v>1080</v>
      </c>
      <c r="R358">
        <v>316</v>
      </c>
      <c r="S358" t="s">
        <v>1066</v>
      </c>
      <c r="T358">
        <f t="shared" si="36"/>
        <v>3</v>
      </c>
      <c r="U358">
        <v>47.4</v>
      </c>
      <c r="V358">
        <f t="shared" si="37"/>
        <v>4</v>
      </c>
      <c r="W358" t="s">
        <v>1087</v>
      </c>
      <c r="X358" t="s">
        <v>1090</v>
      </c>
      <c r="Y358">
        <f t="shared" si="38"/>
        <v>0</v>
      </c>
      <c r="Z358" t="s">
        <v>1108</v>
      </c>
      <c r="AA358" t="str">
        <f t="shared" si="39"/>
        <v>Low</v>
      </c>
      <c r="AB358" t="s">
        <v>1103</v>
      </c>
      <c r="AC358" t="str">
        <f t="shared" si="40"/>
        <v>Yes</v>
      </c>
      <c r="AD358">
        <v>4</v>
      </c>
      <c r="AE358">
        <v>117128</v>
      </c>
      <c r="AF358">
        <v>46851.200000000004</v>
      </c>
      <c r="AG358">
        <f t="shared" si="41"/>
        <v>70229.399999999994</v>
      </c>
    </row>
    <row r="359" spans="1:33" x14ac:dyDescent="0.25">
      <c r="A359">
        <v>1358</v>
      </c>
      <c r="B359" s="1">
        <v>44464</v>
      </c>
      <c r="C359" s="1">
        <v>44466</v>
      </c>
      <c r="D359" s="1">
        <v>44471</v>
      </c>
      <c r="E359" t="s">
        <v>1065</v>
      </c>
      <c r="F359" t="s">
        <v>387</v>
      </c>
      <c r="G359" t="s">
        <v>1071</v>
      </c>
      <c r="H359" t="str">
        <f t="shared" si="35"/>
        <v>Clothing</v>
      </c>
      <c r="I359">
        <v>8</v>
      </c>
      <c r="J359" t="str">
        <f>VLOOKUP(K359,$AJ$2:$AK$7,2,FALSE)</f>
        <v>S003</v>
      </c>
      <c r="K359" t="s">
        <v>1099</v>
      </c>
      <c r="L359">
        <v>4.8</v>
      </c>
      <c r="M359" t="str">
        <f>IFERROR(VLOOKUP(TRIM(N359),$AP$2:$AQ$12,2,FALSE),"W001")</f>
        <v>W003</v>
      </c>
      <c r="N359" t="s">
        <v>1051</v>
      </c>
      <c r="O359" t="s">
        <v>1049</v>
      </c>
      <c r="P359" t="str">
        <f>VLOOKUP(O359,$AL$2:$AM$12,2,FALSE)</f>
        <v>North</v>
      </c>
      <c r="Q359" t="s">
        <v>1081</v>
      </c>
      <c r="R359">
        <v>523</v>
      </c>
      <c r="S359" t="s">
        <v>1066</v>
      </c>
      <c r="T359">
        <f t="shared" si="36"/>
        <v>3</v>
      </c>
      <c r="U359">
        <v>104.6</v>
      </c>
      <c r="V359">
        <f t="shared" si="37"/>
        <v>5</v>
      </c>
      <c r="W359" t="s">
        <v>1088</v>
      </c>
      <c r="X359" t="s">
        <v>1089</v>
      </c>
      <c r="Y359">
        <f t="shared" si="38"/>
        <v>0</v>
      </c>
      <c r="Z359" t="s">
        <v>1108</v>
      </c>
      <c r="AA359" t="str">
        <f t="shared" si="39"/>
        <v>Low</v>
      </c>
      <c r="AB359" t="s">
        <v>1103</v>
      </c>
      <c r="AC359" t="str">
        <f t="shared" si="40"/>
        <v>Yes</v>
      </c>
      <c r="AD359">
        <v>5</v>
      </c>
      <c r="AE359">
        <v>13312</v>
      </c>
      <c r="AF359">
        <v>5324.8</v>
      </c>
      <c r="AG359">
        <f t="shared" si="41"/>
        <v>7882.5999999999995</v>
      </c>
    </row>
    <row r="360" spans="1:33" x14ac:dyDescent="0.25">
      <c r="A360">
        <v>1359</v>
      </c>
      <c r="B360" s="1">
        <v>44498</v>
      </c>
      <c r="C360" s="1">
        <v>44499</v>
      </c>
      <c r="D360" s="1">
        <v>44506</v>
      </c>
      <c r="E360" t="s">
        <v>1065</v>
      </c>
      <c r="F360" t="s">
        <v>388</v>
      </c>
      <c r="G360" t="s">
        <v>1067</v>
      </c>
      <c r="H360" t="str">
        <f t="shared" si="35"/>
        <v>Clothing</v>
      </c>
      <c r="I360">
        <v>8</v>
      </c>
      <c r="J360" t="str">
        <f>VLOOKUP(K360,$AJ$2:$AK$7,2,FALSE)</f>
        <v>S001</v>
      </c>
      <c r="K360" t="s">
        <v>1097</v>
      </c>
      <c r="L360">
        <v>3.5</v>
      </c>
      <c r="M360" t="str">
        <f>IFERROR(VLOOKUP(TRIM(N360),$AP$2:$AQ$12,2,FALSE),"W001")</f>
        <v>W001</v>
      </c>
      <c r="N360" t="s">
        <v>1047</v>
      </c>
      <c r="O360" t="s">
        <v>1047</v>
      </c>
      <c r="P360" t="str">
        <f>VLOOKUP(O360,$AL$2:$AM$12,2,FALSE)</f>
        <v>West</v>
      </c>
      <c r="Q360" t="s">
        <v>1080</v>
      </c>
      <c r="R360">
        <v>34</v>
      </c>
      <c r="S360" t="s">
        <v>1079</v>
      </c>
      <c r="T360">
        <f t="shared" si="36"/>
        <v>2</v>
      </c>
      <c r="U360">
        <v>5.0999999999999996</v>
      </c>
      <c r="V360">
        <f t="shared" si="37"/>
        <v>4</v>
      </c>
      <c r="W360" t="s">
        <v>1086</v>
      </c>
      <c r="X360" t="s">
        <v>1091</v>
      </c>
      <c r="Y360">
        <f t="shared" si="38"/>
        <v>5.0999999999999996</v>
      </c>
      <c r="Z360" t="s">
        <v>1108</v>
      </c>
      <c r="AA360" t="str">
        <f t="shared" si="39"/>
        <v>Low</v>
      </c>
      <c r="AB360" t="s">
        <v>1103</v>
      </c>
      <c r="AC360" t="str">
        <f t="shared" si="40"/>
        <v>Yes</v>
      </c>
      <c r="AD360">
        <v>5</v>
      </c>
      <c r="AE360">
        <v>8488</v>
      </c>
      <c r="AF360">
        <v>3395.2000000000003</v>
      </c>
      <c r="AG360">
        <f t="shared" si="41"/>
        <v>5087.6999999999989</v>
      </c>
    </row>
    <row r="361" spans="1:33" x14ac:dyDescent="0.25">
      <c r="A361">
        <v>1360</v>
      </c>
      <c r="B361" s="1">
        <v>44765</v>
      </c>
      <c r="C361" s="1">
        <v>44767</v>
      </c>
      <c r="D361" s="1">
        <v>44771</v>
      </c>
      <c r="E361" t="s">
        <v>1066</v>
      </c>
      <c r="F361" t="s">
        <v>389</v>
      </c>
      <c r="G361" t="s">
        <v>1070</v>
      </c>
      <c r="H361" t="str">
        <f t="shared" si="35"/>
        <v>Furniture</v>
      </c>
      <c r="I361">
        <v>3</v>
      </c>
      <c r="J361" t="str">
        <f>VLOOKUP(K361,$AJ$2:$AK$7,2,FALSE)</f>
        <v>S006</v>
      </c>
      <c r="K361" t="s">
        <v>1102</v>
      </c>
      <c r="L361">
        <v>4.8</v>
      </c>
      <c r="M361" t="str">
        <f>IFERROR(VLOOKUP(TRIM(N361),$AP$2:$AQ$12,2,FALSE),"W001")</f>
        <v>W004</v>
      </c>
      <c r="N361" t="s">
        <v>1053</v>
      </c>
      <c r="O361" t="s">
        <v>1062</v>
      </c>
      <c r="P361" t="str">
        <f>VLOOKUP(O361,$AL$2:$AM$12,2,FALSE)</f>
        <v>North</v>
      </c>
      <c r="Q361" t="s">
        <v>1085</v>
      </c>
      <c r="R361">
        <v>228</v>
      </c>
      <c r="S361" t="s">
        <v>1066</v>
      </c>
      <c r="T361">
        <f t="shared" si="36"/>
        <v>4</v>
      </c>
      <c r="U361">
        <v>22.8</v>
      </c>
      <c r="V361">
        <f t="shared" si="37"/>
        <v>3</v>
      </c>
      <c r="W361" t="s">
        <v>1088</v>
      </c>
      <c r="X361" t="s">
        <v>1091</v>
      </c>
      <c r="Y361">
        <f t="shared" si="38"/>
        <v>0</v>
      </c>
      <c r="Z361" t="s">
        <v>1108</v>
      </c>
      <c r="AA361" t="str">
        <f t="shared" si="39"/>
        <v>Low</v>
      </c>
      <c r="AB361" t="s">
        <v>1103</v>
      </c>
      <c r="AC361" t="str">
        <f t="shared" si="40"/>
        <v>Yes</v>
      </c>
      <c r="AD361">
        <v>4</v>
      </c>
      <c r="AE361">
        <v>10620</v>
      </c>
      <c r="AF361">
        <v>4248</v>
      </c>
      <c r="AG361">
        <f t="shared" si="41"/>
        <v>6349.2</v>
      </c>
    </row>
    <row r="362" spans="1:33" x14ac:dyDescent="0.25">
      <c r="A362">
        <v>1361</v>
      </c>
      <c r="B362" s="1">
        <v>44811</v>
      </c>
      <c r="C362" s="1">
        <v>44813</v>
      </c>
      <c r="D362" s="1">
        <v>44819</v>
      </c>
      <c r="E362" t="s">
        <v>1064</v>
      </c>
      <c r="F362" t="s">
        <v>390</v>
      </c>
      <c r="G362" t="s">
        <v>1068</v>
      </c>
      <c r="H362" t="str">
        <f t="shared" si="35"/>
        <v>Electronics</v>
      </c>
      <c r="I362">
        <v>9</v>
      </c>
      <c r="J362" t="str">
        <f>VLOOKUP(K362,$AJ$2:$AK$7,2,FALSE)</f>
        <v>S002</v>
      </c>
      <c r="K362" t="s">
        <v>1098</v>
      </c>
      <c r="L362">
        <v>4</v>
      </c>
      <c r="M362" t="str">
        <f>IFERROR(VLOOKUP(TRIM(N362),$AP$2:$AQ$12,2,FALSE),"W001")</f>
        <v>W008</v>
      </c>
      <c r="N362" t="s">
        <v>1061</v>
      </c>
      <c r="O362" t="s">
        <v>1059</v>
      </c>
      <c r="P362" t="str">
        <f>VLOOKUP(O362,$AL$2:$AM$12,2,FALSE)</f>
        <v>North</v>
      </c>
      <c r="Q362" t="s">
        <v>1084</v>
      </c>
      <c r="R362">
        <v>1793</v>
      </c>
      <c r="S362" t="s">
        <v>1078</v>
      </c>
      <c r="T362">
        <f t="shared" si="36"/>
        <v>6</v>
      </c>
      <c r="U362">
        <v>537.9</v>
      </c>
      <c r="V362">
        <f t="shared" si="37"/>
        <v>6</v>
      </c>
      <c r="W362" t="s">
        <v>1088</v>
      </c>
      <c r="X362" t="s">
        <v>1091</v>
      </c>
      <c r="Y362">
        <f t="shared" si="38"/>
        <v>0</v>
      </c>
      <c r="Z362" t="s">
        <v>1109</v>
      </c>
      <c r="AA362" t="str">
        <f t="shared" si="39"/>
        <v>High</v>
      </c>
      <c r="AB362" t="s">
        <v>1103</v>
      </c>
      <c r="AC362" t="str">
        <f t="shared" si="40"/>
        <v>No</v>
      </c>
      <c r="AD362">
        <v>2</v>
      </c>
      <c r="AE362">
        <v>578421</v>
      </c>
      <c r="AF362">
        <v>231368.40000000002</v>
      </c>
      <c r="AG362">
        <f t="shared" si="41"/>
        <v>346514.69999999995</v>
      </c>
    </row>
    <row r="363" spans="1:33" x14ac:dyDescent="0.25">
      <c r="A363">
        <v>1362</v>
      </c>
      <c r="B363" s="1">
        <v>44354</v>
      </c>
      <c r="C363" s="1">
        <v>44356</v>
      </c>
      <c r="D363" s="1">
        <v>44361</v>
      </c>
      <c r="E363" t="s">
        <v>1066</v>
      </c>
      <c r="F363" t="s">
        <v>391</v>
      </c>
      <c r="G363" t="s">
        <v>1068</v>
      </c>
      <c r="H363" t="str">
        <f t="shared" si="35"/>
        <v>Electronics</v>
      </c>
      <c r="I363">
        <v>5</v>
      </c>
      <c r="J363" t="str">
        <f>VLOOKUP(K363,$AJ$2:$AK$7,2,FALSE)</f>
        <v>S004</v>
      </c>
      <c r="K363" t="s">
        <v>1100</v>
      </c>
      <c r="L363">
        <v>3.1</v>
      </c>
      <c r="M363" t="str">
        <f>IFERROR(VLOOKUP(TRIM(N363),$AP$2:$AQ$12,2,FALSE),"W001")</f>
        <v>W011</v>
      </c>
      <c r="N363" t="s">
        <v>1059</v>
      </c>
      <c r="O363" t="s">
        <v>1057</v>
      </c>
      <c r="P363" t="str">
        <f>VLOOKUP(O363,$AL$2:$AM$12,2,FALSE)</f>
        <v>South</v>
      </c>
      <c r="Q363" t="s">
        <v>1083</v>
      </c>
      <c r="R363">
        <v>1434</v>
      </c>
      <c r="S363" t="s">
        <v>1078</v>
      </c>
      <c r="T363">
        <f t="shared" si="36"/>
        <v>3</v>
      </c>
      <c r="U363">
        <v>717</v>
      </c>
      <c r="V363">
        <f t="shared" si="37"/>
        <v>10</v>
      </c>
      <c r="W363" t="s">
        <v>1087</v>
      </c>
      <c r="X363" t="s">
        <v>1089</v>
      </c>
      <c r="Y363">
        <f t="shared" si="38"/>
        <v>0</v>
      </c>
      <c r="Z363" t="s">
        <v>1108</v>
      </c>
      <c r="AA363" t="str">
        <f t="shared" si="39"/>
        <v>Medium</v>
      </c>
      <c r="AB363" t="s">
        <v>1104</v>
      </c>
      <c r="AC363" t="str">
        <f t="shared" si="40"/>
        <v>Yes</v>
      </c>
      <c r="AD363">
        <v>1</v>
      </c>
      <c r="AE363">
        <v>319535</v>
      </c>
      <c r="AF363">
        <v>127814</v>
      </c>
      <c r="AG363">
        <f t="shared" si="41"/>
        <v>191004</v>
      </c>
    </row>
    <row r="364" spans="1:33" x14ac:dyDescent="0.25">
      <c r="A364">
        <v>1363</v>
      </c>
      <c r="B364" s="1">
        <v>46311</v>
      </c>
      <c r="C364" s="1">
        <v>46312</v>
      </c>
      <c r="D364" s="1">
        <v>46318</v>
      </c>
      <c r="E364" t="s">
        <v>1066</v>
      </c>
      <c r="F364" t="s">
        <v>392</v>
      </c>
      <c r="G364" t="s">
        <v>1069</v>
      </c>
      <c r="H364" t="str">
        <f t="shared" si="35"/>
        <v>Furniture</v>
      </c>
      <c r="I364">
        <v>6</v>
      </c>
      <c r="J364" t="str">
        <f>VLOOKUP(K364,$AJ$2:$AK$7,2,FALSE)</f>
        <v>S005</v>
      </c>
      <c r="K364" t="s">
        <v>1101</v>
      </c>
      <c r="L364">
        <v>4</v>
      </c>
      <c r="M364" t="str">
        <f>IFERROR(VLOOKUP(TRIM(N364),$AP$2:$AQ$12,2,FALSE),"W001")</f>
        <v>W003</v>
      </c>
      <c r="N364" t="s">
        <v>1051</v>
      </c>
      <c r="O364" t="s">
        <v>1060</v>
      </c>
      <c r="P364" t="str">
        <f>VLOOKUP(O364,$AL$2:$AM$12,2,FALSE)</f>
        <v>North</v>
      </c>
      <c r="Q364" t="s">
        <v>1085</v>
      </c>
      <c r="R364">
        <v>793</v>
      </c>
      <c r="S364" t="s">
        <v>1066</v>
      </c>
      <c r="T364">
        <f t="shared" si="36"/>
        <v>7</v>
      </c>
      <c r="U364">
        <v>79.3</v>
      </c>
      <c r="V364">
        <f t="shared" si="37"/>
        <v>3</v>
      </c>
      <c r="W364" t="s">
        <v>1087</v>
      </c>
      <c r="X364" t="s">
        <v>1090</v>
      </c>
      <c r="Y364">
        <f t="shared" si="38"/>
        <v>0</v>
      </c>
      <c r="Z364" t="s">
        <v>1108</v>
      </c>
      <c r="AA364" t="str">
        <f t="shared" si="39"/>
        <v>Low</v>
      </c>
      <c r="AB364" t="s">
        <v>1103</v>
      </c>
      <c r="AC364" t="str">
        <f t="shared" si="40"/>
        <v>Yes</v>
      </c>
      <c r="AD364">
        <v>5</v>
      </c>
      <c r="AE364">
        <v>86724</v>
      </c>
      <c r="AF364">
        <v>34689.599999999999</v>
      </c>
      <c r="AG364">
        <f t="shared" si="41"/>
        <v>51955.1</v>
      </c>
    </row>
    <row r="365" spans="1:33" x14ac:dyDescent="0.25">
      <c r="A365">
        <v>1364</v>
      </c>
      <c r="B365" s="1">
        <v>44891</v>
      </c>
      <c r="C365" s="1">
        <v>44892</v>
      </c>
      <c r="D365" s="1">
        <v>44895</v>
      </c>
      <c r="E365" t="s">
        <v>1066</v>
      </c>
      <c r="F365" t="s">
        <v>393</v>
      </c>
      <c r="G365" t="s">
        <v>1068</v>
      </c>
      <c r="H365" t="str">
        <f t="shared" si="35"/>
        <v>Electronics</v>
      </c>
      <c r="I365">
        <v>6</v>
      </c>
      <c r="J365" t="str">
        <f>VLOOKUP(K365,$AJ$2:$AK$7,2,FALSE)</f>
        <v>S004</v>
      </c>
      <c r="K365" t="s">
        <v>1100</v>
      </c>
      <c r="L365">
        <v>3.5</v>
      </c>
      <c r="M365" t="str">
        <f>IFERROR(VLOOKUP(TRIM(N365),$AP$2:$AQ$12,2,FALSE),"W001")</f>
        <v>W005</v>
      </c>
      <c r="N365" t="s">
        <v>1055</v>
      </c>
      <c r="O365" t="s">
        <v>1063</v>
      </c>
      <c r="P365" t="str">
        <f>VLOOKUP(O365,$AL$2:$AM$12,2,FALSE)</f>
        <v>South</v>
      </c>
      <c r="Q365" t="s">
        <v>1081</v>
      </c>
      <c r="R365">
        <v>1071</v>
      </c>
      <c r="S365" t="s">
        <v>1078</v>
      </c>
      <c r="T365">
        <f t="shared" si="36"/>
        <v>5</v>
      </c>
      <c r="U365">
        <v>214.2</v>
      </c>
      <c r="V365">
        <f t="shared" si="37"/>
        <v>5</v>
      </c>
      <c r="W365" t="s">
        <v>1088</v>
      </c>
      <c r="X365" t="s">
        <v>1091</v>
      </c>
      <c r="Y365">
        <f t="shared" si="38"/>
        <v>0</v>
      </c>
      <c r="Z365" t="s">
        <v>1108</v>
      </c>
      <c r="AA365" t="str">
        <f t="shared" si="39"/>
        <v>Low</v>
      </c>
      <c r="AB365" t="s">
        <v>1103</v>
      </c>
      <c r="AC365" t="str">
        <f t="shared" si="40"/>
        <v>Yes</v>
      </c>
      <c r="AD365">
        <v>5</v>
      </c>
      <c r="AE365">
        <v>334428</v>
      </c>
      <c r="AF365">
        <v>133771.20000000001</v>
      </c>
      <c r="AG365">
        <f t="shared" si="41"/>
        <v>200442.59999999998</v>
      </c>
    </row>
    <row r="366" spans="1:33" x14ac:dyDescent="0.25">
      <c r="A366">
        <v>1365</v>
      </c>
      <c r="B366" s="1">
        <v>44742</v>
      </c>
      <c r="C366" s="1">
        <v>44743</v>
      </c>
      <c r="D366" s="1">
        <v>44748</v>
      </c>
      <c r="E366" t="s">
        <v>1065</v>
      </c>
      <c r="F366" t="s">
        <v>394</v>
      </c>
      <c r="G366" t="s">
        <v>1071</v>
      </c>
      <c r="H366" t="str">
        <f t="shared" si="35"/>
        <v>Clothing</v>
      </c>
      <c r="I366">
        <v>1</v>
      </c>
      <c r="J366" t="str">
        <f>VLOOKUP(K366,$AJ$2:$AK$7,2,FALSE)</f>
        <v>S003</v>
      </c>
      <c r="K366" t="s">
        <v>1099</v>
      </c>
      <c r="L366">
        <v>4.3</v>
      </c>
      <c r="M366" t="str">
        <f>IFERROR(VLOOKUP(TRIM(N366),$AP$2:$AQ$12,2,FALSE),"W001")</f>
        <v>W002</v>
      </c>
      <c r="N366" t="s">
        <v>1049</v>
      </c>
      <c r="O366" t="s">
        <v>1051</v>
      </c>
      <c r="P366" t="str">
        <f>VLOOKUP(O366,$AL$2:$AM$12,2,FALSE)</f>
        <v>West</v>
      </c>
      <c r="Q366" t="s">
        <v>1084</v>
      </c>
      <c r="R366">
        <v>1782</v>
      </c>
      <c r="S366" t="s">
        <v>1078</v>
      </c>
      <c r="T366">
        <f t="shared" si="36"/>
        <v>6</v>
      </c>
      <c r="U366">
        <v>534.6</v>
      </c>
      <c r="V366">
        <f t="shared" si="37"/>
        <v>6</v>
      </c>
      <c r="W366" t="s">
        <v>1086</v>
      </c>
      <c r="X366" t="s">
        <v>1091</v>
      </c>
      <c r="Y366">
        <f t="shared" si="38"/>
        <v>534.6</v>
      </c>
      <c r="Z366" t="s">
        <v>1109</v>
      </c>
      <c r="AA366" t="str">
        <f t="shared" si="39"/>
        <v>High</v>
      </c>
      <c r="AB366" t="s">
        <v>1104</v>
      </c>
      <c r="AC366" t="str">
        <f t="shared" si="40"/>
        <v>No</v>
      </c>
      <c r="AD366">
        <v>2</v>
      </c>
      <c r="AE366">
        <v>1663</v>
      </c>
      <c r="AF366">
        <v>665.2</v>
      </c>
      <c r="AG366">
        <f t="shared" si="41"/>
        <v>463.19999999999993</v>
      </c>
    </row>
    <row r="367" spans="1:33" x14ac:dyDescent="0.25">
      <c r="A367">
        <v>1366</v>
      </c>
      <c r="B367" s="1">
        <v>44798</v>
      </c>
      <c r="C367" s="1">
        <v>44801</v>
      </c>
      <c r="D367" s="1">
        <v>44807</v>
      </c>
      <c r="E367" t="s">
        <v>1065</v>
      </c>
      <c r="F367" t="s">
        <v>395</v>
      </c>
      <c r="G367" t="s">
        <v>1071</v>
      </c>
      <c r="H367" t="str">
        <f t="shared" si="35"/>
        <v>Clothing</v>
      </c>
      <c r="I367">
        <v>8</v>
      </c>
      <c r="J367" t="str">
        <f>VLOOKUP(K367,$AJ$2:$AK$7,2,FALSE)</f>
        <v>S006</v>
      </c>
      <c r="K367" t="s">
        <v>1102</v>
      </c>
      <c r="L367">
        <v>4.8</v>
      </c>
      <c r="M367" t="str">
        <f>IFERROR(VLOOKUP(TRIM(N367),$AP$2:$AQ$12,2,FALSE),"W001")</f>
        <v>W003</v>
      </c>
      <c r="N367" t="s">
        <v>1051</v>
      </c>
      <c r="O367" t="s">
        <v>1049</v>
      </c>
      <c r="P367" t="str">
        <f>VLOOKUP(O367,$AL$2:$AM$12,2,FALSE)</f>
        <v>North</v>
      </c>
      <c r="Q367" t="s">
        <v>1080</v>
      </c>
      <c r="R367">
        <v>645</v>
      </c>
      <c r="S367" t="s">
        <v>1066</v>
      </c>
      <c r="T367">
        <f t="shared" si="36"/>
        <v>4</v>
      </c>
      <c r="U367">
        <v>96.75</v>
      </c>
      <c r="V367">
        <f t="shared" si="37"/>
        <v>4</v>
      </c>
      <c r="W367" t="s">
        <v>1087</v>
      </c>
      <c r="X367" t="s">
        <v>1091</v>
      </c>
      <c r="Y367">
        <f t="shared" si="38"/>
        <v>0</v>
      </c>
      <c r="Z367" t="s">
        <v>1108</v>
      </c>
      <c r="AA367" t="str">
        <f t="shared" si="39"/>
        <v>Low</v>
      </c>
      <c r="AB367" t="s">
        <v>1103</v>
      </c>
      <c r="AC367" t="str">
        <f t="shared" si="40"/>
        <v>Yes</v>
      </c>
      <c r="AD367">
        <v>5</v>
      </c>
      <c r="AE367">
        <v>22664</v>
      </c>
      <c r="AF367">
        <v>9065.6</v>
      </c>
      <c r="AG367">
        <f t="shared" si="41"/>
        <v>13501.65</v>
      </c>
    </row>
    <row r="368" spans="1:33" x14ac:dyDescent="0.25">
      <c r="A368">
        <v>1367</v>
      </c>
      <c r="B368" s="1">
        <v>44318</v>
      </c>
      <c r="C368" s="1">
        <v>44320</v>
      </c>
      <c r="D368" s="1">
        <v>44325</v>
      </c>
      <c r="E368" t="s">
        <v>1064</v>
      </c>
      <c r="F368" t="s">
        <v>396</v>
      </c>
      <c r="G368" t="s">
        <v>1070</v>
      </c>
      <c r="H368" t="str">
        <f t="shared" si="35"/>
        <v>Furniture</v>
      </c>
      <c r="I368">
        <v>2</v>
      </c>
      <c r="J368" t="str">
        <f>VLOOKUP(K368,$AJ$2:$AK$7,2,FALSE)</f>
        <v>S002</v>
      </c>
      <c r="K368" t="s">
        <v>1098</v>
      </c>
      <c r="L368">
        <v>3</v>
      </c>
      <c r="M368" t="str">
        <f>IFERROR(VLOOKUP(TRIM(N368),$AP$2:$AQ$12,2,FALSE),"W001")</f>
        <v>W007</v>
      </c>
      <c r="N368" t="s">
        <v>1062</v>
      </c>
      <c r="O368" t="s">
        <v>1051</v>
      </c>
      <c r="P368" t="str">
        <f>VLOOKUP(O368,$AL$2:$AM$12,2,FALSE)</f>
        <v>West</v>
      </c>
      <c r="Q368" t="s">
        <v>1082</v>
      </c>
      <c r="R368">
        <v>891</v>
      </c>
      <c r="S368" t="s">
        <v>1078</v>
      </c>
      <c r="T368">
        <f t="shared" si="36"/>
        <v>3</v>
      </c>
      <c r="U368">
        <v>356.4</v>
      </c>
      <c r="V368">
        <f t="shared" si="37"/>
        <v>8</v>
      </c>
      <c r="W368" t="s">
        <v>1088</v>
      </c>
      <c r="X368" t="s">
        <v>1090</v>
      </c>
      <c r="Y368">
        <f t="shared" si="38"/>
        <v>0</v>
      </c>
      <c r="Z368" t="s">
        <v>1109</v>
      </c>
      <c r="AA368" t="str">
        <f t="shared" si="39"/>
        <v>High</v>
      </c>
      <c r="AB368" t="s">
        <v>1103</v>
      </c>
      <c r="AC368" t="str">
        <f t="shared" si="40"/>
        <v>No</v>
      </c>
      <c r="AD368">
        <v>2</v>
      </c>
      <c r="AE368">
        <v>9342</v>
      </c>
      <c r="AF368">
        <v>3736.8</v>
      </c>
      <c r="AG368">
        <f t="shared" si="41"/>
        <v>5248.8</v>
      </c>
    </row>
    <row r="369" spans="1:33" x14ac:dyDescent="0.25">
      <c r="A369">
        <v>1368</v>
      </c>
      <c r="B369" s="1">
        <v>45586</v>
      </c>
      <c r="C369" s="1">
        <v>45589</v>
      </c>
      <c r="D369" s="1">
        <v>45592</v>
      </c>
      <c r="E369" t="s">
        <v>1065</v>
      </c>
      <c r="F369" t="s">
        <v>397</v>
      </c>
      <c r="G369" t="s">
        <v>1072</v>
      </c>
      <c r="H369" t="str">
        <f t="shared" si="35"/>
        <v>Electronics</v>
      </c>
      <c r="I369">
        <v>8</v>
      </c>
      <c r="J369" t="str">
        <f>VLOOKUP(K369,$AJ$2:$AK$7,2,FALSE)</f>
        <v>S005</v>
      </c>
      <c r="K369" t="s">
        <v>1101</v>
      </c>
      <c r="L369">
        <v>4.5999999999999996</v>
      </c>
      <c r="M369" t="str">
        <f>IFERROR(VLOOKUP(TRIM(N369),$AP$2:$AQ$12,2,FALSE),"W001")</f>
        <v>W003</v>
      </c>
      <c r="N369" t="s">
        <v>1051</v>
      </c>
      <c r="O369" t="s">
        <v>1059</v>
      </c>
      <c r="P369" t="str">
        <f>VLOOKUP(O369,$AL$2:$AM$12,2,FALSE)</f>
        <v>North</v>
      </c>
      <c r="Q369" t="s">
        <v>1083</v>
      </c>
      <c r="R369">
        <v>1134</v>
      </c>
      <c r="S369" t="s">
        <v>1078</v>
      </c>
      <c r="T369">
        <f t="shared" si="36"/>
        <v>3</v>
      </c>
      <c r="U369">
        <v>567</v>
      </c>
      <c r="V369">
        <f t="shared" si="37"/>
        <v>10</v>
      </c>
      <c r="W369" t="s">
        <v>1088</v>
      </c>
      <c r="X369" t="s">
        <v>1091</v>
      </c>
      <c r="Y369">
        <f t="shared" si="38"/>
        <v>0</v>
      </c>
      <c r="Z369" t="s">
        <v>1108</v>
      </c>
      <c r="AA369" t="str">
        <f t="shared" si="39"/>
        <v>Medium</v>
      </c>
      <c r="AB369" t="s">
        <v>1103</v>
      </c>
      <c r="AC369" t="str">
        <f t="shared" si="40"/>
        <v>Yes</v>
      </c>
      <c r="AD369">
        <v>5</v>
      </c>
      <c r="AE369">
        <v>119496</v>
      </c>
      <c r="AF369">
        <v>47798.400000000001</v>
      </c>
      <c r="AG369">
        <f t="shared" si="41"/>
        <v>71130.600000000006</v>
      </c>
    </row>
    <row r="370" spans="1:33" x14ac:dyDescent="0.25">
      <c r="A370">
        <v>1369</v>
      </c>
      <c r="B370" s="1">
        <v>44232</v>
      </c>
      <c r="C370" s="1">
        <v>44233</v>
      </c>
      <c r="D370" s="1">
        <v>44238</v>
      </c>
      <c r="E370" t="s">
        <v>1065</v>
      </c>
      <c r="F370" t="s">
        <v>398</v>
      </c>
      <c r="G370" t="s">
        <v>1068</v>
      </c>
      <c r="H370" t="str">
        <f t="shared" si="35"/>
        <v>Electronics</v>
      </c>
      <c r="I370">
        <v>8</v>
      </c>
      <c r="J370" t="str">
        <f>VLOOKUP(K370,$AJ$2:$AK$7,2,FALSE)</f>
        <v>S004</v>
      </c>
      <c r="K370" t="s">
        <v>1100</v>
      </c>
      <c r="L370">
        <v>3.6</v>
      </c>
      <c r="M370" t="str">
        <f>IFERROR(VLOOKUP(TRIM(N370),$AP$2:$AQ$12,2,FALSE),"W001")</f>
        <v>W004</v>
      </c>
      <c r="N370" t="s">
        <v>1053</v>
      </c>
      <c r="O370" t="s">
        <v>1060</v>
      </c>
      <c r="P370" t="str">
        <f>VLOOKUP(O370,$AL$2:$AM$12,2,FALSE)</f>
        <v>North</v>
      </c>
      <c r="Q370" t="s">
        <v>1083</v>
      </c>
      <c r="R370">
        <v>1392</v>
      </c>
      <c r="S370" t="s">
        <v>1078</v>
      </c>
      <c r="T370">
        <f t="shared" si="36"/>
        <v>3</v>
      </c>
      <c r="U370">
        <v>696</v>
      </c>
      <c r="V370">
        <f t="shared" si="37"/>
        <v>10</v>
      </c>
      <c r="W370" t="s">
        <v>1088</v>
      </c>
      <c r="X370" t="s">
        <v>1090</v>
      </c>
      <c r="Y370">
        <f t="shared" si="38"/>
        <v>0</v>
      </c>
      <c r="Z370" t="s">
        <v>1108</v>
      </c>
      <c r="AA370" t="str">
        <f t="shared" si="39"/>
        <v>Medium</v>
      </c>
      <c r="AB370" t="s">
        <v>1104</v>
      </c>
      <c r="AC370" t="str">
        <f t="shared" si="40"/>
        <v>Yes</v>
      </c>
      <c r="AD370">
        <v>1</v>
      </c>
      <c r="AE370">
        <v>393200</v>
      </c>
      <c r="AF370">
        <v>157280</v>
      </c>
      <c r="AG370">
        <f t="shared" si="41"/>
        <v>235224</v>
      </c>
    </row>
    <row r="371" spans="1:33" x14ac:dyDescent="0.25">
      <c r="A371">
        <v>1370</v>
      </c>
      <c r="B371" s="1">
        <v>46057</v>
      </c>
      <c r="C371" s="1">
        <v>46059</v>
      </c>
      <c r="D371" s="1">
        <v>46064</v>
      </c>
      <c r="E371" t="s">
        <v>1064</v>
      </c>
      <c r="F371" t="s">
        <v>399</v>
      </c>
      <c r="G371" t="s">
        <v>1068</v>
      </c>
      <c r="H371" t="str">
        <f t="shared" si="35"/>
        <v>Electronics</v>
      </c>
      <c r="I371">
        <v>7</v>
      </c>
      <c r="J371" t="str">
        <f>VLOOKUP(K371,$AJ$2:$AK$7,2,FALSE)</f>
        <v>S001</v>
      </c>
      <c r="K371" t="s">
        <v>1097</v>
      </c>
      <c r="L371">
        <v>4</v>
      </c>
      <c r="M371" t="str">
        <f>IFERROR(VLOOKUP(TRIM(N371),$AP$2:$AQ$12,2,FALSE),"W001")</f>
        <v>W006</v>
      </c>
      <c r="N371" t="s">
        <v>1057</v>
      </c>
      <c r="O371" t="s">
        <v>1057</v>
      </c>
      <c r="P371" t="str">
        <f>VLOOKUP(O371,$AL$2:$AM$12,2,FALSE)</f>
        <v>South</v>
      </c>
      <c r="Q371" t="s">
        <v>1081</v>
      </c>
      <c r="R371">
        <v>18</v>
      </c>
      <c r="S371" t="s">
        <v>1079</v>
      </c>
      <c r="T371">
        <f t="shared" si="36"/>
        <v>1</v>
      </c>
      <c r="U371">
        <v>3.6</v>
      </c>
      <c r="V371">
        <f t="shared" si="37"/>
        <v>5</v>
      </c>
      <c r="W371" t="s">
        <v>1087</v>
      </c>
      <c r="X371" t="s">
        <v>1091</v>
      </c>
      <c r="Y371">
        <f t="shared" si="38"/>
        <v>0</v>
      </c>
      <c r="Z371" t="s">
        <v>1108</v>
      </c>
      <c r="AA371" t="str">
        <f t="shared" si="39"/>
        <v>Low</v>
      </c>
      <c r="AB371" t="s">
        <v>1103</v>
      </c>
      <c r="AC371" t="str">
        <f t="shared" si="40"/>
        <v>Yes</v>
      </c>
      <c r="AD371">
        <v>5</v>
      </c>
      <c r="AE371">
        <v>320852</v>
      </c>
      <c r="AF371">
        <v>128340.8</v>
      </c>
      <c r="AG371">
        <f t="shared" si="41"/>
        <v>192507.6</v>
      </c>
    </row>
    <row r="372" spans="1:33" x14ac:dyDescent="0.25">
      <c r="A372">
        <v>1371</v>
      </c>
      <c r="B372" s="1">
        <v>46249</v>
      </c>
      <c r="C372" s="1">
        <v>46251</v>
      </c>
      <c r="D372" s="1">
        <v>46255</v>
      </c>
      <c r="E372" t="s">
        <v>1065</v>
      </c>
      <c r="F372" t="s">
        <v>400</v>
      </c>
      <c r="G372" t="s">
        <v>1072</v>
      </c>
      <c r="H372" t="str">
        <f t="shared" si="35"/>
        <v>Electronics</v>
      </c>
      <c r="I372">
        <v>9</v>
      </c>
      <c r="J372" t="str">
        <f>VLOOKUP(K372,$AJ$2:$AK$7,2,FALSE)</f>
        <v>S001</v>
      </c>
      <c r="K372" t="s">
        <v>1097</v>
      </c>
      <c r="L372">
        <v>4.4000000000000004</v>
      </c>
      <c r="M372" t="str">
        <f>IFERROR(VLOOKUP(TRIM(N372),$AP$2:$AQ$12,2,FALSE),"W001")</f>
        <v>W005</v>
      </c>
      <c r="N372" t="s">
        <v>1055</v>
      </c>
      <c r="O372" t="s">
        <v>1059</v>
      </c>
      <c r="P372" t="str">
        <f>VLOOKUP(O372,$AL$2:$AM$12,2,FALSE)</f>
        <v>North</v>
      </c>
      <c r="Q372" t="s">
        <v>1085</v>
      </c>
      <c r="R372">
        <v>901</v>
      </c>
      <c r="S372" t="s">
        <v>1078</v>
      </c>
      <c r="T372">
        <f t="shared" si="36"/>
        <v>8</v>
      </c>
      <c r="U372">
        <v>90.1</v>
      </c>
      <c r="V372">
        <f t="shared" si="37"/>
        <v>3</v>
      </c>
      <c r="W372" t="s">
        <v>1086</v>
      </c>
      <c r="X372" t="s">
        <v>1089</v>
      </c>
      <c r="Y372">
        <f t="shared" si="38"/>
        <v>90.1</v>
      </c>
      <c r="Z372" t="s">
        <v>1108</v>
      </c>
      <c r="AA372" t="str">
        <f t="shared" si="39"/>
        <v>Low</v>
      </c>
      <c r="AB372" t="s">
        <v>1103</v>
      </c>
      <c r="AC372" t="str">
        <f t="shared" si="40"/>
        <v>Yes</v>
      </c>
      <c r="AD372">
        <v>4</v>
      </c>
      <c r="AE372">
        <v>157275</v>
      </c>
      <c r="AF372">
        <v>62910</v>
      </c>
      <c r="AG372">
        <f t="shared" si="41"/>
        <v>94274.9</v>
      </c>
    </row>
    <row r="373" spans="1:33" x14ac:dyDescent="0.25">
      <c r="A373">
        <v>1372</v>
      </c>
      <c r="B373" s="1">
        <v>45506</v>
      </c>
      <c r="C373" s="1">
        <v>45509</v>
      </c>
      <c r="D373" s="1">
        <v>45515</v>
      </c>
      <c r="E373" t="s">
        <v>1065</v>
      </c>
      <c r="F373" t="s">
        <v>401</v>
      </c>
      <c r="G373" t="s">
        <v>1070</v>
      </c>
      <c r="H373" t="str">
        <f t="shared" si="35"/>
        <v>Furniture</v>
      </c>
      <c r="I373">
        <v>5</v>
      </c>
      <c r="J373" t="str">
        <f>VLOOKUP(K373,$AJ$2:$AK$7,2,FALSE)</f>
        <v>S005</v>
      </c>
      <c r="K373" t="s">
        <v>1101</v>
      </c>
      <c r="L373">
        <v>3.3</v>
      </c>
      <c r="M373" t="str">
        <f>IFERROR(VLOOKUP(TRIM(N373),$AP$2:$AQ$12,2,FALSE),"W001")</f>
        <v>W007</v>
      </c>
      <c r="N373" t="s">
        <v>1062</v>
      </c>
      <c r="O373" t="s">
        <v>1047</v>
      </c>
      <c r="P373" t="str">
        <f>VLOOKUP(O373,$AL$2:$AM$12,2,FALSE)</f>
        <v>West</v>
      </c>
      <c r="Q373" t="s">
        <v>1081</v>
      </c>
      <c r="R373">
        <v>531</v>
      </c>
      <c r="S373" t="s">
        <v>1066</v>
      </c>
      <c r="T373">
        <f t="shared" si="36"/>
        <v>3</v>
      </c>
      <c r="U373">
        <v>106.2</v>
      </c>
      <c r="V373">
        <f t="shared" si="37"/>
        <v>5</v>
      </c>
      <c r="W373" t="s">
        <v>1087</v>
      </c>
      <c r="X373" t="s">
        <v>1091</v>
      </c>
      <c r="Y373">
        <f t="shared" si="38"/>
        <v>0</v>
      </c>
      <c r="Z373" t="s">
        <v>1108</v>
      </c>
      <c r="AA373" t="str">
        <f t="shared" si="39"/>
        <v>Low</v>
      </c>
      <c r="AB373" t="s">
        <v>1103</v>
      </c>
      <c r="AC373" t="str">
        <f t="shared" si="40"/>
        <v>Yes</v>
      </c>
      <c r="AD373">
        <v>5</v>
      </c>
      <c r="AE373">
        <v>32640</v>
      </c>
      <c r="AF373">
        <v>13056</v>
      </c>
      <c r="AG373">
        <f t="shared" si="41"/>
        <v>19477.8</v>
      </c>
    </row>
    <row r="374" spans="1:33" x14ac:dyDescent="0.25">
      <c r="A374">
        <v>1373</v>
      </c>
      <c r="B374" s="1">
        <v>44894</v>
      </c>
      <c r="C374" s="1">
        <v>44896</v>
      </c>
      <c r="D374" s="1">
        <v>44898</v>
      </c>
      <c r="E374" t="s">
        <v>1065</v>
      </c>
      <c r="F374" t="s">
        <v>402</v>
      </c>
      <c r="G374" t="s">
        <v>1069</v>
      </c>
      <c r="H374" t="str">
        <f t="shared" si="35"/>
        <v>Furniture</v>
      </c>
      <c r="I374">
        <v>4</v>
      </c>
      <c r="J374" t="str">
        <f>VLOOKUP(K374,$AJ$2:$AK$7,2,FALSE)</f>
        <v>S003</v>
      </c>
      <c r="K374" t="s">
        <v>1099</v>
      </c>
      <c r="L374">
        <v>5</v>
      </c>
      <c r="M374" t="str">
        <f>IFERROR(VLOOKUP(TRIM(N374),$AP$2:$AQ$12,2,FALSE),"W001")</f>
        <v>W009</v>
      </c>
      <c r="N374" t="s">
        <v>1060</v>
      </c>
      <c r="O374" t="s">
        <v>1047</v>
      </c>
      <c r="P374" t="str">
        <f>VLOOKUP(O374,$AL$2:$AM$12,2,FALSE)</f>
        <v>West</v>
      </c>
      <c r="Q374" t="s">
        <v>1082</v>
      </c>
      <c r="R374">
        <v>1393</v>
      </c>
      <c r="S374" t="s">
        <v>1078</v>
      </c>
      <c r="T374">
        <f t="shared" si="36"/>
        <v>4</v>
      </c>
      <c r="U374">
        <v>557.20000000000005</v>
      </c>
      <c r="V374">
        <f t="shared" si="37"/>
        <v>8</v>
      </c>
      <c r="W374" t="s">
        <v>1088</v>
      </c>
      <c r="X374" t="s">
        <v>1091</v>
      </c>
      <c r="Y374">
        <f t="shared" si="38"/>
        <v>0</v>
      </c>
      <c r="Z374" t="s">
        <v>1109</v>
      </c>
      <c r="AA374" t="str">
        <f t="shared" si="39"/>
        <v>High</v>
      </c>
      <c r="AB374" t="s">
        <v>1104</v>
      </c>
      <c r="AC374" t="str">
        <f t="shared" si="40"/>
        <v>No</v>
      </c>
      <c r="AD374">
        <v>1</v>
      </c>
      <c r="AE374">
        <v>35908</v>
      </c>
      <c r="AF374">
        <v>14363.2</v>
      </c>
      <c r="AG374">
        <f t="shared" si="41"/>
        <v>20987.599999999999</v>
      </c>
    </row>
    <row r="375" spans="1:33" x14ac:dyDescent="0.25">
      <c r="A375">
        <v>1374</v>
      </c>
      <c r="B375" s="1">
        <v>44352</v>
      </c>
      <c r="C375" s="1">
        <v>44354</v>
      </c>
      <c r="D375" s="1">
        <v>44357</v>
      </c>
      <c r="E375" t="s">
        <v>1066</v>
      </c>
      <c r="F375" t="s">
        <v>403</v>
      </c>
      <c r="G375" t="s">
        <v>1069</v>
      </c>
      <c r="H375" t="str">
        <f t="shared" si="35"/>
        <v>Furniture</v>
      </c>
      <c r="I375">
        <v>2</v>
      </c>
      <c r="J375" t="str">
        <f>VLOOKUP(K375,$AJ$2:$AK$7,2,FALSE)</f>
        <v>S003</v>
      </c>
      <c r="K375" t="s">
        <v>1099</v>
      </c>
      <c r="L375">
        <v>3.7</v>
      </c>
      <c r="M375" t="str">
        <f>IFERROR(VLOOKUP(TRIM(N375),$AP$2:$AQ$12,2,FALSE),"W001")</f>
        <v>W002</v>
      </c>
      <c r="N375" t="s">
        <v>1049</v>
      </c>
      <c r="O375" t="s">
        <v>1053</v>
      </c>
      <c r="P375" t="str">
        <f>VLOOKUP(O375,$AL$2:$AM$12,2,FALSE)</f>
        <v>South</v>
      </c>
      <c r="Q375" t="s">
        <v>1082</v>
      </c>
      <c r="R375">
        <v>745</v>
      </c>
      <c r="S375" t="s">
        <v>1066</v>
      </c>
      <c r="T375">
        <f t="shared" si="36"/>
        <v>2</v>
      </c>
      <c r="U375">
        <v>298</v>
      </c>
      <c r="V375">
        <f t="shared" si="37"/>
        <v>8</v>
      </c>
      <c r="W375" t="s">
        <v>1087</v>
      </c>
      <c r="X375" t="s">
        <v>1091</v>
      </c>
      <c r="Y375">
        <f t="shared" si="38"/>
        <v>0</v>
      </c>
      <c r="Z375" t="s">
        <v>1108</v>
      </c>
      <c r="AA375" t="str">
        <f t="shared" si="39"/>
        <v>Medium</v>
      </c>
      <c r="AB375" t="s">
        <v>1103</v>
      </c>
      <c r="AC375" t="str">
        <f t="shared" si="40"/>
        <v>Yes</v>
      </c>
      <c r="AD375">
        <v>4</v>
      </c>
      <c r="AE375">
        <v>20334</v>
      </c>
      <c r="AF375">
        <v>8133.6</v>
      </c>
      <c r="AG375">
        <f t="shared" si="41"/>
        <v>11902.4</v>
      </c>
    </row>
    <row r="376" spans="1:33" x14ac:dyDescent="0.25">
      <c r="A376">
        <v>1375</v>
      </c>
      <c r="B376" s="1">
        <v>45019</v>
      </c>
      <c r="C376" s="1">
        <v>45021</v>
      </c>
      <c r="D376" s="1">
        <v>45026</v>
      </c>
      <c r="E376" t="s">
        <v>1064</v>
      </c>
      <c r="F376" t="s">
        <v>404</v>
      </c>
      <c r="G376" t="s">
        <v>1070</v>
      </c>
      <c r="H376" t="str">
        <f t="shared" si="35"/>
        <v>Furniture</v>
      </c>
      <c r="I376">
        <v>1</v>
      </c>
      <c r="J376" t="str">
        <f>VLOOKUP(K376,$AJ$2:$AK$7,2,FALSE)</f>
        <v>S003</v>
      </c>
      <c r="K376" t="s">
        <v>1099</v>
      </c>
      <c r="L376">
        <v>3</v>
      </c>
      <c r="M376" t="str">
        <f>IFERROR(VLOOKUP(TRIM(N376),$AP$2:$AQ$12,2,FALSE),"W001")</f>
        <v>W003</v>
      </c>
      <c r="N376" t="s">
        <v>1051</v>
      </c>
      <c r="O376" t="s">
        <v>1051</v>
      </c>
      <c r="P376" t="str">
        <f>VLOOKUP(O376,$AL$2:$AM$12,2,FALSE)</f>
        <v>West</v>
      </c>
      <c r="Q376" t="s">
        <v>1084</v>
      </c>
      <c r="R376">
        <v>42</v>
      </c>
      <c r="S376" t="s">
        <v>1079</v>
      </c>
      <c r="T376">
        <f t="shared" si="36"/>
        <v>1</v>
      </c>
      <c r="U376">
        <v>12.6</v>
      </c>
      <c r="V376">
        <f t="shared" si="37"/>
        <v>6</v>
      </c>
      <c r="W376" t="s">
        <v>1087</v>
      </c>
      <c r="X376" t="s">
        <v>1091</v>
      </c>
      <c r="Y376">
        <f t="shared" si="38"/>
        <v>0</v>
      </c>
      <c r="Z376" t="s">
        <v>1108</v>
      </c>
      <c r="AA376" t="str">
        <f t="shared" si="39"/>
        <v>Low</v>
      </c>
      <c r="AB376" t="s">
        <v>1103</v>
      </c>
      <c r="AC376" t="str">
        <f t="shared" si="40"/>
        <v>Yes</v>
      </c>
      <c r="AD376">
        <v>4</v>
      </c>
      <c r="AE376">
        <v>3209</v>
      </c>
      <c r="AF376">
        <v>1283.6000000000001</v>
      </c>
      <c r="AG376">
        <f t="shared" si="41"/>
        <v>1912.8</v>
      </c>
    </row>
    <row r="377" spans="1:33" x14ac:dyDescent="0.25">
      <c r="A377">
        <v>1376</v>
      </c>
      <c r="B377" s="1">
        <v>44987</v>
      </c>
      <c r="C377" s="1">
        <v>44990</v>
      </c>
      <c r="D377" s="1">
        <v>44993</v>
      </c>
      <c r="E377" t="s">
        <v>1066</v>
      </c>
      <c r="F377" t="s">
        <v>405</v>
      </c>
      <c r="G377" t="s">
        <v>1070</v>
      </c>
      <c r="H377" t="str">
        <f t="shared" si="35"/>
        <v>Furniture</v>
      </c>
      <c r="I377">
        <v>8</v>
      </c>
      <c r="J377" t="str">
        <f>VLOOKUP(K377,$AJ$2:$AK$7,2,FALSE)</f>
        <v>S001</v>
      </c>
      <c r="K377" t="s">
        <v>1097</v>
      </c>
      <c r="L377">
        <v>4.2</v>
      </c>
      <c r="M377" t="str">
        <f>IFERROR(VLOOKUP(TRIM(N377),$AP$2:$AQ$12,2,FALSE),"W001")</f>
        <v>W008</v>
      </c>
      <c r="N377" t="s">
        <v>1061</v>
      </c>
      <c r="O377" t="s">
        <v>1049</v>
      </c>
      <c r="P377" t="str">
        <f>VLOOKUP(O377,$AL$2:$AM$12,2,FALSE)</f>
        <v>North</v>
      </c>
      <c r="Q377" t="s">
        <v>1081</v>
      </c>
      <c r="R377">
        <v>1037</v>
      </c>
      <c r="S377" t="s">
        <v>1078</v>
      </c>
      <c r="T377">
        <f t="shared" si="36"/>
        <v>5</v>
      </c>
      <c r="U377">
        <v>207.4</v>
      </c>
      <c r="V377">
        <f t="shared" si="37"/>
        <v>5</v>
      </c>
      <c r="W377" t="s">
        <v>1088</v>
      </c>
      <c r="X377" t="s">
        <v>1089</v>
      </c>
      <c r="Y377">
        <f t="shared" si="38"/>
        <v>0</v>
      </c>
      <c r="Z377" t="s">
        <v>1108</v>
      </c>
      <c r="AA377" t="str">
        <f t="shared" si="39"/>
        <v>Low</v>
      </c>
      <c r="AB377" t="s">
        <v>1103</v>
      </c>
      <c r="AC377" t="str">
        <f t="shared" si="40"/>
        <v>Yes</v>
      </c>
      <c r="AD377">
        <v>4</v>
      </c>
      <c r="AE377">
        <v>22320</v>
      </c>
      <c r="AF377">
        <v>8928</v>
      </c>
      <c r="AG377">
        <f t="shared" si="41"/>
        <v>13184.6</v>
      </c>
    </row>
    <row r="378" spans="1:33" x14ac:dyDescent="0.25">
      <c r="A378">
        <v>1377</v>
      </c>
      <c r="B378" s="1">
        <v>45214</v>
      </c>
      <c r="C378" s="1">
        <v>45216</v>
      </c>
      <c r="D378" s="1">
        <v>45219</v>
      </c>
      <c r="E378" t="s">
        <v>1065</v>
      </c>
      <c r="F378" t="s">
        <v>406</v>
      </c>
      <c r="G378" t="s">
        <v>1069</v>
      </c>
      <c r="H378" t="str">
        <f t="shared" si="35"/>
        <v>Furniture</v>
      </c>
      <c r="I378">
        <v>1</v>
      </c>
      <c r="J378" t="str">
        <f>VLOOKUP(K378,$AJ$2:$AK$7,2,FALSE)</f>
        <v>S005</v>
      </c>
      <c r="K378" t="s">
        <v>1101</v>
      </c>
      <c r="L378">
        <v>4.4000000000000004</v>
      </c>
      <c r="M378" t="str">
        <f>IFERROR(VLOOKUP(TRIM(N378),$AP$2:$AQ$12,2,FALSE),"W001")</f>
        <v>W011</v>
      </c>
      <c r="N378" t="s">
        <v>1059</v>
      </c>
      <c r="O378" t="s">
        <v>1062</v>
      </c>
      <c r="P378" t="str">
        <f>VLOOKUP(O378,$AL$2:$AM$12,2,FALSE)</f>
        <v>North</v>
      </c>
      <c r="Q378" t="s">
        <v>1082</v>
      </c>
      <c r="R378">
        <v>877</v>
      </c>
      <c r="S378" t="s">
        <v>1078</v>
      </c>
      <c r="T378">
        <f t="shared" si="36"/>
        <v>3</v>
      </c>
      <c r="U378">
        <v>350.8</v>
      </c>
      <c r="V378">
        <f t="shared" si="37"/>
        <v>8</v>
      </c>
      <c r="W378" t="s">
        <v>1088</v>
      </c>
      <c r="X378" t="s">
        <v>1089</v>
      </c>
      <c r="Y378">
        <f t="shared" si="38"/>
        <v>0</v>
      </c>
      <c r="Z378" t="s">
        <v>1109</v>
      </c>
      <c r="AA378" t="str">
        <f t="shared" si="39"/>
        <v>High</v>
      </c>
      <c r="AB378" t="s">
        <v>1104</v>
      </c>
      <c r="AC378" t="str">
        <f t="shared" si="40"/>
        <v>No</v>
      </c>
      <c r="AD378">
        <v>2</v>
      </c>
      <c r="AE378">
        <v>8015</v>
      </c>
      <c r="AF378">
        <v>3206</v>
      </c>
      <c r="AG378">
        <f t="shared" si="41"/>
        <v>4458.2</v>
      </c>
    </row>
    <row r="379" spans="1:33" x14ac:dyDescent="0.25">
      <c r="A379">
        <v>1378</v>
      </c>
      <c r="B379" s="1">
        <v>44739</v>
      </c>
      <c r="C379" s="1">
        <v>44740</v>
      </c>
      <c r="D379" s="1">
        <v>44747</v>
      </c>
      <c r="E379" t="s">
        <v>1064</v>
      </c>
      <c r="F379" t="s">
        <v>407</v>
      </c>
      <c r="G379" t="s">
        <v>1069</v>
      </c>
      <c r="H379" t="str">
        <f t="shared" si="35"/>
        <v>Furniture</v>
      </c>
      <c r="I379">
        <v>3</v>
      </c>
      <c r="J379" t="str">
        <f>VLOOKUP(K379,$AJ$2:$AK$7,2,FALSE)</f>
        <v>S003</v>
      </c>
      <c r="K379" t="s">
        <v>1099</v>
      </c>
      <c r="L379">
        <v>3.1</v>
      </c>
      <c r="M379" t="str">
        <f>IFERROR(VLOOKUP(TRIM(N379),$AP$2:$AQ$12,2,FALSE),"W001")</f>
        <v>W010</v>
      </c>
      <c r="N379" t="s">
        <v>1063</v>
      </c>
      <c r="O379" t="s">
        <v>1053</v>
      </c>
      <c r="P379" t="str">
        <f>VLOOKUP(O379,$AL$2:$AM$12,2,FALSE)</f>
        <v>South</v>
      </c>
      <c r="Q379" t="s">
        <v>1085</v>
      </c>
      <c r="R379">
        <v>1232</v>
      </c>
      <c r="S379" t="s">
        <v>1078</v>
      </c>
      <c r="T379">
        <f t="shared" si="36"/>
        <v>9</v>
      </c>
      <c r="U379">
        <v>123.2</v>
      </c>
      <c r="V379">
        <f t="shared" si="37"/>
        <v>3</v>
      </c>
      <c r="W379" t="s">
        <v>1088</v>
      </c>
      <c r="X379" t="s">
        <v>1091</v>
      </c>
      <c r="Y379">
        <f t="shared" si="38"/>
        <v>0</v>
      </c>
      <c r="Z379" t="s">
        <v>1108</v>
      </c>
      <c r="AA379" t="str">
        <f t="shared" si="39"/>
        <v>Low</v>
      </c>
      <c r="AB379" t="s">
        <v>1103</v>
      </c>
      <c r="AC379" t="str">
        <f t="shared" si="40"/>
        <v>Yes</v>
      </c>
      <c r="AD379">
        <v>4</v>
      </c>
      <c r="AE379">
        <v>33294</v>
      </c>
      <c r="AF379">
        <v>13317.6</v>
      </c>
      <c r="AG379">
        <f t="shared" si="41"/>
        <v>19853.2</v>
      </c>
    </row>
    <row r="380" spans="1:33" x14ac:dyDescent="0.25">
      <c r="A380">
        <v>1379</v>
      </c>
      <c r="B380" s="1">
        <v>45990</v>
      </c>
      <c r="C380" s="1">
        <v>45993</v>
      </c>
      <c r="D380" s="1">
        <v>45999</v>
      </c>
      <c r="E380" t="s">
        <v>1066</v>
      </c>
      <c r="F380" t="s">
        <v>408</v>
      </c>
      <c r="G380" t="s">
        <v>1071</v>
      </c>
      <c r="H380" t="str">
        <f t="shared" si="35"/>
        <v>Clothing</v>
      </c>
      <c r="I380">
        <v>2</v>
      </c>
      <c r="J380" t="str">
        <f>VLOOKUP(K380,$AJ$2:$AK$7,2,FALSE)</f>
        <v>S002</v>
      </c>
      <c r="K380" t="s">
        <v>1098</v>
      </c>
      <c r="L380">
        <v>3.8</v>
      </c>
      <c r="M380" t="str">
        <f>IFERROR(VLOOKUP(TRIM(N380),$AP$2:$AQ$12,2,FALSE),"W001")</f>
        <v>W001</v>
      </c>
      <c r="N380" t="s">
        <v>1047</v>
      </c>
      <c r="O380" t="s">
        <v>1062</v>
      </c>
      <c r="P380" t="str">
        <f>VLOOKUP(O380,$AL$2:$AM$12,2,FALSE)</f>
        <v>North</v>
      </c>
      <c r="Q380" t="s">
        <v>1083</v>
      </c>
      <c r="R380">
        <v>218</v>
      </c>
      <c r="S380" t="s">
        <v>1066</v>
      </c>
      <c r="T380">
        <f t="shared" si="36"/>
        <v>1</v>
      </c>
      <c r="U380">
        <v>109</v>
      </c>
      <c r="V380">
        <f t="shared" si="37"/>
        <v>10</v>
      </c>
      <c r="W380" t="s">
        <v>1086</v>
      </c>
      <c r="X380" t="s">
        <v>1089</v>
      </c>
      <c r="Y380">
        <f t="shared" si="38"/>
        <v>109</v>
      </c>
      <c r="Z380" t="s">
        <v>1108</v>
      </c>
      <c r="AA380" t="str">
        <f t="shared" si="39"/>
        <v>Medium</v>
      </c>
      <c r="AB380" t="s">
        <v>1103</v>
      </c>
      <c r="AC380" t="str">
        <f t="shared" si="40"/>
        <v>Yes</v>
      </c>
      <c r="AD380">
        <v>5</v>
      </c>
      <c r="AE380">
        <v>5016</v>
      </c>
      <c r="AF380">
        <v>2006.4</v>
      </c>
      <c r="AG380">
        <f t="shared" si="41"/>
        <v>2900.6</v>
      </c>
    </row>
    <row r="381" spans="1:33" x14ac:dyDescent="0.25">
      <c r="A381">
        <v>1380</v>
      </c>
      <c r="B381" s="1">
        <v>46270</v>
      </c>
      <c r="C381" s="1">
        <v>46272</v>
      </c>
      <c r="D381" s="1">
        <v>46276</v>
      </c>
      <c r="E381" t="s">
        <v>1065</v>
      </c>
      <c r="F381" t="s">
        <v>409</v>
      </c>
      <c r="G381" t="s">
        <v>1072</v>
      </c>
      <c r="H381" t="str">
        <f t="shared" si="35"/>
        <v>Electronics</v>
      </c>
      <c r="I381">
        <v>8</v>
      </c>
      <c r="J381" t="str">
        <f>VLOOKUP(K381,$AJ$2:$AK$7,2,FALSE)</f>
        <v>S006</v>
      </c>
      <c r="K381" t="s">
        <v>1102</v>
      </c>
      <c r="L381">
        <v>3.6</v>
      </c>
      <c r="M381" t="str">
        <f>IFERROR(VLOOKUP(TRIM(N381),$AP$2:$AQ$12,2,FALSE),"W001")</f>
        <v>W003</v>
      </c>
      <c r="N381" t="s">
        <v>1051</v>
      </c>
      <c r="O381" t="s">
        <v>1051</v>
      </c>
      <c r="P381" t="str">
        <f>VLOOKUP(O381,$AL$2:$AM$12,2,FALSE)</f>
        <v>West</v>
      </c>
      <c r="Q381" t="s">
        <v>1082</v>
      </c>
      <c r="R381">
        <v>40</v>
      </c>
      <c r="S381" t="s">
        <v>1079</v>
      </c>
      <c r="T381">
        <f t="shared" si="36"/>
        <v>1</v>
      </c>
      <c r="U381">
        <v>16</v>
      </c>
      <c r="V381">
        <f t="shared" si="37"/>
        <v>8</v>
      </c>
      <c r="W381" t="s">
        <v>1087</v>
      </c>
      <c r="X381" t="s">
        <v>1091</v>
      </c>
      <c r="Y381">
        <f t="shared" si="38"/>
        <v>0</v>
      </c>
      <c r="Z381" t="s">
        <v>1108</v>
      </c>
      <c r="AA381" t="str">
        <f t="shared" si="39"/>
        <v>Medium</v>
      </c>
      <c r="AB381" t="s">
        <v>1104</v>
      </c>
      <c r="AC381" t="str">
        <f t="shared" si="40"/>
        <v>Yes</v>
      </c>
      <c r="AD381">
        <v>1</v>
      </c>
      <c r="AE381">
        <v>139112</v>
      </c>
      <c r="AF381">
        <v>55644.800000000003</v>
      </c>
      <c r="AG381">
        <f t="shared" si="41"/>
        <v>83451.199999999997</v>
      </c>
    </row>
    <row r="382" spans="1:33" x14ac:dyDescent="0.25">
      <c r="A382">
        <v>1381</v>
      </c>
      <c r="B382" s="1">
        <v>45319</v>
      </c>
      <c r="C382" s="1">
        <v>45322</v>
      </c>
      <c r="D382" s="1">
        <v>45324</v>
      </c>
      <c r="E382" t="s">
        <v>1066</v>
      </c>
      <c r="F382" t="s">
        <v>410</v>
      </c>
      <c r="G382" t="s">
        <v>1070</v>
      </c>
      <c r="H382" t="str">
        <f t="shared" si="35"/>
        <v>Furniture</v>
      </c>
      <c r="I382">
        <v>3</v>
      </c>
      <c r="J382" t="str">
        <f>VLOOKUP(K382,$AJ$2:$AK$7,2,FALSE)</f>
        <v>S001</v>
      </c>
      <c r="K382" t="s">
        <v>1097</v>
      </c>
      <c r="L382">
        <v>4</v>
      </c>
      <c r="M382" t="str">
        <f>IFERROR(VLOOKUP(TRIM(N382),$AP$2:$AQ$12,2,FALSE),"W001")</f>
        <v>W006</v>
      </c>
      <c r="N382" t="s">
        <v>1057</v>
      </c>
      <c r="O382" t="s">
        <v>1051</v>
      </c>
      <c r="P382" t="str">
        <f>VLOOKUP(O382,$AL$2:$AM$12,2,FALSE)</f>
        <v>West</v>
      </c>
      <c r="Q382" t="s">
        <v>1084</v>
      </c>
      <c r="R382">
        <v>1241</v>
      </c>
      <c r="S382" t="s">
        <v>1078</v>
      </c>
      <c r="T382">
        <f t="shared" si="36"/>
        <v>5</v>
      </c>
      <c r="U382">
        <v>372.3</v>
      </c>
      <c r="V382">
        <f t="shared" si="37"/>
        <v>6</v>
      </c>
      <c r="W382" t="s">
        <v>1087</v>
      </c>
      <c r="X382" t="s">
        <v>1091</v>
      </c>
      <c r="Y382">
        <f t="shared" si="38"/>
        <v>0</v>
      </c>
      <c r="Z382" t="s">
        <v>1108</v>
      </c>
      <c r="AA382" t="str">
        <f t="shared" si="39"/>
        <v>Low</v>
      </c>
      <c r="AB382" t="s">
        <v>1103</v>
      </c>
      <c r="AC382" t="str">
        <f t="shared" si="40"/>
        <v>Yes</v>
      </c>
      <c r="AD382">
        <v>4</v>
      </c>
      <c r="AE382">
        <v>19506</v>
      </c>
      <c r="AF382">
        <v>7802.4000000000005</v>
      </c>
      <c r="AG382">
        <f t="shared" si="41"/>
        <v>11331.3</v>
      </c>
    </row>
    <row r="383" spans="1:33" x14ac:dyDescent="0.25">
      <c r="A383">
        <v>1382</v>
      </c>
      <c r="B383" s="1">
        <v>45227</v>
      </c>
      <c r="C383" s="1">
        <v>45230</v>
      </c>
      <c r="D383" s="1">
        <v>45237</v>
      </c>
      <c r="E383" t="s">
        <v>1066</v>
      </c>
      <c r="F383" t="s">
        <v>411</v>
      </c>
      <c r="G383" t="s">
        <v>1069</v>
      </c>
      <c r="H383" t="str">
        <f t="shared" si="35"/>
        <v>Furniture</v>
      </c>
      <c r="I383">
        <v>7</v>
      </c>
      <c r="J383" t="str">
        <f>VLOOKUP(K383,$AJ$2:$AK$7,2,FALSE)</f>
        <v>S001</v>
      </c>
      <c r="K383" t="s">
        <v>1097</v>
      </c>
      <c r="L383">
        <v>3.9</v>
      </c>
      <c r="M383" t="str">
        <f>IFERROR(VLOOKUP(TRIM(N383),$AP$2:$AQ$12,2,FALSE),"W001")</f>
        <v>W010</v>
      </c>
      <c r="N383" t="s">
        <v>1063</v>
      </c>
      <c r="O383" t="s">
        <v>1049</v>
      </c>
      <c r="P383" t="str">
        <f>VLOOKUP(O383,$AL$2:$AM$12,2,FALSE)</f>
        <v>North</v>
      </c>
      <c r="Q383" t="s">
        <v>1083</v>
      </c>
      <c r="R383">
        <v>184</v>
      </c>
      <c r="S383" t="s">
        <v>1079</v>
      </c>
      <c r="T383">
        <f t="shared" si="36"/>
        <v>1</v>
      </c>
      <c r="U383">
        <v>92</v>
      </c>
      <c r="V383">
        <f t="shared" si="37"/>
        <v>10</v>
      </c>
      <c r="W383" t="s">
        <v>1087</v>
      </c>
      <c r="X383" t="s">
        <v>1091</v>
      </c>
      <c r="Y383">
        <f t="shared" si="38"/>
        <v>0</v>
      </c>
      <c r="Z383" t="s">
        <v>1108</v>
      </c>
      <c r="AA383" t="str">
        <f t="shared" si="39"/>
        <v>Medium</v>
      </c>
      <c r="AB383" t="s">
        <v>1103</v>
      </c>
      <c r="AC383" t="str">
        <f t="shared" si="40"/>
        <v>Yes</v>
      </c>
      <c r="AD383">
        <v>4</v>
      </c>
      <c r="AE383">
        <v>88235</v>
      </c>
      <c r="AF383">
        <v>35294</v>
      </c>
      <c r="AG383">
        <f t="shared" si="41"/>
        <v>52849</v>
      </c>
    </row>
    <row r="384" spans="1:33" x14ac:dyDescent="0.25">
      <c r="A384">
        <v>1383</v>
      </c>
      <c r="B384" s="1">
        <v>44831</v>
      </c>
      <c r="C384" s="1">
        <v>44832</v>
      </c>
      <c r="D384" s="1">
        <v>44834</v>
      </c>
      <c r="E384" t="s">
        <v>1065</v>
      </c>
      <c r="F384" t="s">
        <v>412</v>
      </c>
      <c r="G384" t="s">
        <v>1072</v>
      </c>
      <c r="H384" t="str">
        <f t="shared" si="35"/>
        <v>Electronics</v>
      </c>
      <c r="I384">
        <v>2</v>
      </c>
      <c r="J384" t="str">
        <f>VLOOKUP(K384,$AJ$2:$AK$7,2,FALSE)</f>
        <v>S004</v>
      </c>
      <c r="K384" t="s">
        <v>1100</v>
      </c>
      <c r="L384">
        <v>3.3</v>
      </c>
      <c r="M384" t="str">
        <f>IFERROR(VLOOKUP(TRIM(N384),$AP$2:$AQ$12,2,FALSE),"W001")</f>
        <v>W004</v>
      </c>
      <c r="N384" t="s">
        <v>1053</v>
      </c>
      <c r="O384" t="s">
        <v>1059</v>
      </c>
      <c r="P384" t="str">
        <f>VLOOKUP(O384,$AL$2:$AM$12,2,FALSE)</f>
        <v>North</v>
      </c>
      <c r="Q384" t="s">
        <v>1085</v>
      </c>
      <c r="R384">
        <v>1706</v>
      </c>
      <c r="S384" t="s">
        <v>1078</v>
      </c>
      <c r="T384">
        <f t="shared" si="36"/>
        <v>12</v>
      </c>
      <c r="U384">
        <v>170.6</v>
      </c>
      <c r="V384">
        <f t="shared" si="37"/>
        <v>3</v>
      </c>
      <c r="W384" t="s">
        <v>1087</v>
      </c>
      <c r="X384" t="s">
        <v>1090</v>
      </c>
      <c r="Y384">
        <f t="shared" si="38"/>
        <v>0</v>
      </c>
      <c r="Z384" t="s">
        <v>1108</v>
      </c>
      <c r="AA384" t="str">
        <f t="shared" si="39"/>
        <v>Low</v>
      </c>
      <c r="AB384" t="s">
        <v>1103</v>
      </c>
      <c r="AC384" t="str">
        <f t="shared" si="40"/>
        <v>Yes</v>
      </c>
      <c r="AD384">
        <v>5</v>
      </c>
      <c r="AE384">
        <v>43244</v>
      </c>
      <c r="AF384">
        <v>17297.600000000002</v>
      </c>
      <c r="AG384">
        <f t="shared" si="41"/>
        <v>25775.8</v>
      </c>
    </row>
    <row r="385" spans="1:33" x14ac:dyDescent="0.25">
      <c r="A385">
        <v>1384</v>
      </c>
      <c r="B385" s="1">
        <v>45652</v>
      </c>
      <c r="C385" s="1">
        <v>45655</v>
      </c>
      <c r="D385" s="1">
        <v>45659</v>
      </c>
      <c r="E385" t="s">
        <v>1064</v>
      </c>
      <c r="F385" t="s">
        <v>413</v>
      </c>
      <c r="G385" t="s">
        <v>1067</v>
      </c>
      <c r="H385" t="str">
        <f t="shared" si="35"/>
        <v>Clothing</v>
      </c>
      <c r="I385">
        <v>2</v>
      </c>
      <c r="J385" t="str">
        <f>VLOOKUP(K385,$AJ$2:$AK$7,2,FALSE)</f>
        <v>S005</v>
      </c>
      <c r="K385" t="s">
        <v>1101</v>
      </c>
      <c r="L385">
        <v>5</v>
      </c>
      <c r="M385" t="str">
        <f>IFERROR(VLOOKUP(TRIM(N385),$AP$2:$AQ$12,2,FALSE),"W001")</f>
        <v>W007</v>
      </c>
      <c r="N385" t="s">
        <v>1062</v>
      </c>
      <c r="O385" t="s">
        <v>1060</v>
      </c>
      <c r="P385" t="str">
        <f>VLOOKUP(O385,$AL$2:$AM$12,2,FALSE)</f>
        <v>North</v>
      </c>
      <c r="Q385" t="s">
        <v>1084</v>
      </c>
      <c r="R385">
        <v>1666</v>
      </c>
      <c r="S385" t="s">
        <v>1078</v>
      </c>
      <c r="T385">
        <f t="shared" si="36"/>
        <v>6</v>
      </c>
      <c r="U385">
        <v>499.8</v>
      </c>
      <c r="V385">
        <f t="shared" si="37"/>
        <v>6</v>
      </c>
      <c r="W385" t="s">
        <v>1087</v>
      </c>
      <c r="X385" t="s">
        <v>1091</v>
      </c>
      <c r="Y385">
        <f t="shared" si="38"/>
        <v>0</v>
      </c>
      <c r="Z385" t="s">
        <v>1109</v>
      </c>
      <c r="AA385" t="str">
        <f t="shared" si="39"/>
        <v>High</v>
      </c>
      <c r="AB385" t="s">
        <v>1103</v>
      </c>
      <c r="AC385" t="str">
        <f t="shared" si="40"/>
        <v>No</v>
      </c>
      <c r="AD385">
        <v>2</v>
      </c>
      <c r="AE385">
        <v>1536</v>
      </c>
      <c r="AF385">
        <v>614.40000000000009</v>
      </c>
      <c r="AG385">
        <f t="shared" si="41"/>
        <v>421.7999999999999</v>
      </c>
    </row>
    <row r="386" spans="1:33" x14ac:dyDescent="0.25">
      <c r="A386">
        <v>1385</v>
      </c>
      <c r="B386" s="1">
        <v>46078</v>
      </c>
      <c r="C386" s="1">
        <v>46081</v>
      </c>
      <c r="D386" s="1">
        <v>46083</v>
      </c>
      <c r="E386" t="s">
        <v>1065</v>
      </c>
      <c r="F386" t="s">
        <v>414</v>
      </c>
      <c r="G386" t="s">
        <v>1072</v>
      </c>
      <c r="H386" t="str">
        <f t="shared" si="35"/>
        <v>Electronics</v>
      </c>
      <c r="I386">
        <v>10</v>
      </c>
      <c r="J386" t="str">
        <f>VLOOKUP(K386,$AJ$2:$AK$7,2,FALSE)</f>
        <v>S001</v>
      </c>
      <c r="K386" t="s">
        <v>1097</v>
      </c>
      <c r="L386">
        <v>3.9</v>
      </c>
      <c r="M386" t="str">
        <f>IFERROR(VLOOKUP(TRIM(N386),$AP$2:$AQ$12,2,FALSE),"W001")</f>
        <v>W003</v>
      </c>
      <c r="N386" t="s">
        <v>1051</v>
      </c>
      <c r="O386" t="s">
        <v>1061</v>
      </c>
      <c r="P386" t="str">
        <f>VLOOKUP(O386,$AL$2:$AM$12,2,FALSE)</f>
        <v>West</v>
      </c>
      <c r="Q386" t="s">
        <v>1080</v>
      </c>
      <c r="R386">
        <v>371</v>
      </c>
      <c r="S386" t="s">
        <v>1066</v>
      </c>
      <c r="T386">
        <f t="shared" si="36"/>
        <v>3</v>
      </c>
      <c r="U386">
        <v>55.65</v>
      </c>
      <c r="V386">
        <f t="shared" si="37"/>
        <v>4</v>
      </c>
      <c r="W386" t="s">
        <v>1088</v>
      </c>
      <c r="X386" t="s">
        <v>1091</v>
      </c>
      <c r="Y386">
        <f t="shared" si="38"/>
        <v>0</v>
      </c>
      <c r="Z386" t="s">
        <v>1108</v>
      </c>
      <c r="AA386" t="str">
        <f t="shared" si="39"/>
        <v>Low</v>
      </c>
      <c r="AB386" t="s">
        <v>1103</v>
      </c>
      <c r="AC386" t="str">
        <f t="shared" si="40"/>
        <v>Yes</v>
      </c>
      <c r="AD386">
        <v>5</v>
      </c>
      <c r="AE386">
        <v>297780</v>
      </c>
      <c r="AF386">
        <v>119112</v>
      </c>
      <c r="AG386">
        <f t="shared" si="41"/>
        <v>178612.35</v>
      </c>
    </row>
    <row r="387" spans="1:33" x14ac:dyDescent="0.25">
      <c r="A387">
        <v>1386</v>
      </c>
      <c r="B387" s="1">
        <v>45287</v>
      </c>
      <c r="C387" s="1">
        <v>45290</v>
      </c>
      <c r="D387" s="1">
        <v>45297</v>
      </c>
      <c r="E387" t="s">
        <v>1065</v>
      </c>
      <c r="F387" t="s">
        <v>415</v>
      </c>
      <c r="G387" t="s">
        <v>1071</v>
      </c>
      <c r="H387" t="str">
        <f t="shared" ref="H387:H450" si="42">IF(OR(G387="Laptop",G387="Mobile"),"Electronics",
IF(OR(G387="T-Shirt",G387="Jeans"),"Clothing",
IF(OR(G387="Table",G387="Chair"),"Furniture","")))</f>
        <v>Clothing</v>
      </c>
      <c r="I387">
        <v>3</v>
      </c>
      <c r="J387" t="str">
        <f>VLOOKUP(K387,$AJ$2:$AK$7,2,FALSE)</f>
        <v>S003</v>
      </c>
      <c r="K387" t="s">
        <v>1099</v>
      </c>
      <c r="L387">
        <v>4</v>
      </c>
      <c r="M387" t="str">
        <f>IFERROR(VLOOKUP(TRIM(N387),$AP$2:$AQ$12,2,FALSE),"W001")</f>
        <v>W010</v>
      </c>
      <c r="N387" t="s">
        <v>1063</v>
      </c>
      <c r="O387" t="s">
        <v>1057</v>
      </c>
      <c r="P387" t="str">
        <f>VLOOKUP(O387,$AL$2:$AM$12,2,FALSE)</f>
        <v>South</v>
      </c>
      <c r="Q387" t="s">
        <v>1084</v>
      </c>
      <c r="R387">
        <v>1581</v>
      </c>
      <c r="S387" t="s">
        <v>1078</v>
      </c>
      <c r="T387">
        <f t="shared" ref="T387:T450" si="43">IF(Q387="Air",ROUND(R387/700,0)+1,
IF(Q387="Express",ROUND(R387/500,0)+1,
IF(Q387="Courier",ROUND(R387/350,0)+1,
IF(Q387="Road",ROUND(R387/250,0)+1,
IF(Q387="Rail",ROUND(R387/300,0)+2,
IF(Q387="Ship",ROUND(R387/200,0)+3,""))))))</f>
        <v>6</v>
      </c>
      <c r="U387">
        <v>474.3</v>
      </c>
      <c r="V387">
        <f t="shared" ref="V387:V450" si="44">IF(Q387="Road",5,
IF(Q387="Rail",4,
IF(Q387="Air",10,
IF(Q387="Ship",3,
IF(Q387="Courier",6,
IF(Q387="Express",8))))))</f>
        <v>6</v>
      </c>
      <c r="W387" t="s">
        <v>1087</v>
      </c>
      <c r="X387" t="s">
        <v>1091</v>
      </c>
      <c r="Y387">
        <f t="shared" ref="Y387:Y450" si="45">IF(W387="COD",U387,0)</f>
        <v>0</v>
      </c>
      <c r="Z387" t="s">
        <v>1109</v>
      </c>
      <c r="AA387" t="str">
        <f t="shared" ref="AA387:AA450" si="46">IF(Z387="Delayed","High",
IF(OR(Q387="Air",Q387="Express"),"Medium","Low"))</f>
        <v>High</v>
      </c>
      <c r="AB387" t="s">
        <v>1103</v>
      </c>
      <c r="AC387" t="str">
        <f t="shared" ref="AC387:AC450" si="47">IF(Z387="Delayed","No","Yes")</f>
        <v>No</v>
      </c>
      <c r="AD387">
        <v>2</v>
      </c>
      <c r="AE387">
        <v>8175</v>
      </c>
      <c r="AF387">
        <v>3270</v>
      </c>
      <c r="AG387">
        <f t="shared" ref="AG387:AG450" si="48">AE387 - AF387-U387</f>
        <v>4430.7</v>
      </c>
    </row>
    <row r="388" spans="1:33" x14ac:dyDescent="0.25">
      <c r="A388">
        <v>1387</v>
      </c>
      <c r="B388" s="1">
        <v>45298</v>
      </c>
      <c r="C388" s="1">
        <v>45301</v>
      </c>
      <c r="D388" s="1">
        <v>45306</v>
      </c>
      <c r="E388" t="s">
        <v>1065</v>
      </c>
      <c r="F388" t="s">
        <v>416</v>
      </c>
      <c r="G388" t="s">
        <v>1068</v>
      </c>
      <c r="H388" t="str">
        <f t="shared" si="42"/>
        <v>Electronics</v>
      </c>
      <c r="I388">
        <v>3</v>
      </c>
      <c r="J388" t="str">
        <f>VLOOKUP(K388,$AJ$2:$AK$7,2,FALSE)</f>
        <v>S003</v>
      </c>
      <c r="K388" t="s">
        <v>1099</v>
      </c>
      <c r="L388">
        <v>3.2</v>
      </c>
      <c r="M388" t="str">
        <f>IFERROR(VLOOKUP(TRIM(N388),$AP$2:$AQ$12,2,FALSE),"W001")</f>
        <v>W007</v>
      </c>
      <c r="N388" t="s">
        <v>1062</v>
      </c>
      <c r="O388" t="s">
        <v>1059</v>
      </c>
      <c r="P388" t="str">
        <f>VLOOKUP(O388,$AL$2:$AM$12,2,FALSE)</f>
        <v>North</v>
      </c>
      <c r="Q388" t="s">
        <v>1082</v>
      </c>
      <c r="R388">
        <v>1509</v>
      </c>
      <c r="S388" t="s">
        <v>1078</v>
      </c>
      <c r="T388">
        <f t="shared" si="43"/>
        <v>4</v>
      </c>
      <c r="U388">
        <v>603.6</v>
      </c>
      <c r="V388">
        <f t="shared" si="44"/>
        <v>8</v>
      </c>
      <c r="W388" t="s">
        <v>1087</v>
      </c>
      <c r="X388" t="s">
        <v>1091</v>
      </c>
      <c r="Y388">
        <f t="shared" si="45"/>
        <v>0</v>
      </c>
      <c r="Z388" t="s">
        <v>1109</v>
      </c>
      <c r="AA388" t="str">
        <f t="shared" si="46"/>
        <v>High</v>
      </c>
      <c r="AB388" t="s">
        <v>1103</v>
      </c>
      <c r="AC388" t="str">
        <f t="shared" si="47"/>
        <v>No</v>
      </c>
      <c r="AD388">
        <v>2</v>
      </c>
      <c r="AE388">
        <v>128589</v>
      </c>
      <c r="AF388">
        <v>51435.600000000006</v>
      </c>
      <c r="AG388">
        <f t="shared" si="48"/>
        <v>76549.799999999988</v>
      </c>
    </row>
    <row r="389" spans="1:33" x14ac:dyDescent="0.25">
      <c r="A389">
        <v>1388</v>
      </c>
      <c r="B389" s="1">
        <v>46219</v>
      </c>
      <c r="C389" s="1">
        <v>46220</v>
      </c>
      <c r="D389" s="1">
        <v>46225</v>
      </c>
      <c r="E389" t="s">
        <v>1064</v>
      </c>
      <c r="F389" t="s">
        <v>417</v>
      </c>
      <c r="G389" t="s">
        <v>1072</v>
      </c>
      <c r="H389" t="str">
        <f t="shared" si="42"/>
        <v>Electronics</v>
      </c>
      <c r="I389">
        <v>3</v>
      </c>
      <c r="J389" t="str">
        <f>VLOOKUP(K389,$AJ$2:$AK$7,2,FALSE)</f>
        <v>S005</v>
      </c>
      <c r="K389" t="s">
        <v>1101</v>
      </c>
      <c r="L389">
        <v>3.6</v>
      </c>
      <c r="M389" t="str">
        <f>IFERROR(VLOOKUP(TRIM(N389),$AP$2:$AQ$12,2,FALSE),"W001")</f>
        <v>W007</v>
      </c>
      <c r="N389" t="s">
        <v>1062</v>
      </c>
      <c r="O389" t="s">
        <v>1053</v>
      </c>
      <c r="P389" t="str">
        <f>VLOOKUP(O389,$AL$2:$AM$12,2,FALSE)</f>
        <v>South</v>
      </c>
      <c r="Q389" t="s">
        <v>1085</v>
      </c>
      <c r="R389">
        <v>412</v>
      </c>
      <c r="S389" t="s">
        <v>1066</v>
      </c>
      <c r="T389">
        <f t="shared" si="43"/>
        <v>5</v>
      </c>
      <c r="U389">
        <v>41.2</v>
      </c>
      <c r="V389">
        <f t="shared" si="44"/>
        <v>3</v>
      </c>
      <c r="W389" t="s">
        <v>1087</v>
      </c>
      <c r="X389" t="s">
        <v>1091</v>
      </c>
      <c r="Y389">
        <f t="shared" si="45"/>
        <v>0</v>
      </c>
      <c r="Z389" t="s">
        <v>1108</v>
      </c>
      <c r="AA389" t="str">
        <f t="shared" si="46"/>
        <v>Low</v>
      </c>
      <c r="AB389" t="s">
        <v>1103</v>
      </c>
      <c r="AC389" t="str">
        <f t="shared" si="47"/>
        <v>Yes</v>
      </c>
      <c r="AD389">
        <v>4</v>
      </c>
      <c r="AE389">
        <v>85764</v>
      </c>
      <c r="AF389">
        <v>34305.599999999999</v>
      </c>
      <c r="AG389">
        <f t="shared" si="48"/>
        <v>51417.200000000004</v>
      </c>
    </row>
    <row r="390" spans="1:33" x14ac:dyDescent="0.25">
      <c r="A390">
        <v>1389</v>
      </c>
      <c r="B390" s="1">
        <v>45584</v>
      </c>
      <c r="C390" s="1">
        <v>45585</v>
      </c>
      <c r="D390" s="1">
        <v>45587</v>
      </c>
      <c r="E390" t="s">
        <v>1064</v>
      </c>
      <c r="F390" t="s">
        <v>418</v>
      </c>
      <c r="G390" t="s">
        <v>1070</v>
      </c>
      <c r="H390" t="str">
        <f t="shared" si="42"/>
        <v>Furniture</v>
      </c>
      <c r="I390">
        <v>10</v>
      </c>
      <c r="J390" t="str">
        <f>VLOOKUP(K390,$AJ$2:$AK$7,2,FALSE)</f>
        <v>S004</v>
      </c>
      <c r="K390" t="s">
        <v>1100</v>
      </c>
      <c r="L390">
        <v>4.5999999999999996</v>
      </c>
      <c r="M390" t="str">
        <f>IFERROR(VLOOKUP(TRIM(N390),$AP$2:$AQ$12,2,FALSE),"W001")</f>
        <v>W002</v>
      </c>
      <c r="N390" t="s">
        <v>1049</v>
      </c>
      <c r="O390" t="s">
        <v>1063</v>
      </c>
      <c r="P390" t="str">
        <f>VLOOKUP(O390,$AL$2:$AM$12,2,FALSE)</f>
        <v>South</v>
      </c>
      <c r="Q390" t="s">
        <v>1083</v>
      </c>
      <c r="R390">
        <v>1083</v>
      </c>
      <c r="S390" t="s">
        <v>1078</v>
      </c>
      <c r="T390">
        <f t="shared" si="43"/>
        <v>3</v>
      </c>
      <c r="U390">
        <v>541.5</v>
      </c>
      <c r="V390">
        <f t="shared" si="44"/>
        <v>10</v>
      </c>
      <c r="W390" t="s">
        <v>1086</v>
      </c>
      <c r="X390" t="s">
        <v>1091</v>
      </c>
      <c r="Y390">
        <f t="shared" si="45"/>
        <v>541.5</v>
      </c>
      <c r="Z390" t="s">
        <v>1108</v>
      </c>
      <c r="AA390" t="str">
        <f t="shared" si="46"/>
        <v>Medium</v>
      </c>
      <c r="AB390" t="s">
        <v>1103</v>
      </c>
      <c r="AC390" t="str">
        <f t="shared" si="47"/>
        <v>Yes</v>
      </c>
      <c r="AD390">
        <v>4</v>
      </c>
      <c r="AE390">
        <v>34240</v>
      </c>
      <c r="AF390">
        <v>13696</v>
      </c>
      <c r="AG390">
        <f t="shared" si="48"/>
        <v>20002.5</v>
      </c>
    </row>
    <row r="391" spans="1:33" x14ac:dyDescent="0.25">
      <c r="A391">
        <v>1390</v>
      </c>
      <c r="B391" s="1">
        <v>44852</v>
      </c>
      <c r="C391" s="1">
        <v>44855</v>
      </c>
      <c r="D391" s="1">
        <v>44862</v>
      </c>
      <c r="E391" t="s">
        <v>1065</v>
      </c>
      <c r="F391" t="s">
        <v>419</v>
      </c>
      <c r="G391" t="s">
        <v>1070</v>
      </c>
      <c r="H391" t="str">
        <f t="shared" si="42"/>
        <v>Furniture</v>
      </c>
      <c r="I391">
        <v>6</v>
      </c>
      <c r="J391" t="str">
        <f>VLOOKUP(K391,$AJ$2:$AK$7,2,FALSE)</f>
        <v>S005</v>
      </c>
      <c r="K391" t="s">
        <v>1101</v>
      </c>
      <c r="L391">
        <v>4.3</v>
      </c>
      <c r="M391" t="str">
        <f>IFERROR(VLOOKUP(TRIM(N391),$AP$2:$AQ$12,2,FALSE),"W001")</f>
        <v>W010</v>
      </c>
      <c r="N391" t="s">
        <v>1063</v>
      </c>
      <c r="O391" t="s">
        <v>1057</v>
      </c>
      <c r="P391" t="str">
        <f>VLOOKUP(O391,$AL$2:$AM$12,2,FALSE)</f>
        <v>South</v>
      </c>
      <c r="Q391" t="s">
        <v>1083</v>
      </c>
      <c r="R391">
        <v>157</v>
      </c>
      <c r="S391" t="s">
        <v>1079</v>
      </c>
      <c r="T391">
        <f t="shared" si="43"/>
        <v>1</v>
      </c>
      <c r="U391">
        <v>78.5</v>
      </c>
      <c r="V391">
        <f t="shared" si="44"/>
        <v>10</v>
      </c>
      <c r="W391" t="s">
        <v>1086</v>
      </c>
      <c r="X391" t="s">
        <v>1089</v>
      </c>
      <c r="Y391">
        <f t="shared" si="45"/>
        <v>78.5</v>
      </c>
      <c r="Z391" t="s">
        <v>1108</v>
      </c>
      <c r="AA391" t="str">
        <f t="shared" si="46"/>
        <v>Medium</v>
      </c>
      <c r="AB391" t="s">
        <v>1103</v>
      </c>
      <c r="AC391" t="str">
        <f t="shared" si="47"/>
        <v>Yes</v>
      </c>
      <c r="AD391">
        <v>5</v>
      </c>
      <c r="AE391">
        <v>35838</v>
      </c>
      <c r="AF391">
        <v>14335.2</v>
      </c>
      <c r="AG391">
        <f t="shared" si="48"/>
        <v>21424.3</v>
      </c>
    </row>
    <row r="392" spans="1:33" x14ac:dyDescent="0.25">
      <c r="A392">
        <v>1391</v>
      </c>
      <c r="B392" s="1">
        <v>44787</v>
      </c>
      <c r="C392" s="1">
        <v>44788</v>
      </c>
      <c r="D392" s="1">
        <v>44790</v>
      </c>
      <c r="E392" t="s">
        <v>1064</v>
      </c>
      <c r="F392" t="s">
        <v>420</v>
      </c>
      <c r="G392" t="s">
        <v>1068</v>
      </c>
      <c r="H392" t="str">
        <f t="shared" si="42"/>
        <v>Electronics</v>
      </c>
      <c r="I392">
        <v>5</v>
      </c>
      <c r="J392" t="str">
        <f>VLOOKUP(K392,$AJ$2:$AK$7,2,FALSE)</f>
        <v>S001</v>
      </c>
      <c r="K392" t="s">
        <v>1097</v>
      </c>
      <c r="L392">
        <v>4.9000000000000004</v>
      </c>
      <c r="M392" t="str">
        <f>IFERROR(VLOOKUP(TRIM(N392),$AP$2:$AQ$12,2,FALSE),"W001")</f>
        <v>W002</v>
      </c>
      <c r="N392" t="s">
        <v>1049</v>
      </c>
      <c r="O392" t="s">
        <v>1061</v>
      </c>
      <c r="P392" t="str">
        <f>VLOOKUP(O392,$AL$2:$AM$12,2,FALSE)</f>
        <v>West</v>
      </c>
      <c r="Q392" t="s">
        <v>1081</v>
      </c>
      <c r="R392">
        <v>1235</v>
      </c>
      <c r="S392" t="s">
        <v>1078</v>
      </c>
      <c r="T392">
        <f t="shared" si="43"/>
        <v>6</v>
      </c>
      <c r="U392">
        <v>247</v>
      </c>
      <c r="V392">
        <f t="shared" si="44"/>
        <v>5</v>
      </c>
      <c r="W392" t="s">
        <v>1088</v>
      </c>
      <c r="X392" t="s">
        <v>1091</v>
      </c>
      <c r="Y392">
        <f t="shared" si="45"/>
        <v>0</v>
      </c>
      <c r="Z392" t="s">
        <v>1108</v>
      </c>
      <c r="AA392" t="str">
        <f t="shared" si="46"/>
        <v>Low</v>
      </c>
      <c r="AB392" t="s">
        <v>1103</v>
      </c>
      <c r="AC392" t="str">
        <f t="shared" si="47"/>
        <v>Yes</v>
      </c>
      <c r="AD392">
        <v>5</v>
      </c>
      <c r="AE392">
        <v>225125</v>
      </c>
      <c r="AF392">
        <v>90050</v>
      </c>
      <c r="AG392">
        <f t="shared" si="48"/>
        <v>134828</v>
      </c>
    </row>
    <row r="393" spans="1:33" x14ac:dyDescent="0.25">
      <c r="A393">
        <v>1392</v>
      </c>
      <c r="B393" s="1">
        <v>44731</v>
      </c>
      <c r="C393" s="1">
        <v>44733</v>
      </c>
      <c r="D393" s="1">
        <v>44740</v>
      </c>
      <c r="E393" t="s">
        <v>1064</v>
      </c>
      <c r="F393" t="s">
        <v>421</v>
      </c>
      <c r="G393" t="s">
        <v>1072</v>
      </c>
      <c r="H393" t="str">
        <f t="shared" si="42"/>
        <v>Electronics</v>
      </c>
      <c r="I393">
        <v>9</v>
      </c>
      <c r="J393" t="str">
        <f>VLOOKUP(K393,$AJ$2:$AK$7,2,FALSE)</f>
        <v>S005</v>
      </c>
      <c r="K393" t="s">
        <v>1101</v>
      </c>
      <c r="L393">
        <v>3.3</v>
      </c>
      <c r="M393" t="str">
        <f>IFERROR(VLOOKUP(TRIM(N393),$AP$2:$AQ$12,2,FALSE),"W001")</f>
        <v>W004</v>
      </c>
      <c r="N393" t="s">
        <v>1053</v>
      </c>
      <c r="O393" t="s">
        <v>1059</v>
      </c>
      <c r="P393" t="str">
        <f>VLOOKUP(O393,$AL$2:$AM$12,2,FALSE)</f>
        <v>North</v>
      </c>
      <c r="Q393" t="s">
        <v>1081</v>
      </c>
      <c r="R393">
        <v>143</v>
      </c>
      <c r="S393" t="s">
        <v>1079</v>
      </c>
      <c r="T393">
        <f t="shared" si="43"/>
        <v>2</v>
      </c>
      <c r="U393">
        <v>28.6</v>
      </c>
      <c r="V393">
        <f t="shared" si="44"/>
        <v>5</v>
      </c>
      <c r="W393" t="s">
        <v>1087</v>
      </c>
      <c r="X393" t="s">
        <v>1089</v>
      </c>
      <c r="Y393">
        <f t="shared" si="45"/>
        <v>0</v>
      </c>
      <c r="Z393" t="s">
        <v>1108</v>
      </c>
      <c r="AA393" t="str">
        <f t="shared" si="46"/>
        <v>Low</v>
      </c>
      <c r="AB393" t="s">
        <v>1103</v>
      </c>
      <c r="AC393" t="str">
        <f t="shared" si="47"/>
        <v>Yes</v>
      </c>
      <c r="AD393">
        <v>5</v>
      </c>
      <c r="AE393">
        <v>193455</v>
      </c>
      <c r="AF393">
        <v>77382</v>
      </c>
      <c r="AG393">
        <f t="shared" si="48"/>
        <v>116044.4</v>
      </c>
    </row>
    <row r="394" spans="1:33" x14ac:dyDescent="0.25">
      <c r="A394">
        <v>1393</v>
      </c>
      <c r="B394" s="1">
        <v>45677</v>
      </c>
      <c r="C394" s="1">
        <v>45678</v>
      </c>
      <c r="D394" s="1">
        <v>45685</v>
      </c>
      <c r="E394" t="s">
        <v>1065</v>
      </c>
      <c r="F394" t="s">
        <v>422</v>
      </c>
      <c r="G394" t="s">
        <v>1067</v>
      </c>
      <c r="H394" t="str">
        <f t="shared" si="42"/>
        <v>Clothing</v>
      </c>
      <c r="I394">
        <v>6</v>
      </c>
      <c r="J394" t="str">
        <f>VLOOKUP(K394,$AJ$2:$AK$7,2,FALSE)</f>
        <v>S006</v>
      </c>
      <c r="K394" t="s">
        <v>1102</v>
      </c>
      <c r="L394">
        <v>3.8</v>
      </c>
      <c r="M394" t="str">
        <f>IFERROR(VLOOKUP(TRIM(N394),$AP$2:$AQ$12,2,FALSE),"W001")</f>
        <v>W006</v>
      </c>
      <c r="N394" t="s">
        <v>1057</v>
      </c>
      <c r="O394" t="s">
        <v>1063</v>
      </c>
      <c r="P394" t="str">
        <f>VLOOKUP(O394,$AL$2:$AM$12,2,FALSE)</f>
        <v>South</v>
      </c>
      <c r="Q394" t="s">
        <v>1085</v>
      </c>
      <c r="R394">
        <v>1034</v>
      </c>
      <c r="S394" t="s">
        <v>1078</v>
      </c>
      <c r="T394">
        <f t="shared" si="43"/>
        <v>8</v>
      </c>
      <c r="U394">
        <v>103.4</v>
      </c>
      <c r="V394">
        <f t="shared" si="44"/>
        <v>3</v>
      </c>
      <c r="W394" t="s">
        <v>1088</v>
      </c>
      <c r="X394" t="s">
        <v>1091</v>
      </c>
      <c r="Y394">
        <f t="shared" si="45"/>
        <v>0</v>
      </c>
      <c r="Z394" t="s">
        <v>1108</v>
      </c>
      <c r="AA394" t="str">
        <f t="shared" si="46"/>
        <v>Low</v>
      </c>
      <c r="AB394" t="s">
        <v>1103</v>
      </c>
      <c r="AC394" t="str">
        <f t="shared" si="47"/>
        <v>Yes</v>
      </c>
      <c r="AD394">
        <v>4</v>
      </c>
      <c r="AE394">
        <v>3690</v>
      </c>
      <c r="AF394">
        <v>1476</v>
      </c>
      <c r="AG394">
        <f t="shared" si="48"/>
        <v>2110.6</v>
      </c>
    </row>
    <row r="395" spans="1:33" x14ac:dyDescent="0.25">
      <c r="A395">
        <v>1394</v>
      </c>
      <c r="B395" s="1">
        <v>44754</v>
      </c>
      <c r="C395" s="1">
        <v>44755</v>
      </c>
      <c r="D395" s="1">
        <v>44758</v>
      </c>
      <c r="E395" t="s">
        <v>1065</v>
      </c>
      <c r="F395" t="s">
        <v>423</v>
      </c>
      <c r="G395" t="s">
        <v>1070</v>
      </c>
      <c r="H395" t="str">
        <f t="shared" si="42"/>
        <v>Furniture</v>
      </c>
      <c r="I395">
        <v>5</v>
      </c>
      <c r="J395" t="str">
        <f>VLOOKUP(K395,$AJ$2:$AK$7,2,FALSE)</f>
        <v>S003</v>
      </c>
      <c r="K395" t="s">
        <v>1099</v>
      </c>
      <c r="L395">
        <v>4.4000000000000004</v>
      </c>
      <c r="M395" t="str">
        <f>IFERROR(VLOOKUP(TRIM(N395),$AP$2:$AQ$12,2,FALSE),"W001")</f>
        <v>W001</v>
      </c>
      <c r="N395" t="s">
        <v>1047</v>
      </c>
      <c r="O395" t="s">
        <v>1051</v>
      </c>
      <c r="P395" t="str">
        <f>VLOOKUP(O395,$AL$2:$AM$12,2,FALSE)</f>
        <v>West</v>
      </c>
      <c r="Q395" t="s">
        <v>1080</v>
      </c>
      <c r="R395">
        <v>868</v>
      </c>
      <c r="S395" t="s">
        <v>1078</v>
      </c>
      <c r="T395">
        <f t="shared" si="43"/>
        <v>5</v>
      </c>
      <c r="U395">
        <v>130.19999999999999</v>
      </c>
      <c r="V395">
        <f t="shared" si="44"/>
        <v>4</v>
      </c>
      <c r="W395" t="s">
        <v>1088</v>
      </c>
      <c r="X395" t="s">
        <v>1091</v>
      </c>
      <c r="Y395">
        <f t="shared" si="45"/>
        <v>0</v>
      </c>
      <c r="Z395" t="s">
        <v>1108</v>
      </c>
      <c r="AA395" t="str">
        <f t="shared" si="46"/>
        <v>Low</v>
      </c>
      <c r="AB395" t="s">
        <v>1103</v>
      </c>
      <c r="AC395" t="str">
        <f t="shared" si="47"/>
        <v>Yes</v>
      </c>
      <c r="AD395">
        <v>5</v>
      </c>
      <c r="AE395">
        <v>14425</v>
      </c>
      <c r="AF395">
        <v>5770</v>
      </c>
      <c r="AG395">
        <f t="shared" si="48"/>
        <v>8524.7999999999993</v>
      </c>
    </row>
    <row r="396" spans="1:33" x14ac:dyDescent="0.25">
      <c r="A396">
        <v>1395</v>
      </c>
      <c r="B396" s="1">
        <v>46300</v>
      </c>
      <c r="C396" s="1">
        <v>46301</v>
      </c>
      <c r="D396" s="1">
        <v>46308</v>
      </c>
      <c r="E396" t="s">
        <v>1064</v>
      </c>
      <c r="F396" t="s">
        <v>424</v>
      </c>
      <c r="G396" t="s">
        <v>1072</v>
      </c>
      <c r="H396" t="str">
        <f t="shared" si="42"/>
        <v>Electronics</v>
      </c>
      <c r="I396">
        <v>5</v>
      </c>
      <c r="J396" t="str">
        <f>VLOOKUP(K396,$AJ$2:$AK$7,2,FALSE)</f>
        <v>S004</v>
      </c>
      <c r="K396" t="s">
        <v>1100</v>
      </c>
      <c r="L396">
        <v>3.8</v>
      </c>
      <c r="M396" t="str">
        <f>IFERROR(VLOOKUP(TRIM(N396),$AP$2:$AQ$12,2,FALSE),"W001")</f>
        <v>W003</v>
      </c>
      <c r="N396" t="s">
        <v>1051</v>
      </c>
      <c r="O396" t="s">
        <v>1061</v>
      </c>
      <c r="P396" t="str">
        <f>VLOOKUP(O396,$AL$2:$AM$12,2,FALSE)</f>
        <v>West</v>
      </c>
      <c r="Q396" t="s">
        <v>1080</v>
      </c>
      <c r="R396">
        <v>1665</v>
      </c>
      <c r="S396" t="s">
        <v>1078</v>
      </c>
      <c r="T396">
        <f t="shared" si="43"/>
        <v>8</v>
      </c>
      <c r="U396">
        <v>249.75</v>
      </c>
      <c r="V396">
        <f t="shared" si="44"/>
        <v>4</v>
      </c>
      <c r="W396" t="s">
        <v>1088</v>
      </c>
      <c r="X396" t="s">
        <v>1091</v>
      </c>
      <c r="Y396">
        <f t="shared" si="45"/>
        <v>0</v>
      </c>
      <c r="Z396" t="s">
        <v>1108</v>
      </c>
      <c r="AA396" t="str">
        <f t="shared" si="46"/>
        <v>Low</v>
      </c>
      <c r="AB396" t="s">
        <v>1103</v>
      </c>
      <c r="AC396" t="str">
        <f t="shared" si="47"/>
        <v>Yes</v>
      </c>
      <c r="AD396">
        <v>5</v>
      </c>
      <c r="AE396">
        <v>126210</v>
      </c>
      <c r="AF396">
        <v>50484</v>
      </c>
      <c r="AG396">
        <f t="shared" si="48"/>
        <v>75476.25</v>
      </c>
    </row>
    <row r="397" spans="1:33" x14ac:dyDescent="0.25">
      <c r="A397">
        <v>1396</v>
      </c>
      <c r="B397" s="1">
        <v>44740</v>
      </c>
      <c r="C397" s="1">
        <v>44741</v>
      </c>
      <c r="D397" s="1">
        <v>44744</v>
      </c>
      <c r="E397" t="s">
        <v>1066</v>
      </c>
      <c r="F397" t="s">
        <v>425</v>
      </c>
      <c r="G397" t="s">
        <v>1069</v>
      </c>
      <c r="H397" t="str">
        <f t="shared" si="42"/>
        <v>Furniture</v>
      </c>
      <c r="I397">
        <v>4</v>
      </c>
      <c r="J397" t="str">
        <f>VLOOKUP(K397,$AJ$2:$AK$7,2,FALSE)</f>
        <v>S002</v>
      </c>
      <c r="K397" t="s">
        <v>1098</v>
      </c>
      <c r="L397">
        <v>3.8</v>
      </c>
      <c r="M397" t="str">
        <f>IFERROR(VLOOKUP(TRIM(N397),$AP$2:$AQ$12,2,FALSE),"W001")</f>
        <v>W005</v>
      </c>
      <c r="N397" t="s">
        <v>1055</v>
      </c>
      <c r="O397" t="s">
        <v>1047</v>
      </c>
      <c r="P397" t="str">
        <f>VLOOKUP(O397,$AL$2:$AM$12,2,FALSE)</f>
        <v>West</v>
      </c>
      <c r="Q397" t="s">
        <v>1080</v>
      </c>
      <c r="R397">
        <v>933</v>
      </c>
      <c r="S397" t="s">
        <v>1078</v>
      </c>
      <c r="T397">
        <f t="shared" si="43"/>
        <v>5</v>
      </c>
      <c r="U397">
        <v>139.94999999999999</v>
      </c>
      <c r="V397">
        <f t="shared" si="44"/>
        <v>4</v>
      </c>
      <c r="W397" t="s">
        <v>1087</v>
      </c>
      <c r="X397" t="s">
        <v>1091</v>
      </c>
      <c r="Y397">
        <f t="shared" si="45"/>
        <v>0</v>
      </c>
      <c r="Z397" t="s">
        <v>1108</v>
      </c>
      <c r="AA397" t="str">
        <f t="shared" si="46"/>
        <v>Low</v>
      </c>
      <c r="AB397" t="s">
        <v>1103</v>
      </c>
      <c r="AC397" t="str">
        <f t="shared" si="47"/>
        <v>Yes</v>
      </c>
      <c r="AD397">
        <v>4</v>
      </c>
      <c r="AE397">
        <v>31592</v>
      </c>
      <c r="AF397">
        <v>12636.800000000001</v>
      </c>
      <c r="AG397">
        <f t="shared" si="48"/>
        <v>18815.249999999996</v>
      </c>
    </row>
    <row r="398" spans="1:33" x14ac:dyDescent="0.25">
      <c r="A398">
        <v>1397</v>
      </c>
      <c r="B398" s="1">
        <v>45407</v>
      </c>
      <c r="C398" s="1">
        <v>45410</v>
      </c>
      <c r="D398" s="1">
        <v>45414</v>
      </c>
      <c r="E398" t="s">
        <v>1065</v>
      </c>
      <c r="F398" t="s">
        <v>426</v>
      </c>
      <c r="G398" t="s">
        <v>1071</v>
      </c>
      <c r="H398" t="str">
        <f t="shared" si="42"/>
        <v>Clothing</v>
      </c>
      <c r="I398">
        <v>10</v>
      </c>
      <c r="J398" t="str">
        <f>VLOOKUP(K398,$AJ$2:$AK$7,2,FALSE)</f>
        <v>S004</v>
      </c>
      <c r="K398" t="s">
        <v>1100</v>
      </c>
      <c r="L398">
        <v>5</v>
      </c>
      <c r="M398" t="str">
        <f>IFERROR(VLOOKUP(TRIM(N398),$AP$2:$AQ$12,2,FALSE),"W001")</f>
        <v>W005</v>
      </c>
      <c r="N398" t="s">
        <v>1055</v>
      </c>
      <c r="O398" t="s">
        <v>1057</v>
      </c>
      <c r="P398" t="str">
        <f>VLOOKUP(O398,$AL$2:$AM$12,2,FALSE)</f>
        <v>South</v>
      </c>
      <c r="Q398" t="s">
        <v>1084</v>
      </c>
      <c r="R398">
        <v>1033</v>
      </c>
      <c r="S398" t="s">
        <v>1078</v>
      </c>
      <c r="T398">
        <f t="shared" si="43"/>
        <v>4</v>
      </c>
      <c r="U398">
        <v>309.89999999999998</v>
      </c>
      <c r="V398">
        <f t="shared" si="44"/>
        <v>6</v>
      </c>
      <c r="W398" t="s">
        <v>1088</v>
      </c>
      <c r="X398" t="s">
        <v>1091</v>
      </c>
      <c r="Y398">
        <f t="shared" si="45"/>
        <v>0</v>
      </c>
      <c r="Z398" t="s">
        <v>1108</v>
      </c>
      <c r="AA398" t="str">
        <f t="shared" si="46"/>
        <v>Low</v>
      </c>
      <c r="AB398" t="s">
        <v>1103</v>
      </c>
      <c r="AC398" t="str">
        <f t="shared" si="47"/>
        <v>Yes</v>
      </c>
      <c r="AD398">
        <v>4</v>
      </c>
      <c r="AE398">
        <v>28710</v>
      </c>
      <c r="AF398">
        <v>11484</v>
      </c>
      <c r="AG398">
        <f t="shared" si="48"/>
        <v>16916.099999999999</v>
      </c>
    </row>
    <row r="399" spans="1:33" x14ac:dyDescent="0.25">
      <c r="A399">
        <v>1398</v>
      </c>
      <c r="B399" s="1">
        <v>46130</v>
      </c>
      <c r="C399" s="1">
        <v>46133</v>
      </c>
      <c r="D399" s="1">
        <v>46139</v>
      </c>
      <c r="E399" t="s">
        <v>1065</v>
      </c>
      <c r="F399" t="s">
        <v>427</v>
      </c>
      <c r="G399" t="s">
        <v>1068</v>
      </c>
      <c r="H399" t="str">
        <f t="shared" si="42"/>
        <v>Electronics</v>
      </c>
      <c r="I399">
        <v>8</v>
      </c>
      <c r="J399" t="str">
        <f>VLOOKUP(K399,$AJ$2:$AK$7,2,FALSE)</f>
        <v>S003</v>
      </c>
      <c r="K399" t="s">
        <v>1099</v>
      </c>
      <c r="L399">
        <v>4.4000000000000004</v>
      </c>
      <c r="M399" t="str">
        <f>IFERROR(VLOOKUP(TRIM(N399),$AP$2:$AQ$12,2,FALSE),"W001")</f>
        <v>W006</v>
      </c>
      <c r="N399" t="s">
        <v>1057</v>
      </c>
      <c r="O399" t="s">
        <v>1049</v>
      </c>
      <c r="P399" t="str">
        <f>VLOOKUP(O399,$AL$2:$AM$12,2,FALSE)</f>
        <v>North</v>
      </c>
      <c r="Q399" t="s">
        <v>1080</v>
      </c>
      <c r="R399">
        <v>810</v>
      </c>
      <c r="S399" t="s">
        <v>1078</v>
      </c>
      <c r="T399">
        <f t="shared" si="43"/>
        <v>5</v>
      </c>
      <c r="U399">
        <v>121.5</v>
      </c>
      <c r="V399">
        <f t="shared" si="44"/>
        <v>4</v>
      </c>
      <c r="W399" t="s">
        <v>1087</v>
      </c>
      <c r="X399" t="s">
        <v>1089</v>
      </c>
      <c r="Y399">
        <f t="shared" si="45"/>
        <v>0</v>
      </c>
      <c r="Z399" t="s">
        <v>1108</v>
      </c>
      <c r="AA399" t="str">
        <f t="shared" si="46"/>
        <v>Low</v>
      </c>
      <c r="AB399" t="s">
        <v>1103</v>
      </c>
      <c r="AC399" t="str">
        <f t="shared" si="47"/>
        <v>Yes</v>
      </c>
      <c r="AD399">
        <v>5</v>
      </c>
      <c r="AE399">
        <v>492520</v>
      </c>
      <c r="AF399">
        <v>197008</v>
      </c>
      <c r="AG399">
        <f t="shared" si="48"/>
        <v>295390.5</v>
      </c>
    </row>
    <row r="400" spans="1:33" x14ac:dyDescent="0.25">
      <c r="A400">
        <v>1399</v>
      </c>
      <c r="B400" s="1">
        <v>46019</v>
      </c>
      <c r="C400" s="1">
        <v>46022</v>
      </c>
      <c r="D400" s="1">
        <v>46025</v>
      </c>
      <c r="E400" t="s">
        <v>1064</v>
      </c>
      <c r="F400" t="s">
        <v>428</v>
      </c>
      <c r="G400" t="s">
        <v>1071</v>
      </c>
      <c r="H400" t="str">
        <f t="shared" si="42"/>
        <v>Clothing</v>
      </c>
      <c r="I400">
        <v>5</v>
      </c>
      <c r="J400" t="str">
        <f>VLOOKUP(K400,$AJ$2:$AK$7,2,FALSE)</f>
        <v>S006</v>
      </c>
      <c r="K400" t="s">
        <v>1102</v>
      </c>
      <c r="L400">
        <v>3.1</v>
      </c>
      <c r="M400" t="str">
        <f>IFERROR(VLOOKUP(TRIM(N400),$AP$2:$AQ$12,2,FALSE),"W001")</f>
        <v>W001</v>
      </c>
      <c r="N400" t="s">
        <v>1047</v>
      </c>
      <c r="O400" t="s">
        <v>1057</v>
      </c>
      <c r="P400" t="str">
        <f>VLOOKUP(O400,$AL$2:$AM$12,2,FALSE)</f>
        <v>South</v>
      </c>
      <c r="Q400" t="s">
        <v>1080</v>
      </c>
      <c r="R400">
        <v>1242</v>
      </c>
      <c r="S400" t="s">
        <v>1078</v>
      </c>
      <c r="T400">
        <f t="shared" si="43"/>
        <v>6</v>
      </c>
      <c r="U400">
        <v>186.3</v>
      </c>
      <c r="V400">
        <f t="shared" si="44"/>
        <v>4</v>
      </c>
      <c r="W400" t="s">
        <v>1087</v>
      </c>
      <c r="X400" t="s">
        <v>1091</v>
      </c>
      <c r="Y400">
        <f t="shared" si="45"/>
        <v>0</v>
      </c>
      <c r="Z400" t="s">
        <v>1108</v>
      </c>
      <c r="AA400" t="str">
        <f t="shared" si="46"/>
        <v>Low</v>
      </c>
      <c r="AB400" t="s">
        <v>1103</v>
      </c>
      <c r="AC400" t="str">
        <f t="shared" si="47"/>
        <v>Yes</v>
      </c>
      <c r="AD400">
        <v>5</v>
      </c>
      <c r="AE400">
        <v>12165</v>
      </c>
      <c r="AF400">
        <v>4866</v>
      </c>
      <c r="AG400">
        <f t="shared" si="48"/>
        <v>7112.7</v>
      </c>
    </row>
    <row r="401" spans="1:33" x14ac:dyDescent="0.25">
      <c r="A401">
        <v>1400</v>
      </c>
      <c r="B401" s="1">
        <v>45411</v>
      </c>
      <c r="C401" s="1">
        <v>45413</v>
      </c>
      <c r="D401" s="1">
        <v>45420</v>
      </c>
      <c r="E401" t="s">
        <v>1065</v>
      </c>
      <c r="F401" t="s">
        <v>429</v>
      </c>
      <c r="G401" t="s">
        <v>1069</v>
      </c>
      <c r="H401" t="str">
        <f t="shared" si="42"/>
        <v>Furniture</v>
      </c>
      <c r="I401">
        <v>1</v>
      </c>
      <c r="J401" t="str">
        <f>VLOOKUP(K401,$AJ$2:$AK$7,2,FALSE)</f>
        <v>S006</v>
      </c>
      <c r="K401" t="s">
        <v>1102</v>
      </c>
      <c r="L401">
        <v>3</v>
      </c>
      <c r="M401" t="str">
        <f>IFERROR(VLOOKUP(TRIM(N401),$AP$2:$AQ$12,2,FALSE),"W001")</f>
        <v>W007</v>
      </c>
      <c r="N401" t="s">
        <v>1062</v>
      </c>
      <c r="O401" t="s">
        <v>1055</v>
      </c>
      <c r="P401" t="str">
        <f>VLOOKUP(O401,$AL$2:$AM$12,2,FALSE)</f>
        <v>South</v>
      </c>
      <c r="Q401" t="s">
        <v>1084</v>
      </c>
      <c r="R401">
        <v>1603</v>
      </c>
      <c r="S401" t="s">
        <v>1078</v>
      </c>
      <c r="T401">
        <f t="shared" si="43"/>
        <v>6</v>
      </c>
      <c r="U401">
        <v>480.9</v>
      </c>
      <c r="V401">
        <f t="shared" si="44"/>
        <v>6</v>
      </c>
      <c r="W401" t="s">
        <v>1086</v>
      </c>
      <c r="X401" t="s">
        <v>1091</v>
      </c>
      <c r="Y401">
        <f t="shared" si="45"/>
        <v>480.9</v>
      </c>
      <c r="Z401" t="s">
        <v>1109</v>
      </c>
      <c r="AA401" t="str">
        <f t="shared" si="46"/>
        <v>High</v>
      </c>
      <c r="AB401" t="s">
        <v>1104</v>
      </c>
      <c r="AC401" t="str">
        <f t="shared" si="47"/>
        <v>No</v>
      </c>
      <c r="AD401">
        <v>1</v>
      </c>
      <c r="AE401">
        <v>12164</v>
      </c>
      <c r="AF401">
        <v>4865.6000000000004</v>
      </c>
      <c r="AG401">
        <f t="shared" si="48"/>
        <v>6817.5</v>
      </c>
    </row>
    <row r="402" spans="1:33" x14ac:dyDescent="0.25">
      <c r="A402">
        <v>1401</v>
      </c>
      <c r="B402" s="1">
        <v>44261</v>
      </c>
      <c r="C402" s="1">
        <v>44263</v>
      </c>
      <c r="D402" s="1">
        <v>44268</v>
      </c>
      <c r="E402" t="s">
        <v>1065</v>
      </c>
      <c r="F402" t="s">
        <v>430</v>
      </c>
      <c r="G402" t="s">
        <v>1068</v>
      </c>
      <c r="H402" t="str">
        <f t="shared" si="42"/>
        <v>Electronics</v>
      </c>
      <c r="I402">
        <v>1</v>
      </c>
      <c r="J402" t="str">
        <f>VLOOKUP(K402,$AJ$2:$AK$7,2,FALSE)</f>
        <v>S003</v>
      </c>
      <c r="K402" t="s">
        <v>1099</v>
      </c>
      <c r="L402">
        <v>3.2</v>
      </c>
      <c r="M402" t="str">
        <f>IFERROR(VLOOKUP(TRIM(N402),$AP$2:$AQ$12,2,FALSE),"W001")</f>
        <v>W010</v>
      </c>
      <c r="N402" t="s">
        <v>1063</v>
      </c>
      <c r="O402" t="s">
        <v>1062</v>
      </c>
      <c r="P402" t="str">
        <f>VLOOKUP(O402,$AL$2:$AM$12,2,FALSE)</f>
        <v>North</v>
      </c>
      <c r="Q402" t="s">
        <v>1082</v>
      </c>
      <c r="R402">
        <v>1716</v>
      </c>
      <c r="S402" t="s">
        <v>1078</v>
      </c>
      <c r="T402">
        <f t="shared" si="43"/>
        <v>4</v>
      </c>
      <c r="U402">
        <v>686.4</v>
      </c>
      <c r="V402">
        <f t="shared" si="44"/>
        <v>8</v>
      </c>
      <c r="W402" t="s">
        <v>1088</v>
      </c>
      <c r="X402" t="s">
        <v>1089</v>
      </c>
      <c r="Y402">
        <f t="shared" si="45"/>
        <v>0</v>
      </c>
      <c r="Z402" t="s">
        <v>1109</v>
      </c>
      <c r="AA402" t="str">
        <f t="shared" si="46"/>
        <v>High</v>
      </c>
      <c r="AB402" t="s">
        <v>1103</v>
      </c>
      <c r="AC402" t="str">
        <f t="shared" si="47"/>
        <v>No</v>
      </c>
      <c r="AD402">
        <v>3</v>
      </c>
      <c r="AE402">
        <v>51445</v>
      </c>
      <c r="AF402">
        <v>20578</v>
      </c>
      <c r="AG402">
        <f t="shared" si="48"/>
        <v>30180.6</v>
      </c>
    </row>
    <row r="403" spans="1:33" x14ac:dyDescent="0.25">
      <c r="A403">
        <v>1402</v>
      </c>
      <c r="B403" s="1">
        <v>44325</v>
      </c>
      <c r="C403" s="1">
        <v>44326</v>
      </c>
      <c r="D403" s="1">
        <v>44329</v>
      </c>
      <c r="E403" t="s">
        <v>1065</v>
      </c>
      <c r="F403" t="s">
        <v>431</v>
      </c>
      <c r="G403" t="s">
        <v>1072</v>
      </c>
      <c r="H403" t="str">
        <f t="shared" si="42"/>
        <v>Electronics</v>
      </c>
      <c r="I403">
        <v>2</v>
      </c>
      <c r="J403" t="str">
        <f>VLOOKUP(K403,$AJ$2:$AK$7,2,FALSE)</f>
        <v>S001</v>
      </c>
      <c r="K403" t="s">
        <v>1097</v>
      </c>
      <c r="L403">
        <v>4.9000000000000004</v>
      </c>
      <c r="M403" t="str">
        <f>IFERROR(VLOOKUP(TRIM(N403),$AP$2:$AQ$12,2,FALSE),"W001")</f>
        <v>W011</v>
      </c>
      <c r="N403" t="s">
        <v>1059</v>
      </c>
      <c r="O403" t="s">
        <v>1051</v>
      </c>
      <c r="P403" t="str">
        <f>VLOOKUP(O403,$AL$2:$AM$12,2,FALSE)</f>
        <v>West</v>
      </c>
      <c r="Q403" t="s">
        <v>1084</v>
      </c>
      <c r="R403">
        <v>437</v>
      </c>
      <c r="S403" t="s">
        <v>1066</v>
      </c>
      <c r="T403">
        <f t="shared" si="43"/>
        <v>2</v>
      </c>
      <c r="U403">
        <v>131.1</v>
      </c>
      <c r="V403">
        <f t="shared" si="44"/>
        <v>6</v>
      </c>
      <c r="W403" t="s">
        <v>1086</v>
      </c>
      <c r="X403" t="s">
        <v>1090</v>
      </c>
      <c r="Y403">
        <f t="shared" si="45"/>
        <v>131.1</v>
      </c>
      <c r="Z403" t="s">
        <v>1108</v>
      </c>
      <c r="AA403" t="str">
        <f t="shared" si="46"/>
        <v>Low</v>
      </c>
      <c r="AB403" t="s">
        <v>1103</v>
      </c>
      <c r="AC403" t="str">
        <f t="shared" si="47"/>
        <v>Yes</v>
      </c>
      <c r="AD403">
        <v>5</v>
      </c>
      <c r="AE403">
        <v>50928</v>
      </c>
      <c r="AF403">
        <v>20371.2</v>
      </c>
      <c r="AG403">
        <f t="shared" si="48"/>
        <v>30425.7</v>
      </c>
    </row>
    <row r="404" spans="1:33" x14ac:dyDescent="0.25">
      <c r="A404">
        <v>1403</v>
      </c>
      <c r="B404" s="1">
        <v>45472</v>
      </c>
      <c r="C404" s="1">
        <v>45475</v>
      </c>
      <c r="D404" s="1">
        <v>45478</v>
      </c>
      <c r="E404" t="s">
        <v>1064</v>
      </c>
      <c r="F404" t="s">
        <v>432</v>
      </c>
      <c r="G404" t="s">
        <v>1068</v>
      </c>
      <c r="H404" t="str">
        <f t="shared" si="42"/>
        <v>Electronics</v>
      </c>
      <c r="I404">
        <v>10</v>
      </c>
      <c r="J404" t="str">
        <f>VLOOKUP(K404,$AJ$2:$AK$7,2,FALSE)</f>
        <v>S006</v>
      </c>
      <c r="K404" t="s">
        <v>1102</v>
      </c>
      <c r="L404">
        <v>3.9</v>
      </c>
      <c r="M404" t="str">
        <f>IFERROR(VLOOKUP(TRIM(N404),$AP$2:$AQ$12,2,FALSE),"W001")</f>
        <v>W003</v>
      </c>
      <c r="N404" t="s">
        <v>1051</v>
      </c>
      <c r="O404" t="s">
        <v>1055</v>
      </c>
      <c r="P404" t="str">
        <f>VLOOKUP(O404,$AL$2:$AM$12,2,FALSE)</f>
        <v>South</v>
      </c>
      <c r="Q404" t="s">
        <v>1080</v>
      </c>
      <c r="R404">
        <v>1499</v>
      </c>
      <c r="S404" t="s">
        <v>1078</v>
      </c>
      <c r="T404">
        <f t="shared" si="43"/>
        <v>7</v>
      </c>
      <c r="U404">
        <v>224.85</v>
      </c>
      <c r="V404">
        <f t="shared" si="44"/>
        <v>4</v>
      </c>
      <c r="W404" t="s">
        <v>1088</v>
      </c>
      <c r="X404" t="s">
        <v>1091</v>
      </c>
      <c r="Y404">
        <f t="shared" si="45"/>
        <v>0</v>
      </c>
      <c r="Z404" t="s">
        <v>1108</v>
      </c>
      <c r="AA404" t="str">
        <f t="shared" si="46"/>
        <v>Low</v>
      </c>
      <c r="AB404" t="s">
        <v>1103</v>
      </c>
      <c r="AC404" t="str">
        <f t="shared" si="47"/>
        <v>Yes</v>
      </c>
      <c r="AD404">
        <v>5</v>
      </c>
      <c r="AE404">
        <v>463330</v>
      </c>
      <c r="AF404">
        <v>185332</v>
      </c>
      <c r="AG404">
        <f t="shared" si="48"/>
        <v>277773.15000000002</v>
      </c>
    </row>
    <row r="405" spans="1:33" x14ac:dyDescent="0.25">
      <c r="A405">
        <v>1404</v>
      </c>
      <c r="B405" s="1">
        <v>45898</v>
      </c>
      <c r="C405" s="1">
        <v>45899</v>
      </c>
      <c r="D405" s="1">
        <v>45902</v>
      </c>
      <c r="E405" t="s">
        <v>1065</v>
      </c>
      <c r="F405" t="s">
        <v>433</v>
      </c>
      <c r="G405" t="s">
        <v>1069</v>
      </c>
      <c r="H405" t="str">
        <f t="shared" si="42"/>
        <v>Furniture</v>
      </c>
      <c r="I405">
        <v>1</v>
      </c>
      <c r="J405" t="str">
        <f>VLOOKUP(K405,$AJ$2:$AK$7,2,FALSE)</f>
        <v>S001</v>
      </c>
      <c r="K405" t="s">
        <v>1097</v>
      </c>
      <c r="L405">
        <v>3.3</v>
      </c>
      <c r="M405" t="str">
        <f>IFERROR(VLOOKUP(TRIM(N405),$AP$2:$AQ$12,2,FALSE),"W001")</f>
        <v>W007</v>
      </c>
      <c r="N405" t="s">
        <v>1062</v>
      </c>
      <c r="O405" t="s">
        <v>1057</v>
      </c>
      <c r="P405" t="str">
        <f>VLOOKUP(O405,$AL$2:$AM$12,2,FALSE)</f>
        <v>South</v>
      </c>
      <c r="Q405" t="s">
        <v>1084</v>
      </c>
      <c r="R405">
        <v>1191</v>
      </c>
      <c r="S405" t="s">
        <v>1078</v>
      </c>
      <c r="T405">
        <f t="shared" si="43"/>
        <v>4</v>
      </c>
      <c r="U405">
        <v>357.3</v>
      </c>
      <c r="V405">
        <f t="shared" si="44"/>
        <v>6</v>
      </c>
      <c r="W405" t="s">
        <v>1086</v>
      </c>
      <c r="X405" t="s">
        <v>1089</v>
      </c>
      <c r="Y405">
        <f t="shared" si="45"/>
        <v>357.3</v>
      </c>
      <c r="Z405" t="s">
        <v>1108</v>
      </c>
      <c r="AA405" t="str">
        <f t="shared" si="46"/>
        <v>Low</v>
      </c>
      <c r="AB405" t="s">
        <v>1103</v>
      </c>
      <c r="AC405" t="str">
        <f t="shared" si="47"/>
        <v>Yes</v>
      </c>
      <c r="AD405">
        <v>4</v>
      </c>
      <c r="AE405">
        <v>12943</v>
      </c>
      <c r="AF405">
        <v>5177.2000000000007</v>
      </c>
      <c r="AG405">
        <f t="shared" si="48"/>
        <v>7408.4999999999991</v>
      </c>
    </row>
    <row r="406" spans="1:33" x14ac:dyDescent="0.25">
      <c r="A406">
        <v>1405</v>
      </c>
      <c r="B406" s="1">
        <v>46354</v>
      </c>
      <c r="C406" s="1">
        <v>46355</v>
      </c>
      <c r="D406" s="1">
        <v>46360</v>
      </c>
      <c r="E406" t="s">
        <v>1065</v>
      </c>
      <c r="F406" t="s">
        <v>434</v>
      </c>
      <c r="G406" t="s">
        <v>1070</v>
      </c>
      <c r="H406" t="str">
        <f t="shared" si="42"/>
        <v>Furniture</v>
      </c>
      <c r="I406">
        <v>7</v>
      </c>
      <c r="J406" t="str">
        <f>VLOOKUP(K406,$AJ$2:$AK$7,2,FALSE)</f>
        <v>S004</v>
      </c>
      <c r="K406" t="s">
        <v>1100</v>
      </c>
      <c r="L406">
        <v>3</v>
      </c>
      <c r="M406" t="str">
        <f>IFERROR(VLOOKUP(TRIM(N406),$AP$2:$AQ$12,2,FALSE),"W001")</f>
        <v>W002</v>
      </c>
      <c r="N406" t="s">
        <v>1049</v>
      </c>
      <c r="O406" t="s">
        <v>1047</v>
      </c>
      <c r="P406" t="str">
        <f>VLOOKUP(O406,$AL$2:$AM$12,2,FALSE)</f>
        <v>West</v>
      </c>
      <c r="Q406" t="s">
        <v>1082</v>
      </c>
      <c r="R406">
        <v>1486</v>
      </c>
      <c r="S406" t="s">
        <v>1078</v>
      </c>
      <c r="T406">
        <f t="shared" si="43"/>
        <v>4</v>
      </c>
      <c r="U406">
        <v>594.4</v>
      </c>
      <c r="V406">
        <f t="shared" si="44"/>
        <v>8</v>
      </c>
      <c r="W406" t="s">
        <v>1086</v>
      </c>
      <c r="X406" t="s">
        <v>1090</v>
      </c>
      <c r="Y406">
        <f t="shared" si="45"/>
        <v>594.4</v>
      </c>
      <c r="Z406" t="s">
        <v>1109</v>
      </c>
      <c r="AA406" t="str">
        <f t="shared" si="46"/>
        <v>High</v>
      </c>
      <c r="AB406" t="s">
        <v>1104</v>
      </c>
      <c r="AC406" t="str">
        <f t="shared" si="47"/>
        <v>No</v>
      </c>
      <c r="AD406">
        <v>2</v>
      </c>
      <c r="AE406">
        <v>47698</v>
      </c>
      <c r="AF406">
        <v>19079.2</v>
      </c>
      <c r="AG406">
        <f t="shared" si="48"/>
        <v>28024.399999999998</v>
      </c>
    </row>
    <row r="407" spans="1:33" x14ac:dyDescent="0.25">
      <c r="A407">
        <v>1406</v>
      </c>
      <c r="B407" s="1">
        <v>45427</v>
      </c>
      <c r="C407" s="1">
        <v>45428</v>
      </c>
      <c r="D407" s="1">
        <v>45433</v>
      </c>
      <c r="E407" t="s">
        <v>1065</v>
      </c>
      <c r="F407" t="s">
        <v>435</v>
      </c>
      <c r="G407" t="s">
        <v>1069</v>
      </c>
      <c r="H407" t="str">
        <f t="shared" si="42"/>
        <v>Furniture</v>
      </c>
      <c r="I407">
        <v>10</v>
      </c>
      <c r="J407" t="str">
        <f>VLOOKUP(K407,$AJ$2:$AK$7,2,FALSE)</f>
        <v>S001</v>
      </c>
      <c r="K407" t="s">
        <v>1097</v>
      </c>
      <c r="L407">
        <v>4.3</v>
      </c>
      <c r="M407" t="str">
        <f>IFERROR(VLOOKUP(TRIM(N407),$AP$2:$AQ$12,2,FALSE),"W001")</f>
        <v>W009</v>
      </c>
      <c r="N407" t="s">
        <v>1060</v>
      </c>
      <c r="O407" t="s">
        <v>1049</v>
      </c>
      <c r="P407" t="str">
        <f>VLOOKUP(O407,$AL$2:$AM$12,2,FALSE)</f>
        <v>North</v>
      </c>
      <c r="Q407" t="s">
        <v>1080</v>
      </c>
      <c r="R407">
        <v>586</v>
      </c>
      <c r="S407" t="s">
        <v>1066</v>
      </c>
      <c r="T407">
        <f t="shared" si="43"/>
        <v>4</v>
      </c>
      <c r="U407">
        <v>87.9</v>
      </c>
      <c r="V407">
        <f t="shared" si="44"/>
        <v>4</v>
      </c>
      <c r="W407" t="s">
        <v>1086</v>
      </c>
      <c r="X407" t="s">
        <v>1091</v>
      </c>
      <c r="Y407">
        <f t="shared" si="45"/>
        <v>87.9</v>
      </c>
      <c r="Z407" t="s">
        <v>1108</v>
      </c>
      <c r="AA407" t="str">
        <f t="shared" si="46"/>
        <v>Low</v>
      </c>
      <c r="AB407" t="s">
        <v>1103</v>
      </c>
      <c r="AC407" t="str">
        <f t="shared" si="47"/>
        <v>Yes</v>
      </c>
      <c r="AD407">
        <v>4</v>
      </c>
      <c r="AE407">
        <v>106710</v>
      </c>
      <c r="AF407">
        <v>42684</v>
      </c>
      <c r="AG407">
        <f t="shared" si="48"/>
        <v>63938.1</v>
      </c>
    </row>
    <row r="408" spans="1:33" x14ac:dyDescent="0.25">
      <c r="A408">
        <v>1407</v>
      </c>
      <c r="B408" s="1">
        <v>44599</v>
      </c>
      <c r="C408" s="1">
        <v>44602</v>
      </c>
      <c r="D408" s="1">
        <v>44605</v>
      </c>
      <c r="E408" t="s">
        <v>1064</v>
      </c>
      <c r="F408" t="s">
        <v>436</v>
      </c>
      <c r="G408" t="s">
        <v>1072</v>
      </c>
      <c r="H408" t="str">
        <f t="shared" si="42"/>
        <v>Electronics</v>
      </c>
      <c r="I408">
        <v>7</v>
      </c>
      <c r="J408" t="str">
        <f>VLOOKUP(K408,$AJ$2:$AK$7,2,FALSE)</f>
        <v>S002</v>
      </c>
      <c r="K408" t="s">
        <v>1098</v>
      </c>
      <c r="L408">
        <v>3.8</v>
      </c>
      <c r="M408" t="str">
        <f>IFERROR(VLOOKUP(TRIM(N408),$AP$2:$AQ$12,2,FALSE),"W001")</f>
        <v>W006</v>
      </c>
      <c r="N408" t="s">
        <v>1057</v>
      </c>
      <c r="O408" t="s">
        <v>1047</v>
      </c>
      <c r="P408" t="str">
        <f>VLOOKUP(O408,$AL$2:$AM$12,2,FALSE)</f>
        <v>West</v>
      </c>
      <c r="Q408" t="s">
        <v>1080</v>
      </c>
      <c r="R408">
        <v>204</v>
      </c>
      <c r="S408" t="s">
        <v>1066</v>
      </c>
      <c r="T408">
        <f t="shared" si="43"/>
        <v>3</v>
      </c>
      <c r="U408">
        <v>30.6</v>
      </c>
      <c r="V408">
        <f t="shared" si="44"/>
        <v>4</v>
      </c>
      <c r="W408" t="s">
        <v>1088</v>
      </c>
      <c r="X408" t="s">
        <v>1091</v>
      </c>
      <c r="Y408">
        <f t="shared" si="45"/>
        <v>0</v>
      </c>
      <c r="Z408" t="s">
        <v>1108</v>
      </c>
      <c r="AA408" t="str">
        <f t="shared" si="46"/>
        <v>Low</v>
      </c>
      <c r="AB408" t="s">
        <v>1103</v>
      </c>
      <c r="AC408" t="str">
        <f t="shared" si="47"/>
        <v>Yes</v>
      </c>
      <c r="AD408">
        <v>5</v>
      </c>
      <c r="AE408">
        <v>127827</v>
      </c>
      <c r="AF408">
        <v>51130.8</v>
      </c>
      <c r="AG408">
        <f t="shared" si="48"/>
        <v>76665.599999999991</v>
      </c>
    </row>
    <row r="409" spans="1:33" x14ac:dyDescent="0.25">
      <c r="A409">
        <v>1408</v>
      </c>
      <c r="B409" s="1">
        <v>45140</v>
      </c>
      <c r="C409" s="1">
        <v>45143</v>
      </c>
      <c r="D409" s="1">
        <v>45149</v>
      </c>
      <c r="E409" t="s">
        <v>1065</v>
      </c>
      <c r="F409" t="s">
        <v>437</v>
      </c>
      <c r="G409" t="s">
        <v>1070</v>
      </c>
      <c r="H409" t="str">
        <f t="shared" si="42"/>
        <v>Furniture</v>
      </c>
      <c r="I409">
        <v>5</v>
      </c>
      <c r="J409" t="str">
        <f>VLOOKUP(K409,$AJ$2:$AK$7,2,FALSE)</f>
        <v>S006</v>
      </c>
      <c r="K409" t="s">
        <v>1102</v>
      </c>
      <c r="L409">
        <v>4.0999999999999996</v>
      </c>
      <c r="M409" t="str">
        <f>IFERROR(VLOOKUP(TRIM(N409),$AP$2:$AQ$12,2,FALSE),"W001")</f>
        <v>W001</v>
      </c>
      <c r="N409" t="s">
        <v>1047</v>
      </c>
      <c r="O409" t="s">
        <v>1049</v>
      </c>
      <c r="P409" t="str">
        <f>VLOOKUP(O409,$AL$2:$AM$12,2,FALSE)</f>
        <v>North</v>
      </c>
      <c r="Q409" t="s">
        <v>1084</v>
      </c>
      <c r="R409">
        <v>1138</v>
      </c>
      <c r="S409" t="s">
        <v>1078</v>
      </c>
      <c r="T409">
        <f t="shared" si="43"/>
        <v>4</v>
      </c>
      <c r="U409">
        <v>341.4</v>
      </c>
      <c r="V409">
        <f t="shared" si="44"/>
        <v>6</v>
      </c>
      <c r="W409" t="s">
        <v>1086</v>
      </c>
      <c r="X409" t="s">
        <v>1089</v>
      </c>
      <c r="Y409">
        <f t="shared" si="45"/>
        <v>341.4</v>
      </c>
      <c r="Z409" t="s">
        <v>1108</v>
      </c>
      <c r="AA409" t="str">
        <f t="shared" si="46"/>
        <v>Low</v>
      </c>
      <c r="AB409" t="s">
        <v>1103</v>
      </c>
      <c r="AC409" t="str">
        <f t="shared" si="47"/>
        <v>Yes</v>
      </c>
      <c r="AD409">
        <v>4</v>
      </c>
      <c r="AE409">
        <v>35625</v>
      </c>
      <c r="AF409">
        <v>14250</v>
      </c>
      <c r="AG409">
        <f t="shared" si="48"/>
        <v>21033.599999999999</v>
      </c>
    </row>
    <row r="410" spans="1:33" x14ac:dyDescent="0.25">
      <c r="A410">
        <v>1409</v>
      </c>
      <c r="B410" s="1">
        <v>45066</v>
      </c>
      <c r="C410" s="1">
        <v>45068</v>
      </c>
      <c r="D410" s="1">
        <v>45074</v>
      </c>
      <c r="E410" t="s">
        <v>1066</v>
      </c>
      <c r="F410" t="s">
        <v>438</v>
      </c>
      <c r="G410" t="s">
        <v>1067</v>
      </c>
      <c r="H410" t="str">
        <f t="shared" si="42"/>
        <v>Clothing</v>
      </c>
      <c r="I410">
        <v>9</v>
      </c>
      <c r="J410" t="str">
        <f>VLOOKUP(K410,$AJ$2:$AK$7,2,FALSE)</f>
        <v>S005</v>
      </c>
      <c r="K410" t="s">
        <v>1101</v>
      </c>
      <c r="L410">
        <v>3.2</v>
      </c>
      <c r="M410" t="str">
        <f>IFERROR(VLOOKUP(TRIM(N410),$AP$2:$AQ$12,2,FALSE),"W001")</f>
        <v>W011</v>
      </c>
      <c r="N410" t="s">
        <v>1059</v>
      </c>
      <c r="O410" t="s">
        <v>1051</v>
      </c>
      <c r="P410" t="str">
        <f>VLOOKUP(O410,$AL$2:$AM$12,2,FALSE)</f>
        <v>West</v>
      </c>
      <c r="Q410" t="s">
        <v>1081</v>
      </c>
      <c r="R410">
        <v>1770</v>
      </c>
      <c r="S410" t="s">
        <v>1078</v>
      </c>
      <c r="T410">
        <f t="shared" si="43"/>
        <v>8</v>
      </c>
      <c r="U410">
        <v>354</v>
      </c>
      <c r="V410">
        <f t="shared" si="44"/>
        <v>5</v>
      </c>
      <c r="W410" t="s">
        <v>1086</v>
      </c>
      <c r="X410" t="s">
        <v>1091</v>
      </c>
      <c r="Y410">
        <f t="shared" si="45"/>
        <v>354</v>
      </c>
      <c r="Z410" t="s">
        <v>1109</v>
      </c>
      <c r="AA410" t="str">
        <f t="shared" si="46"/>
        <v>High</v>
      </c>
      <c r="AB410" t="s">
        <v>1103</v>
      </c>
      <c r="AC410" t="str">
        <f t="shared" si="47"/>
        <v>No</v>
      </c>
      <c r="AD410">
        <v>2</v>
      </c>
      <c r="AE410">
        <v>13302</v>
      </c>
      <c r="AF410">
        <v>5320.8</v>
      </c>
      <c r="AG410">
        <f t="shared" si="48"/>
        <v>7627.2</v>
      </c>
    </row>
    <row r="411" spans="1:33" x14ac:dyDescent="0.25">
      <c r="A411">
        <v>1410</v>
      </c>
      <c r="B411" s="1">
        <v>45396</v>
      </c>
      <c r="C411" s="1">
        <v>45397</v>
      </c>
      <c r="D411" s="1">
        <v>45402</v>
      </c>
      <c r="E411" t="s">
        <v>1064</v>
      </c>
      <c r="F411" t="s">
        <v>439</v>
      </c>
      <c r="G411" t="s">
        <v>1071</v>
      </c>
      <c r="H411" t="str">
        <f t="shared" si="42"/>
        <v>Clothing</v>
      </c>
      <c r="I411">
        <v>7</v>
      </c>
      <c r="J411" t="str">
        <f>VLOOKUP(K411,$AJ$2:$AK$7,2,FALSE)</f>
        <v>S003</v>
      </c>
      <c r="K411" t="s">
        <v>1099</v>
      </c>
      <c r="L411">
        <v>4.7</v>
      </c>
      <c r="M411" t="str">
        <f>IFERROR(VLOOKUP(TRIM(N411),$AP$2:$AQ$12,2,FALSE),"W001")</f>
        <v>W009</v>
      </c>
      <c r="N411" t="s">
        <v>1060</v>
      </c>
      <c r="O411" t="s">
        <v>1061</v>
      </c>
      <c r="P411" t="str">
        <f>VLOOKUP(O411,$AL$2:$AM$12,2,FALSE)</f>
        <v>West</v>
      </c>
      <c r="Q411" t="s">
        <v>1083</v>
      </c>
      <c r="R411">
        <v>1205</v>
      </c>
      <c r="S411" t="s">
        <v>1078</v>
      </c>
      <c r="T411">
        <f t="shared" si="43"/>
        <v>3</v>
      </c>
      <c r="U411">
        <v>602.5</v>
      </c>
      <c r="V411">
        <f t="shared" si="44"/>
        <v>10</v>
      </c>
      <c r="W411" t="s">
        <v>1087</v>
      </c>
      <c r="X411" t="s">
        <v>1090</v>
      </c>
      <c r="Y411">
        <f t="shared" si="45"/>
        <v>0</v>
      </c>
      <c r="Z411" t="s">
        <v>1108</v>
      </c>
      <c r="AA411" t="str">
        <f t="shared" si="46"/>
        <v>Medium</v>
      </c>
      <c r="AB411" t="s">
        <v>1103</v>
      </c>
      <c r="AC411" t="str">
        <f t="shared" si="47"/>
        <v>Yes</v>
      </c>
      <c r="AD411">
        <v>5</v>
      </c>
      <c r="AE411">
        <v>13958</v>
      </c>
      <c r="AF411">
        <v>5583.2000000000007</v>
      </c>
      <c r="AG411">
        <f t="shared" si="48"/>
        <v>7772.2999999999993</v>
      </c>
    </row>
    <row r="412" spans="1:33" x14ac:dyDescent="0.25">
      <c r="A412">
        <v>1411</v>
      </c>
      <c r="B412" s="1">
        <v>44902</v>
      </c>
      <c r="C412" s="1">
        <v>44905</v>
      </c>
      <c r="D412" s="1">
        <v>44911</v>
      </c>
      <c r="E412" t="s">
        <v>1064</v>
      </c>
      <c r="F412" t="s">
        <v>440</v>
      </c>
      <c r="G412" t="s">
        <v>1068</v>
      </c>
      <c r="H412" t="str">
        <f t="shared" si="42"/>
        <v>Electronics</v>
      </c>
      <c r="I412">
        <v>8</v>
      </c>
      <c r="J412" t="str">
        <f>VLOOKUP(K412,$AJ$2:$AK$7,2,FALSE)</f>
        <v>S001</v>
      </c>
      <c r="K412" t="s">
        <v>1097</v>
      </c>
      <c r="L412">
        <v>4.5</v>
      </c>
      <c r="M412" t="str">
        <f>IFERROR(VLOOKUP(TRIM(N412),$AP$2:$AQ$12,2,FALSE),"W001")</f>
        <v>W008</v>
      </c>
      <c r="N412" t="s">
        <v>1061</v>
      </c>
      <c r="O412" t="s">
        <v>1060</v>
      </c>
      <c r="P412" t="str">
        <f>VLOOKUP(O412,$AL$2:$AM$12,2,FALSE)</f>
        <v>North</v>
      </c>
      <c r="Q412" t="s">
        <v>1084</v>
      </c>
      <c r="R412">
        <v>1118</v>
      </c>
      <c r="S412" t="s">
        <v>1078</v>
      </c>
      <c r="T412">
        <f t="shared" si="43"/>
        <v>4</v>
      </c>
      <c r="U412">
        <v>335.4</v>
      </c>
      <c r="V412">
        <f t="shared" si="44"/>
        <v>6</v>
      </c>
      <c r="W412" t="s">
        <v>1086</v>
      </c>
      <c r="X412" t="s">
        <v>1091</v>
      </c>
      <c r="Y412">
        <f t="shared" si="45"/>
        <v>335.4</v>
      </c>
      <c r="Z412" t="s">
        <v>1108</v>
      </c>
      <c r="AA412" t="str">
        <f t="shared" si="46"/>
        <v>Low</v>
      </c>
      <c r="AB412" t="s">
        <v>1103</v>
      </c>
      <c r="AC412" t="str">
        <f t="shared" si="47"/>
        <v>Yes</v>
      </c>
      <c r="AD412">
        <v>4</v>
      </c>
      <c r="AE412">
        <v>458568</v>
      </c>
      <c r="AF412">
        <v>183427.20000000001</v>
      </c>
      <c r="AG412">
        <f t="shared" si="48"/>
        <v>274805.39999999997</v>
      </c>
    </row>
    <row r="413" spans="1:33" x14ac:dyDescent="0.25">
      <c r="A413">
        <v>1412</v>
      </c>
      <c r="B413" s="1">
        <v>44795</v>
      </c>
      <c r="C413" s="1">
        <v>44798</v>
      </c>
      <c r="D413" s="1">
        <v>44801</v>
      </c>
      <c r="E413" t="s">
        <v>1066</v>
      </c>
      <c r="F413" t="s">
        <v>441</v>
      </c>
      <c r="G413" t="s">
        <v>1072</v>
      </c>
      <c r="H413" t="str">
        <f t="shared" si="42"/>
        <v>Electronics</v>
      </c>
      <c r="I413">
        <v>1</v>
      </c>
      <c r="J413" t="str">
        <f>VLOOKUP(K413,$AJ$2:$AK$7,2,FALSE)</f>
        <v>S002</v>
      </c>
      <c r="K413" t="s">
        <v>1098</v>
      </c>
      <c r="L413">
        <v>4.4000000000000004</v>
      </c>
      <c r="M413" t="str">
        <f>IFERROR(VLOOKUP(TRIM(N413),$AP$2:$AQ$12,2,FALSE),"W001")</f>
        <v>W010</v>
      </c>
      <c r="N413" t="s">
        <v>1063</v>
      </c>
      <c r="O413" t="s">
        <v>1060</v>
      </c>
      <c r="P413" t="str">
        <f>VLOOKUP(O413,$AL$2:$AM$12,2,FALSE)</f>
        <v>North</v>
      </c>
      <c r="Q413" t="s">
        <v>1080</v>
      </c>
      <c r="R413">
        <v>257</v>
      </c>
      <c r="S413" t="s">
        <v>1066</v>
      </c>
      <c r="T413">
        <f t="shared" si="43"/>
        <v>3</v>
      </c>
      <c r="U413">
        <v>38.549999999999997</v>
      </c>
      <c r="V413">
        <f t="shared" si="44"/>
        <v>4</v>
      </c>
      <c r="W413" t="s">
        <v>1087</v>
      </c>
      <c r="X413" t="s">
        <v>1091</v>
      </c>
      <c r="Y413">
        <f t="shared" si="45"/>
        <v>0</v>
      </c>
      <c r="Z413" t="s">
        <v>1108</v>
      </c>
      <c r="AA413" t="str">
        <f t="shared" si="46"/>
        <v>Low</v>
      </c>
      <c r="AB413" t="s">
        <v>1103</v>
      </c>
      <c r="AC413" t="str">
        <f t="shared" si="47"/>
        <v>Yes</v>
      </c>
      <c r="AD413">
        <v>5</v>
      </c>
      <c r="AE413">
        <v>27075</v>
      </c>
      <c r="AF413">
        <v>10830</v>
      </c>
      <c r="AG413">
        <f t="shared" si="48"/>
        <v>16206.45</v>
      </c>
    </row>
    <row r="414" spans="1:33" x14ac:dyDescent="0.25">
      <c r="A414">
        <v>1413</v>
      </c>
      <c r="B414" s="1">
        <v>44799</v>
      </c>
      <c r="C414" s="1">
        <v>44800</v>
      </c>
      <c r="D414" s="1">
        <v>44805</v>
      </c>
      <c r="E414" t="s">
        <v>1065</v>
      </c>
      <c r="F414" t="s">
        <v>442</v>
      </c>
      <c r="G414" t="s">
        <v>1069</v>
      </c>
      <c r="H414" t="str">
        <f t="shared" si="42"/>
        <v>Furniture</v>
      </c>
      <c r="I414">
        <v>5</v>
      </c>
      <c r="J414" t="str">
        <f>VLOOKUP(K414,$AJ$2:$AK$7,2,FALSE)</f>
        <v>S003</v>
      </c>
      <c r="K414" t="s">
        <v>1099</v>
      </c>
      <c r="L414">
        <v>3.2</v>
      </c>
      <c r="M414" t="str">
        <f>IFERROR(VLOOKUP(TRIM(N414),$AP$2:$AQ$12,2,FALSE),"W001")</f>
        <v>W006</v>
      </c>
      <c r="N414" t="s">
        <v>1057</v>
      </c>
      <c r="O414" t="s">
        <v>1059</v>
      </c>
      <c r="P414" t="str">
        <f>VLOOKUP(O414,$AL$2:$AM$12,2,FALSE)</f>
        <v>North</v>
      </c>
      <c r="Q414" t="s">
        <v>1084</v>
      </c>
      <c r="R414">
        <v>1051</v>
      </c>
      <c r="S414" t="s">
        <v>1078</v>
      </c>
      <c r="T414">
        <f t="shared" si="43"/>
        <v>4</v>
      </c>
      <c r="U414">
        <v>315.3</v>
      </c>
      <c r="V414">
        <f t="shared" si="44"/>
        <v>6</v>
      </c>
      <c r="W414" t="s">
        <v>1086</v>
      </c>
      <c r="X414" t="s">
        <v>1091</v>
      </c>
      <c r="Y414">
        <f t="shared" si="45"/>
        <v>315.3</v>
      </c>
      <c r="Z414" t="s">
        <v>1108</v>
      </c>
      <c r="AA414" t="str">
        <f t="shared" si="46"/>
        <v>Low</v>
      </c>
      <c r="AB414" t="s">
        <v>1103</v>
      </c>
      <c r="AC414" t="str">
        <f t="shared" si="47"/>
        <v>Yes</v>
      </c>
      <c r="AD414">
        <v>4</v>
      </c>
      <c r="AE414">
        <v>70870</v>
      </c>
      <c r="AF414">
        <v>28348</v>
      </c>
      <c r="AG414">
        <f t="shared" si="48"/>
        <v>42206.7</v>
      </c>
    </row>
    <row r="415" spans="1:33" x14ac:dyDescent="0.25">
      <c r="A415">
        <v>1414</v>
      </c>
      <c r="B415" s="1">
        <v>45453</v>
      </c>
      <c r="C415" s="1">
        <v>45454</v>
      </c>
      <c r="D415" s="1">
        <v>45459</v>
      </c>
      <c r="E415" t="s">
        <v>1066</v>
      </c>
      <c r="F415" t="s">
        <v>443</v>
      </c>
      <c r="G415" t="s">
        <v>1072</v>
      </c>
      <c r="H415" t="str">
        <f t="shared" si="42"/>
        <v>Electronics</v>
      </c>
      <c r="I415">
        <v>4</v>
      </c>
      <c r="J415" t="str">
        <f>VLOOKUP(K415,$AJ$2:$AK$7,2,FALSE)</f>
        <v>S003</v>
      </c>
      <c r="K415" t="s">
        <v>1099</v>
      </c>
      <c r="L415">
        <v>4.5999999999999996</v>
      </c>
      <c r="M415" t="str">
        <f>IFERROR(VLOOKUP(TRIM(N415),$AP$2:$AQ$12,2,FALSE),"W001")</f>
        <v>W001</v>
      </c>
      <c r="N415" t="s">
        <v>1047</v>
      </c>
      <c r="O415" t="s">
        <v>1057</v>
      </c>
      <c r="P415" t="str">
        <f>VLOOKUP(O415,$AL$2:$AM$12,2,FALSE)</f>
        <v>South</v>
      </c>
      <c r="Q415" t="s">
        <v>1082</v>
      </c>
      <c r="R415">
        <v>871</v>
      </c>
      <c r="S415" t="s">
        <v>1078</v>
      </c>
      <c r="T415">
        <f t="shared" si="43"/>
        <v>3</v>
      </c>
      <c r="U415">
        <v>348.4</v>
      </c>
      <c r="V415">
        <f t="shared" si="44"/>
        <v>8</v>
      </c>
      <c r="W415" t="s">
        <v>1088</v>
      </c>
      <c r="X415" t="s">
        <v>1091</v>
      </c>
      <c r="Y415">
        <f t="shared" si="45"/>
        <v>0</v>
      </c>
      <c r="Z415" t="s">
        <v>1109</v>
      </c>
      <c r="AA415" t="str">
        <f t="shared" si="46"/>
        <v>High</v>
      </c>
      <c r="AB415" t="s">
        <v>1103</v>
      </c>
      <c r="AC415" t="str">
        <f t="shared" si="47"/>
        <v>No</v>
      </c>
      <c r="AD415">
        <v>2</v>
      </c>
      <c r="AE415">
        <v>82648</v>
      </c>
      <c r="AF415">
        <v>33059.200000000004</v>
      </c>
      <c r="AG415">
        <f t="shared" si="48"/>
        <v>49240.399999999994</v>
      </c>
    </row>
    <row r="416" spans="1:33" x14ac:dyDescent="0.25">
      <c r="A416">
        <v>1415</v>
      </c>
      <c r="B416" s="1">
        <v>44310</v>
      </c>
      <c r="C416" s="1">
        <v>44311</v>
      </c>
      <c r="D416" s="1">
        <v>44317</v>
      </c>
      <c r="E416" t="s">
        <v>1065</v>
      </c>
      <c r="F416" t="s">
        <v>444</v>
      </c>
      <c r="G416" t="s">
        <v>1067</v>
      </c>
      <c r="H416" t="str">
        <f t="shared" si="42"/>
        <v>Clothing</v>
      </c>
      <c r="I416">
        <v>9</v>
      </c>
      <c r="J416" t="str">
        <f>VLOOKUP(K416,$AJ$2:$AK$7,2,FALSE)</f>
        <v>S006</v>
      </c>
      <c r="K416" t="s">
        <v>1102</v>
      </c>
      <c r="L416">
        <v>3.4</v>
      </c>
      <c r="M416" t="str">
        <f>IFERROR(VLOOKUP(TRIM(N416),$AP$2:$AQ$12,2,FALSE),"W001")</f>
        <v>W010</v>
      </c>
      <c r="N416" t="s">
        <v>1063</v>
      </c>
      <c r="O416" t="s">
        <v>1049</v>
      </c>
      <c r="P416" t="str">
        <f>VLOOKUP(O416,$AL$2:$AM$12,2,FALSE)</f>
        <v>North</v>
      </c>
      <c r="Q416" t="s">
        <v>1085</v>
      </c>
      <c r="R416">
        <v>158</v>
      </c>
      <c r="S416" t="s">
        <v>1079</v>
      </c>
      <c r="T416">
        <f t="shared" si="43"/>
        <v>4</v>
      </c>
      <c r="U416">
        <v>15.8</v>
      </c>
      <c r="V416">
        <f t="shared" si="44"/>
        <v>3</v>
      </c>
      <c r="W416" t="s">
        <v>1088</v>
      </c>
      <c r="X416" t="s">
        <v>1089</v>
      </c>
      <c r="Y416">
        <f t="shared" si="45"/>
        <v>0</v>
      </c>
      <c r="Z416" t="s">
        <v>1108</v>
      </c>
      <c r="AA416" t="str">
        <f t="shared" si="46"/>
        <v>Low</v>
      </c>
      <c r="AB416" t="s">
        <v>1103</v>
      </c>
      <c r="AC416" t="str">
        <f t="shared" si="47"/>
        <v>Yes</v>
      </c>
      <c r="AD416">
        <v>4</v>
      </c>
      <c r="AE416">
        <v>7227</v>
      </c>
      <c r="AF416">
        <v>2890.8</v>
      </c>
      <c r="AG416">
        <f t="shared" si="48"/>
        <v>4320.3999999999996</v>
      </c>
    </row>
    <row r="417" spans="1:33" x14ac:dyDescent="0.25">
      <c r="A417">
        <v>1416</v>
      </c>
      <c r="B417" s="1">
        <v>46087</v>
      </c>
      <c r="C417" s="1">
        <v>46090</v>
      </c>
      <c r="D417" s="1">
        <v>46095</v>
      </c>
      <c r="E417" t="s">
        <v>1064</v>
      </c>
      <c r="F417" t="s">
        <v>445</v>
      </c>
      <c r="G417" t="s">
        <v>1071</v>
      </c>
      <c r="H417" t="str">
        <f t="shared" si="42"/>
        <v>Clothing</v>
      </c>
      <c r="I417">
        <v>1</v>
      </c>
      <c r="J417" t="str">
        <f>VLOOKUP(K417,$AJ$2:$AK$7,2,FALSE)</f>
        <v>S003</v>
      </c>
      <c r="K417" t="s">
        <v>1099</v>
      </c>
      <c r="L417">
        <v>4.5999999999999996</v>
      </c>
      <c r="M417" t="str">
        <f>IFERROR(VLOOKUP(TRIM(N417),$AP$2:$AQ$12,2,FALSE),"W001")</f>
        <v>W007</v>
      </c>
      <c r="N417" t="s">
        <v>1062</v>
      </c>
      <c r="O417" t="s">
        <v>1057</v>
      </c>
      <c r="P417" t="str">
        <f>VLOOKUP(O417,$AL$2:$AM$12,2,FALSE)</f>
        <v>South</v>
      </c>
      <c r="Q417" t="s">
        <v>1083</v>
      </c>
      <c r="R417">
        <v>1186</v>
      </c>
      <c r="S417" t="s">
        <v>1078</v>
      </c>
      <c r="T417">
        <f t="shared" si="43"/>
        <v>3</v>
      </c>
      <c r="U417">
        <v>593</v>
      </c>
      <c r="V417">
        <f t="shared" si="44"/>
        <v>10</v>
      </c>
      <c r="W417" t="s">
        <v>1087</v>
      </c>
      <c r="X417" t="s">
        <v>1091</v>
      </c>
      <c r="Y417">
        <f t="shared" si="45"/>
        <v>0</v>
      </c>
      <c r="Z417" t="s">
        <v>1108</v>
      </c>
      <c r="AA417" t="str">
        <f t="shared" si="46"/>
        <v>Medium</v>
      </c>
      <c r="AB417" t="s">
        <v>1103</v>
      </c>
      <c r="AC417" t="str">
        <f t="shared" si="47"/>
        <v>Yes</v>
      </c>
      <c r="AD417">
        <v>4</v>
      </c>
      <c r="AE417">
        <v>1739</v>
      </c>
      <c r="AF417">
        <v>695.6</v>
      </c>
      <c r="AG417">
        <f t="shared" si="48"/>
        <v>450.40000000000009</v>
      </c>
    </row>
    <row r="418" spans="1:33" x14ac:dyDescent="0.25">
      <c r="A418">
        <v>1417</v>
      </c>
      <c r="B418" s="1">
        <v>46329</v>
      </c>
      <c r="C418" s="1">
        <v>46331</v>
      </c>
      <c r="D418" s="1">
        <v>46338</v>
      </c>
      <c r="E418" t="s">
        <v>1066</v>
      </c>
      <c r="F418" t="s">
        <v>446</v>
      </c>
      <c r="G418" t="s">
        <v>1071</v>
      </c>
      <c r="H418" t="str">
        <f t="shared" si="42"/>
        <v>Clothing</v>
      </c>
      <c r="I418">
        <v>10</v>
      </c>
      <c r="J418" t="str">
        <f>VLOOKUP(K418,$AJ$2:$AK$7,2,FALSE)</f>
        <v>S002</v>
      </c>
      <c r="K418" t="s">
        <v>1098</v>
      </c>
      <c r="L418">
        <v>4.4000000000000004</v>
      </c>
      <c r="M418" t="str">
        <f>IFERROR(VLOOKUP(TRIM(N418),$AP$2:$AQ$12,2,FALSE),"W001")</f>
        <v>W007</v>
      </c>
      <c r="N418" t="s">
        <v>1062</v>
      </c>
      <c r="O418" t="s">
        <v>1057</v>
      </c>
      <c r="P418" t="str">
        <f>VLOOKUP(O418,$AL$2:$AM$12,2,FALSE)</f>
        <v>South</v>
      </c>
      <c r="Q418" t="s">
        <v>1084</v>
      </c>
      <c r="R418">
        <v>423</v>
      </c>
      <c r="S418" t="s">
        <v>1066</v>
      </c>
      <c r="T418">
        <f t="shared" si="43"/>
        <v>2</v>
      </c>
      <c r="U418">
        <v>126.9</v>
      </c>
      <c r="V418">
        <f t="shared" si="44"/>
        <v>6</v>
      </c>
      <c r="W418" t="s">
        <v>1087</v>
      </c>
      <c r="X418" t="s">
        <v>1091</v>
      </c>
      <c r="Y418">
        <f t="shared" si="45"/>
        <v>0</v>
      </c>
      <c r="Z418" t="s">
        <v>1108</v>
      </c>
      <c r="AA418" t="str">
        <f t="shared" si="46"/>
        <v>Low</v>
      </c>
      <c r="AB418" t="s">
        <v>1103</v>
      </c>
      <c r="AC418" t="str">
        <f t="shared" si="47"/>
        <v>Yes</v>
      </c>
      <c r="AD418">
        <v>4</v>
      </c>
      <c r="AE418">
        <v>22890</v>
      </c>
      <c r="AF418">
        <v>9156</v>
      </c>
      <c r="AG418">
        <f t="shared" si="48"/>
        <v>13607.1</v>
      </c>
    </row>
    <row r="419" spans="1:33" x14ac:dyDescent="0.25">
      <c r="A419">
        <v>1418</v>
      </c>
      <c r="B419" s="1">
        <v>45198</v>
      </c>
      <c r="C419" s="1">
        <v>45200</v>
      </c>
      <c r="D419" s="1">
        <v>45203</v>
      </c>
      <c r="E419" t="s">
        <v>1066</v>
      </c>
      <c r="F419" t="s">
        <v>447</v>
      </c>
      <c r="G419" t="s">
        <v>1070</v>
      </c>
      <c r="H419" t="str">
        <f t="shared" si="42"/>
        <v>Furniture</v>
      </c>
      <c r="I419">
        <v>5</v>
      </c>
      <c r="J419" t="str">
        <f>VLOOKUP(K419,$AJ$2:$AK$7,2,FALSE)</f>
        <v>S006</v>
      </c>
      <c r="K419" t="s">
        <v>1102</v>
      </c>
      <c r="L419">
        <v>5</v>
      </c>
      <c r="M419" t="str">
        <f>IFERROR(VLOOKUP(TRIM(N419),$AP$2:$AQ$12,2,FALSE),"W001")</f>
        <v>W011</v>
      </c>
      <c r="N419" t="s">
        <v>1059</v>
      </c>
      <c r="O419" t="s">
        <v>1060</v>
      </c>
      <c r="P419" t="str">
        <f>VLOOKUP(O419,$AL$2:$AM$12,2,FALSE)</f>
        <v>North</v>
      </c>
      <c r="Q419" t="s">
        <v>1085</v>
      </c>
      <c r="R419">
        <v>1102</v>
      </c>
      <c r="S419" t="s">
        <v>1078</v>
      </c>
      <c r="T419">
        <f t="shared" si="43"/>
        <v>9</v>
      </c>
      <c r="U419">
        <v>110.2</v>
      </c>
      <c r="V419">
        <f t="shared" si="44"/>
        <v>3</v>
      </c>
      <c r="W419" t="s">
        <v>1088</v>
      </c>
      <c r="X419" t="s">
        <v>1091</v>
      </c>
      <c r="Y419">
        <f t="shared" si="45"/>
        <v>0</v>
      </c>
      <c r="Z419" t="s">
        <v>1108</v>
      </c>
      <c r="AA419" t="str">
        <f t="shared" si="46"/>
        <v>Low</v>
      </c>
      <c r="AB419" t="s">
        <v>1103</v>
      </c>
      <c r="AC419" t="str">
        <f t="shared" si="47"/>
        <v>Yes</v>
      </c>
      <c r="AD419">
        <v>5</v>
      </c>
      <c r="AE419">
        <v>27245</v>
      </c>
      <c r="AF419">
        <v>10898</v>
      </c>
      <c r="AG419">
        <f t="shared" si="48"/>
        <v>16236.8</v>
      </c>
    </row>
    <row r="420" spans="1:33" x14ac:dyDescent="0.25">
      <c r="A420">
        <v>1419</v>
      </c>
      <c r="B420" s="1">
        <v>44419</v>
      </c>
      <c r="C420" s="1">
        <v>44422</v>
      </c>
      <c r="D420" s="1">
        <v>44424</v>
      </c>
      <c r="E420" t="s">
        <v>1066</v>
      </c>
      <c r="F420" t="s">
        <v>448</v>
      </c>
      <c r="G420" t="s">
        <v>1070</v>
      </c>
      <c r="H420" t="str">
        <f t="shared" si="42"/>
        <v>Furniture</v>
      </c>
      <c r="I420">
        <v>9</v>
      </c>
      <c r="J420" t="str">
        <f>VLOOKUP(K420,$AJ$2:$AK$7,2,FALSE)</f>
        <v>S004</v>
      </c>
      <c r="K420" t="s">
        <v>1100</v>
      </c>
      <c r="L420">
        <v>3.9</v>
      </c>
      <c r="M420" t="str">
        <f>IFERROR(VLOOKUP(TRIM(N420),$AP$2:$AQ$12,2,FALSE),"W001")</f>
        <v>W007</v>
      </c>
      <c r="N420" t="s">
        <v>1062</v>
      </c>
      <c r="O420" t="s">
        <v>1063</v>
      </c>
      <c r="P420" t="str">
        <f>VLOOKUP(O420,$AL$2:$AM$12,2,FALSE)</f>
        <v>South</v>
      </c>
      <c r="Q420" t="s">
        <v>1083</v>
      </c>
      <c r="R420">
        <v>140</v>
      </c>
      <c r="S420" t="s">
        <v>1079</v>
      </c>
      <c r="T420">
        <f t="shared" si="43"/>
        <v>1</v>
      </c>
      <c r="U420">
        <v>70</v>
      </c>
      <c r="V420">
        <f t="shared" si="44"/>
        <v>10</v>
      </c>
      <c r="W420" t="s">
        <v>1087</v>
      </c>
      <c r="X420" t="s">
        <v>1091</v>
      </c>
      <c r="Y420">
        <f t="shared" si="45"/>
        <v>0</v>
      </c>
      <c r="Z420" t="s">
        <v>1108</v>
      </c>
      <c r="AA420" t="str">
        <f t="shared" si="46"/>
        <v>Medium</v>
      </c>
      <c r="AB420" t="s">
        <v>1104</v>
      </c>
      <c r="AC420" t="str">
        <f t="shared" si="47"/>
        <v>Yes</v>
      </c>
      <c r="AD420">
        <v>1</v>
      </c>
      <c r="AE420">
        <v>57933</v>
      </c>
      <c r="AF420">
        <v>23173.200000000001</v>
      </c>
      <c r="AG420">
        <f t="shared" si="48"/>
        <v>34689.800000000003</v>
      </c>
    </row>
    <row r="421" spans="1:33" x14ac:dyDescent="0.25">
      <c r="A421">
        <v>1420</v>
      </c>
      <c r="B421" s="1">
        <v>44456</v>
      </c>
      <c r="C421" s="1">
        <v>44457</v>
      </c>
      <c r="D421" s="1">
        <v>44460</v>
      </c>
      <c r="E421" t="s">
        <v>1065</v>
      </c>
      <c r="F421" t="s">
        <v>449</v>
      </c>
      <c r="G421" t="s">
        <v>1072</v>
      </c>
      <c r="H421" t="str">
        <f t="shared" si="42"/>
        <v>Electronics</v>
      </c>
      <c r="I421">
        <v>9</v>
      </c>
      <c r="J421" t="str">
        <f>VLOOKUP(K421,$AJ$2:$AK$7,2,FALSE)</f>
        <v>S001</v>
      </c>
      <c r="K421" t="s">
        <v>1097</v>
      </c>
      <c r="L421">
        <v>4.0999999999999996</v>
      </c>
      <c r="M421" t="str">
        <f>IFERROR(VLOOKUP(TRIM(N421),$AP$2:$AQ$12,2,FALSE),"W001")</f>
        <v>W006</v>
      </c>
      <c r="N421" t="s">
        <v>1057</v>
      </c>
      <c r="O421" t="s">
        <v>1060</v>
      </c>
      <c r="P421" t="str">
        <f>VLOOKUP(O421,$AL$2:$AM$12,2,FALSE)</f>
        <v>North</v>
      </c>
      <c r="Q421" t="s">
        <v>1080</v>
      </c>
      <c r="R421">
        <v>1190</v>
      </c>
      <c r="S421" t="s">
        <v>1078</v>
      </c>
      <c r="T421">
        <f t="shared" si="43"/>
        <v>6</v>
      </c>
      <c r="U421">
        <v>178.5</v>
      </c>
      <c r="V421">
        <f t="shared" si="44"/>
        <v>4</v>
      </c>
      <c r="W421" t="s">
        <v>1088</v>
      </c>
      <c r="X421" t="s">
        <v>1089</v>
      </c>
      <c r="Y421">
        <f t="shared" si="45"/>
        <v>0</v>
      </c>
      <c r="Z421" t="s">
        <v>1108</v>
      </c>
      <c r="AA421" t="str">
        <f t="shared" si="46"/>
        <v>Low</v>
      </c>
      <c r="AB421" t="s">
        <v>1103</v>
      </c>
      <c r="AC421" t="str">
        <f t="shared" si="47"/>
        <v>Yes</v>
      </c>
      <c r="AD421">
        <v>5</v>
      </c>
      <c r="AE421">
        <v>134964</v>
      </c>
      <c r="AF421">
        <v>53985.600000000006</v>
      </c>
      <c r="AG421">
        <f t="shared" si="48"/>
        <v>80799.899999999994</v>
      </c>
    </row>
    <row r="422" spans="1:33" x14ac:dyDescent="0.25">
      <c r="A422">
        <v>1421</v>
      </c>
      <c r="B422" s="1">
        <v>45532</v>
      </c>
      <c r="C422" s="1">
        <v>45535</v>
      </c>
      <c r="D422" s="1">
        <v>45538</v>
      </c>
      <c r="E422" t="s">
        <v>1065</v>
      </c>
      <c r="F422" t="s">
        <v>450</v>
      </c>
      <c r="G422" t="s">
        <v>1067</v>
      </c>
      <c r="H422" t="str">
        <f t="shared" si="42"/>
        <v>Clothing</v>
      </c>
      <c r="I422">
        <v>4</v>
      </c>
      <c r="J422" t="str">
        <f>VLOOKUP(K422,$AJ$2:$AK$7,2,FALSE)</f>
        <v>S006</v>
      </c>
      <c r="K422" t="s">
        <v>1102</v>
      </c>
      <c r="L422">
        <v>4.8</v>
      </c>
      <c r="M422" t="str">
        <f>IFERROR(VLOOKUP(TRIM(N422),$AP$2:$AQ$12,2,FALSE),"W001")</f>
        <v>W004</v>
      </c>
      <c r="N422" t="s">
        <v>1053</v>
      </c>
      <c r="O422" t="s">
        <v>1062</v>
      </c>
      <c r="P422" t="str">
        <f>VLOOKUP(O422,$AL$2:$AM$12,2,FALSE)</f>
        <v>North</v>
      </c>
      <c r="Q422" t="s">
        <v>1080</v>
      </c>
      <c r="R422">
        <v>1260</v>
      </c>
      <c r="S422" t="s">
        <v>1078</v>
      </c>
      <c r="T422">
        <f t="shared" si="43"/>
        <v>6</v>
      </c>
      <c r="U422">
        <v>189</v>
      </c>
      <c r="V422">
        <f t="shared" si="44"/>
        <v>4</v>
      </c>
      <c r="W422" t="s">
        <v>1086</v>
      </c>
      <c r="X422" t="s">
        <v>1090</v>
      </c>
      <c r="Y422">
        <f t="shared" si="45"/>
        <v>189</v>
      </c>
      <c r="Z422" t="s">
        <v>1108</v>
      </c>
      <c r="AA422" t="str">
        <f t="shared" si="46"/>
        <v>Low</v>
      </c>
      <c r="AB422" t="s">
        <v>1103</v>
      </c>
      <c r="AC422" t="str">
        <f t="shared" si="47"/>
        <v>Yes</v>
      </c>
      <c r="AD422">
        <v>4</v>
      </c>
      <c r="AE422">
        <v>3416</v>
      </c>
      <c r="AF422">
        <v>1366.4</v>
      </c>
      <c r="AG422">
        <f t="shared" si="48"/>
        <v>1860.6</v>
      </c>
    </row>
    <row r="423" spans="1:33" x14ac:dyDescent="0.25">
      <c r="A423">
        <v>1422</v>
      </c>
      <c r="B423" s="1">
        <v>46299</v>
      </c>
      <c r="C423" s="1">
        <v>46301</v>
      </c>
      <c r="D423" s="1">
        <v>46308</v>
      </c>
      <c r="E423" t="s">
        <v>1066</v>
      </c>
      <c r="F423" t="s">
        <v>451</v>
      </c>
      <c r="G423" t="s">
        <v>1069</v>
      </c>
      <c r="H423" t="str">
        <f t="shared" si="42"/>
        <v>Furniture</v>
      </c>
      <c r="I423">
        <v>4</v>
      </c>
      <c r="J423" t="str">
        <f>VLOOKUP(K423,$AJ$2:$AK$7,2,FALSE)</f>
        <v>S002</v>
      </c>
      <c r="K423" t="s">
        <v>1098</v>
      </c>
      <c r="L423">
        <v>3</v>
      </c>
      <c r="M423" t="str">
        <f>IFERROR(VLOOKUP(TRIM(N423),$AP$2:$AQ$12,2,FALSE),"W001")</f>
        <v>W004</v>
      </c>
      <c r="N423" t="s">
        <v>1053</v>
      </c>
      <c r="O423" t="s">
        <v>1063</v>
      </c>
      <c r="P423" t="str">
        <f>VLOOKUP(O423,$AL$2:$AM$12,2,FALSE)</f>
        <v>South</v>
      </c>
      <c r="Q423" t="s">
        <v>1081</v>
      </c>
      <c r="R423">
        <v>1634</v>
      </c>
      <c r="S423" t="s">
        <v>1078</v>
      </c>
      <c r="T423">
        <f t="shared" si="43"/>
        <v>8</v>
      </c>
      <c r="U423">
        <v>326.8</v>
      </c>
      <c r="V423">
        <f t="shared" si="44"/>
        <v>5</v>
      </c>
      <c r="W423" t="s">
        <v>1086</v>
      </c>
      <c r="X423" t="s">
        <v>1089</v>
      </c>
      <c r="Y423">
        <f t="shared" si="45"/>
        <v>326.8</v>
      </c>
      <c r="Z423" t="s">
        <v>1109</v>
      </c>
      <c r="AA423" t="str">
        <f t="shared" si="46"/>
        <v>High</v>
      </c>
      <c r="AB423" t="s">
        <v>1103</v>
      </c>
      <c r="AC423" t="str">
        <f t="shared" si="47"/>
        <v>No</v>
      </c>
      <c r="AD423">
        <v>2</v>
      </c>
      <c r="AE423">
        <v>39404</v>
      </c>
      <c r="AF423">
        <v>15761.6</v>
      </c>
      <c r="AG423">
        <f t="shared" si="48"/>
        <v>23315.600000000002</v>
      </c>
    </row>
    <row r="424" spans="1:33" x14ac:dyDescent="0.25">
      <c r="A424">
        <v>1423</v>
      </c>
      <c r="B424" s="1">
        <v>44959</v>
      </c>
      <c r="C424" s="1">
        <v>44961</v>
      </c>
      <c r="D424" s="1">
        <v>44967</v>
      </c>
      <c r="E424" t="s">
        <v>1065</v>
      </c>
      <c r="F424" t="s">
        <v>452</v>
      </c>
      <c r="G424" t="s">
        <v>1071</v>
      </c>
      <c r="H424" t="str">
        <f t="shared" si="42"/>
        <v>Clothing</v>
      </c>
      <c r="I424">
        <v>1</v>
      </c>
      <c r="J424" t="str">
        <f>VLOOKUP(K424,$AJ$2:$AK$7,2,FALSE)</f>
        <v>S006</v>
      </c>
      <c r="K424" t="s">
        <v>1102</v>
      </c>
      <c r="L424">
        <v>3.4</v>
      </c>
      <c r="M424" t="str">
        <f>IFERROR(VLOOKUP(TRIM(N424),$AP$2:$AQ$12,2,FALSE),"W001")</f>
        <v>W002</v>
      </c>
      <c r="N424" t="s">
        <v>1049</v>
      </c>
      <c r="O424" t="s">
        <v>1060</v>
      </c>
      <c r="P424" t="str">
        <f>VLOOKUP(O424,$AL$2:$AM$12,2,FALSE)</f>
        <v>North</v>
      </c>
      <c r="Q424" t="s">
        <v>1083</v>
      </c>
      <c r="R424">
        <v>412</v>
      </c>
      <c r="S424" t="s">
        <v>1066</v>
      </c>
      <c r="T424">
        <f t="shared" si="43"/>
        <v>2</v>
      </c>
      <c r="U424">
        <v>206</v>
      </c>
      <c r="V424">
        <f t="shared" si="44"/>
        <v>10</v>
      </c>
      <c r="W424" t="s">
        <v>1086</v>
      </c>
      <c r="X424" t="s">
        <v>1091</v>
      </c>
      <c r="Y424">
        <f t="shared" si="45"/>
        <v>206</v>
      </c>
      <c r="Z424" t="s">
        <v>1108</v>
      </c>
      <c r="AA424" t="str">
        <f t="shared" si="46"/>
        <v>Medium</v>
      </c>
      <c r="AB424" t="s">
        <v>1103</v>
      </c>
      <c r="AC424" t="str">
        <f t="shared" si="47"/>
        <v>Yes</v>
      </c>
      <c r="AD424">
        <v>5</v>
      </c>
      <c r="AE424">
        <v>2114</v>
      </c>
      <c r="AF424">
        <v>845.6</v>
      </c>
      <c r="AG424">
        <f t="shared" si="48"/>
        <v>1062.4000000000001</v>
      </c>
    </row>
    <row r="425" spans="1:33" x14ac:dyDescent="0.25">
      <c r="A425">
        <v>1424</v>
      </c>
      <c r="B425" s="1">
        <v>45920</v>
      </c>
      <c r="C425" s="1">
        <v>45922</v>
      </c>
      <c r="D425" s="1">
        <v>45924</v>
      </c>
      <c r="E425" t="s">
        <v>1066</v>
      </c>
      <c r="F425" t="s">
        <v>453</v>
      </c>
      <c r="G425" t="s">
        <v>1071</v>
      </c>
      <c r="H425" t="str">
        <f t="shared" si="42"/>
        <v>Clothing</v>
      </c>
      <c r="I425">
        <v>3</v>
      </c>
      <c r="J425" t="str">
        <f>VLOOKUP(K425,$AJ$2:$AK$7,2,FALSE)</f>
        <v>S006</v>
      </c>
      <c r="K425" t="s">
        <v>1102</v>
      </c>
      <c r="L425">
        <v>4.8</v>
      </c>
      <c r="M425" t="str">
        <f>IFERROR(VLOOKUP(TRIM(N425),$AP$2:$AQ$12,2,FALSE),"W001")</f>
        <v>W009</v>
      </c>
      <c r="N425" t="s">
        <v>1060</v>
      </c>
      <c r="O425" t="s">
        <v>1062</v>
      </c>
      <c r="P425" t="str">
        <f>VLOOKUP(O425,$AL$2:$AM$12,2,FALSE)</f>
        <v>North</v>
      </c>
      <c r="Q425" t="s">
        <v>1083</v>
      </c>
      <c r="R425">
        <v>143</v>
      </c>
      <c r="S425" t="s">
        <v>1079</v>
      </c>
      <c r="T425">
        <f t="shared" si="43"/>
        <v>1</v>
      </c>
      <c r="U425">
        <v>71.5</v>
      </c>
      <c r="V425">
        <f t="shared" si="44"/>
        <v>10</v>
      </c>
      <c r="W425" t="s">
        <v>1086</v>
      </c>
      <c r="X425" t="s">
        <v>1091</v>
      </c>
      <c r="Y425">
        <f t="shared" si="45"/>
        <v>71.5</v>
      </c>
      <c r="Z425" t="s">
        <v>1108</v>
      </c>
      <c r="AA425" t="str">
        <f t="shared" si="46"/>
        <v>Medium</v>
      </c>
      <c r="AB425" t="s">
        <v>1103</v>
      </c>
      <c r="AC425" t="str">
        <f t="shared" si="47"/>
        <v>Yes</v>
      </c>
      <c r="AD425">
        <v>4</v>
      </c>
      <c r="AE425">
        <v>8217</v>
      </c>
      <c r="AF425">
        <v>3286.8</v>
      </c>
      <c r="AG425">
        <f t="shared" si="48"/>
        <v>4858.7</v>
      </c>
    </row>
    <row r="426" spans="1:33" x14ac:dyDescent="0.25">
      <c r="A426">
        <v>1425</v>
      </c>
      <c r="B426" s="1">
        <v>46338</v>
      </c>
      <c r="C426" s="1">
        <v>46341</v>
      </c>
      <c r="D426" s="1">
        <v>46345</v>
      </c>
      <c r="E426" t="s">
        <v>1064</v>
      </c>
      <c r="F426" t="s">
        <v>454</v>
      </c>
      <c r="G426" t="s">
        <v>1072</v>
      </c>
      <c r="H426" t="str">
        <f t="shared" si="42"/>
        <v>Electronics</v>
      </c>
      <c r="I426">
        <v>3</v>
      </c>
      <c r="J426" t="str">
        <f>VLOOKUP(K426,$AJ$2:$AK$7,2,FALSE)</f>
        <v>S004</v>
      </c>
      <c r="K426" t="s">
        <v>1100</v>
      </c>
      <c r="L426">
        <v>3.4</v>
      </c>
      <c r="M426" t="str">
        <f>IFERROR(VLOOKUP(TRIM(N426),$AP$2:$AQ$12,2,FALSE),"W001")</f>
        <v>W006</v>
      </c>
      <c r="N426" t="s">
        <v>1057</v>
      </c>
      <c r="O426" t="s">
        <v>1061</v>
      </c>
      <c r="P426" t="str">
        <f>VLOOKUP(O426,$AL$2:$AM$12,2,FALSE)</f>
        <v>West</v>
      </c>
      <c r="Q426" t="s">
        <v>1084</v>
      </c>
      <c r="R426">
        <v>1562</v>
      </c>
      <c r="S426" t="s">
        <v>1078</v>
      </c>
      <c r="T426">
        <f t="shared" si="43"/>
        <v>5</v>
      </c>
      <c r="U426">
        <v>468.6</v>
      </c>
      <c r="V426">
        <f t="shared" si="44"/>
        <v>6</v>
      </c>
      <c r="W426" t="s">
        <v>1086</v>
      </c>
      <c r="X426" t="s">
        <v>1091</v>
      </c>
      <c r="Y426">
        <f t="shared" si="45"/>
        <v>468.6</v>
      </c>
      <c r="Z426" t="s">
        <v>1108</v>
      </c>
      <c r="AA426" t="str">
        <f t="shared" si="46"/>
        <v>Low</v>
      </c>
      <c r="AB426" t="s">
        <v>1103</v>
      </c>
      <c r="AC426" t="str">
        <f t="shared" si="47"/>
        <v>Yes</v>
      </c>
      <c r="AD426">
        <v>5</v>
      </c>
      <c r="AE426">
        <v>73851</v>
      </c>
      <c r="AF426">
        <v>29540.400000000001</v>
      </c>
      <c r="AG426">
        <f t="shared" si="48"/>
        <v>43842</v>
      </c>
    </row>
    <row r="427" spans="1:33" x14ac:dyDescent="0.25">
      <c r="A427">
        <v>1426</v>
      </c>
      <c r="B427" s="1">
        <v>45833</v>
      </c>
      <c r="C427" s="1">
        <v>45836</v>
      </c>
      <c r="D427" s="1">
        <v>45839</v>
      </c>
      <c r="E427" t="s">
        <v>1065</v>
      </c>
      <c r="F427" t="s">
        <v>455</v>
      </c>
      <c r="G427" t="s">
        <v>1070</v>
      </c>
      <c r="H427" t="str">
        <f t="shared" si="42"/>
        <v>Furniture</v>
      </c>
      <c r="I427">
        <v>6</v>
      </c>
      <c r="J427" t="str">
        <f>VLOOKUP(K427,$AJ$2:$AK$7,2,FALSE)</f>
        <v>S005</v>
      </c>
      <c r="K427" t="s">
        <v>1101</v>
      </c>
      <c r="L427">
        <v>4.3</v>
      </c>
      <c r="M427" t="str">
        <f>IFERROR(VLOOKUP(TRIM(N427),$AP$2:$AQ$12,2,FALSE),"W001")</f>
        <v>W002</v>
      </c>
      <c r="N427" t="s">
        <v>1049</v>
      </c>
      <c r="O427" t="s">
        <v>1063</v>
      </c>
      <c r="P427" t="str">
        <f>VLOOKUP(O427,$AL$2:$AM$12,2,FALSE)</f>
        <v>South</v>
      </c>
      <c r="Q427" t="s">
        <v>1080</v>
      </c>
      <c r="R427">
        <v>1341</v>
      </c>
      <c r="S427" t="s">
        <v>1078</v>
      </c>
      <c r="T427">
        <f t="shared" si="43"/>
        <v>6</v>
      </c>
      <c r="U427">
        <v>201.15</v>
      </c>
      <c r="V427">
        <f t="shared" si="44"/>
        <v>4</v>
      </c>
      <c r="W427" t="s">
        <v>1088</v>
      </c>
      <c r="X427" t="s">
        <v>1090</v>
      </c>
      <c r="Y427">
        <f t="shared" si="45"/>
        <v>0</v>
      </c>
      <c r="Z427" t="s">
        <v>1108</v>
      </c>
      <c r="AA427" t="str">
        <f t="shared" si="46"/>
        <v>Low</v>
      </c>
      <c r="AB427" t="s">
        <v>1103</v>
      </c>
      <c r="AC427" t="str">
        <f t="shared" si="47"/>
        <v>Yes</v>
      </c>
      <c r="AD427">
        <v>4</v>
      </c>
      <c r="AE427">
        <v>38412</v>
      </c>
      <c r="AF427">
        <v>15364.800000000001</v>
      </c>
      <c r="AG427">
        <f t="shared" si="48"/>
        <v>22846.049999999996</v>
      </c>
    </row>
    <row r="428" spans="1:33" x14ac:dyDescent="0.25">
      <c r="A428">
        <v>1427</v>
      </c>
      <c r="B428" s="1">
        <v>44862</v>
      </c>
      <c r="C428" s="1">
        <v>44864</v>
      </c>
      <c r="D428" s="1">
        <v>44869</v>
      </c>
      <c r="E428" t="s">
        <v>1064</v>
      </c>
      <c r="F428" t="s">
        <v>456</v>
      </c>
      <c r="G428" t="s">
        <v>1067</v>
      </c>
      <c r="H428" t="str">
        <f t="shared" si="42"/>
        <v>Clothing</v>
      </c>
      <c r="I428">
        <v>1</v>
      </c>
      <c r="J428" t="str">
        <f>VLOOKUP(K428,$AJ$2:$AK$7,2,FALSE)</f>
        <v>S004</v>
      </c>
      <c r="K428" t="s">
        <v>1100</v>
      </c>
      <c r="L428">
        <v>3.2</v>
      </c>
      <c r="M428" t="str">
        <f>IFERROR(VLOOKUP(TRIM(N428),$AP$2:$AQ$12,2,FALSE),"W001")</f>
        <v>W010</v>
      </c>
      <c r="N428" t="s">
        <v>1063</v>
      </c>
      <c r="O428" t="s">
        <v>1061</v>
      </c>
      <c r="P428" t="str">
        <f>VLOOKUP(O428,$AL$2:$AM$12,2,FALSE)</f>
        <v>West</v>
      </c>
      <c r="Q428" t="s">
        <v>1084</v>
      </c>
      <c r="R428">
        <v>1191</v>
      </c>
      <c r="S428" t="s">
        <v>1078</v>
      </c>
      <c r="T428">
        <f t="shared" si="43"/>
        <v>4</v>
      </c>
      <c r="U428">
        <v>357.3</v>
      </c>
      <c r="V428">
        <f t="shared" si="44"/>
        <v>6</v>
      </c>
      <c r="W428" t="s">
        <v>1088</v>
      </c>
      <c r="X428" t="s">
        <v>1091</v>
      </c>
      <c r="Y428">
        <f t="shared" si="45"/>
        <v>0</v>
      </c>
      <c r="Z428" t="s">
        <v>1108</v>
      </c>
      <c r="AA428" t="str">
        <f t="shared" si="46"/>
        <v>Low</v>
      </c>
      <c r="AB428" t="s">
        <v>1103</v>
      </c>
      <c r="AC428" t="str">
        <f t="shared" si="47"/>
        <v>Yes</v>
      </c>
      <c r="AD428">
        <v>5</v>
      </c>
      <c r="AE428">
        <v>1223</v>
      </c>
      <c r="AF428">
        <v>489.20000000000005</v>
      </c>
      <c r="AG428">
        <f t="shared" si="48"/>
        <v>376.49999999999994</v>
      </c>
    </row>
    <row r="429" spans="1:33" x14ac:dyDescent="0.25">
      <c r="A429">
        <v>1428</v>
      </c>
      <c r="B429" s="1">
        <v>44606</v>
      </c>
      <c r="C429" s="1">
        <v>44608</v>
      </c>
      <c r="D429" s="1">
        <v>44615</v>
      </c>
      <c r="E429" t="s">
        <v>1065</v>
      </c>
      <c r="F429" t="s">
        <v>457</v>
      </c>
      <c r="G429" t="s">
        <v>1069</v>
      </c>
      <c r="H429" t="str">
        <f t="shared" si="42"/>
        <v>Furniture</v>
      </c>
      <c r="I429">
        <v>3</v>
      </c>
      <c r="J429" t="str">
        <f>VLOOKUP(K429,$AJ$2:$AK$7,2,FALSE)</f>
        <v>S002</v>
      </c>
      <c r="K429" t="s">
        <v>1098</v>
      </c>
      <c r="L429">
        <v>3.6</v>
      </c>
      <c r="M429" t="str">
        <f>IFERROR(VLOOKUP(TRIM(N429),$AP$2:$AQ$12,2,FALSE),"W001")</f>
        <v>W009</v>
      </c>
      <c r="N429" t="s">
        <v>1060</v>
      </c>
      <c r="O429" t="s">
        <v>1055</v>
      </c>
      <c r="P429" t="str">
        <f>VLOOKUP(O429,$AL$2:$AM$12,2,FALSE)</f>
        <v>South</v>
      </c>
      <c r="Q429" t="s">
        <v>1085</v>
      </c>
      <c r="R429">
        <v>1153</v>
      </c>
      <c r="S429" t="s">
        <v>1078</v>
      </c>
      <c r="T429">
        <f t="shared" si="43"/>
        <v>9</v>
      </c>
      <c r="U429">
        <v>115.3</v>
      </c>
      <c r="V429">
        <f t="shared" si="44"/>
        <v>3</v>
      </c>
      <c r="W429" t="s">
        <v>1086</v>
      </c>
      <c r="X429" t="s">
        <v>1089</v>
      </c>
      <c r="Y429">
        <f t="shared" si="45"/>
        <v>115.3</v>
      </c>
      <c r="Z429" t="s">
        <v>1108</v>
      </c>
      <c r="AA429" t="str">
        <f t="shared" si="46"/>
        <v>Low</v>
      </c>
      <c r="AB429" t="s">
        <v>1103</v>
      </c>
      <c r="AC429" t="str">
        <f t="shared" si="47"/>
        <v>Yes</v>
      </c>
      <c r="AD429">
        <v>5</v>
      </c>
      <c r="AE429">
        <v>35976</v>
      </c>
      <c r="AF429">
        <v>14390.400000000001</v>
      </c>
      <c r="AG429">
        <f t="shared" si="48"/>
        <v>21470.3</v>
      </c>
    </row>
    <row r="430" spans="1:33" x14ac:dyDescent="0.25">
      <c r="A430">
        <v>1429</v>
      </c>
      <c r="B430" s="1">
        <v>44919</v>
      </c>
      <c r="C430" s="1">
        <v>44920</v>
      </c>
      <c r="D430" s="1">
        <v>44924</v>
      </c>
      <c r="E430" t="s">
        <v>1064</v>
      </c>
      <c r="F430" t="s">
        <v>458</v>
      </c>
      <c r="G430" t="s">
        <v>1071</v>
      </c>
      <c r="H430" t="str">
        <f t="shared" si="42"/>
        <v>Clothing</v>
      </c>
      <c r="I430">
        <v>1</v>
      </c>
      <c r="J430" t="str">
        <f>VLOOKUP(K430,$AJ$2:$AK$7,2,FALSE)</f>
        <v>S001</v>
      </c>
      <c r="K430" t="s">
        <v>1097</v>
      </c>
      <c r="L430">
        <v>3.7</v>
      </c>
      <c r="M430" t="str">
        <f>IFERROR(VLOOKUP(TRIM(N430),$AP$2:$AQ$12,2,FALSE),"W001")</f>
        <v>W008</v>
      </c>
      <c r="N430" t="s">
        <v>1061</v>
      </c>
      <c r="O430" t="s">
        <v>1051</v>
      </c>
      <c r="P430" t="str">
        <f>VLOOKUP(O430,$AL$2:$AM$12,2,FALSE)</f>
        <v>West</v>
      </c>
      <c r="Q430" t="s">
        <v>1081</v>
      </c>
      <c r="R430">
        <v>602</v>
      </c>
      <c r="S430" t="s">
        <v>1066</v>
      </c>
      <c r="T430">
        <f t="shared" si="43"/>
        <v>3</v>
      </c>
      <c r="U430">
        <v>120.4</v>
      </c>
      <c r="V430">
        <f t="shared" si="44"/>
        <v>5</v>
      </c>
      <c r="W430" t="s">
        <v>1088</v>
      </c>
      <c r="X430" t="s">
        <v>1091</v>
      </c>
      <c r="Y430">
        <f t="shared" si="45"/>
        <v>0</v>
      </c>
      <c r="Z430" t="s">
        <v>1108</v>
      </c>
      <c r="AA430" t="str">
        <f t="shared" si="46"/>
        <v>Low</v>
      </c>
      <c r="AB430" t="s">
        <v>1103</v>
      </c>
      <c r="AC430" t="str">
        <f t="shared" si="47"/>
        <v>Yes</v>
      </c>
      <c r="AD430">
        <v>4</v>
      </c>
      <c r="AE430">
        <v>1340</v>
      </c>
      <c r="AF430">
        <v>536</v>
      </c>
      <c r="AG430">
        <f t="shared" si="48"/>
        <v>683.6</v>
      </c>
    </row>
    <row r="431" spans="1:33" x14ac:dyDescent="0.25">
      <c r="A431">
        <v>1430</v>
      </c>
      <c r="B431" s="1">
        <v>45581</v>
      </c>
      <c r="C431" s="1">
        <v>45582</v>
      </c>
      <c r="D431" s="1">
        <v>45585</v>
      </c>
      <c r="E431" t="s">
        <v>1065</v>
      </c>
      <c r="F431" t="s">
        <v>459</v>
      </c>
      <c r="G431" t="s">
        <v>1067</v>
      </c>
      <c r="H431" t="str">
        <f t="shared" si="42"/>
        <v>Clothing</v>
      </c>
      <c r="I431">
        <v>3</v>
      </c>
      <c r="J431" t="str">
        <f>VLOOKUP(K431,$AJ$2:$AK$7,2,FALSE)</f>
        <v>S005</v>
      </c>
      <c r="K431" t="s">
        <v>1101</v>
      </c>
      <c r="L431">
        <v>5</v>
      </c>
      <c r="M431" t="str">
        <f>IFERROR(VLOOKUP(TRIM(N431),$AP$2:$AQ$12,2,FALSE),"W001")</f>
        <v>W006</v>
      </c>
      <c r="N431" t="s">
        <v>1057</v>
      </c>
      <c r="O431" t="s">
        <v>1049</v>
      </c>
      <c r="P431" t="str">
        <f>VLOOKUP(O431,$AL$2:$AM$12,2,FALSE)</f>
        <v>North</v>
      </c>
      <c r="Q431" t="s">
        <v>1080</v>
      </c>
      <c r="R431">
        <v>908</v>
      </c>
      <c r="S431" t="s">
        <v>1078</v>
      </c>
      <c r="T431">
        <f t="shared" si="43"/>
        <v>5</v>
      </c>
      <c r="U431">
        <v>136.19999999999999</v>
      </c>
      <c r="V431">
        <f t="shared" si="44"/>
        <v>4</v>
      </c>
      <c r="W431" t="s">
        <v>1087</v>
      </c>
      <c r="X431" t="s">
        <v>1091</v>
      </c>
      <c r="Y431">
        <f t="shared" si="45"/>
        <v>0</v>
      </c>
      <c r="Z431" t="s">
        <v>1108</v>
      </c>
      <c r="AA431" t="str">
        <f t="shared" si="46"/>
        <v>Low</v>
      </c>
      <c r="AB431" t="s">
        <v>1103</v>
      </c>
      <c r="AC431" t="str">
        <f t="shared" si="47"/>
        <v>Yes</v>
      </c>
      <c r="AD431">
        <v>4</v>
      </c>
      <c r="AE431">
        <v>3012</v>
      </c>
      <c r="AF431">
        <v>1204.8</v>
      </c>
      <c r="AG431">
        <f t="shared" si="48"/>
        <v>1671</v>
      </c>
    </row>
    <row r="432" spans="1:33" x14ac:dyDescent="0.25">
      <c r="A432">
        <v>1431</v>
      </c>
      <c r="B432" s="1">
        <v>44253</v>
      </c>
      <c r="C432" s="1">
        <v>44255</v>
      </c>
      <c r="D432" s="1">
        <v>44257</v>
      </c>
      <c r="E432" t="s">
        <v>1064</v>
      </c>
      <c r="F432" t="s">
        <v>460</v>
      </c>
      <c r="G432" t="s">
        <v>1069</v>
      </c>
      <c r="H432" t="str">
        <f t="shared" si="42"/>
        <v>Furniture</v>
      </c>
      <c r="I432">
        <v>2</v>
      </c>
      <c r="J432" t="str">
        <f>VLOOKUP(K432,$AJ$2:$AK$7,2,FALSE)</f>
        <v>S006</v>
      </c>
      <c r="K432" t="s">
        <v>1102</v>
      </c>
      <c r="L432">
        <v>3.6</v>
      </c>
      <c r="M432" t="str">
        <f>IFERROR(VLOOKUP(TRIM(N432),$AP$2:$AQ$12,2,FALSE),"W001")</f>
        <v>W008</v>
      </c>
      <c r="N432" t="s">
        <v>1061</v>
      </c>
      <c r="O432" t="s">
        <v>1057</v>
      </c>
      <c r="P432" t="str">
        <f>VLOOKUP(O432,$AL$2:$AM$12,2,FALSE)</f>
        <v>South</v>
      </c>
      <c r="Q432" t="s">
        <v>1080</v>
      </c>
      <c r="R432">
        <v>715</v>
      </c>
      <c r="S432" t="s">
        <v>1066</v>
      </c>
      <c r="T432">
        <f t="shared" si="43"/>
        <v>4</v>
      </c>
      <c r="U432">
        <v>107.25</v>
      </c>
      <c r="V432">
        <f t="shared" si="44"/>
        <v>4</v>
      </c>
      <c r="W432" t="s">
        <v>1086</v>
      </c>
      <c r="X432" t="s">
        <v>1091</v>
      </c>
      <c r="Y432">
        <f t="shared" si="45"/>
        <v>107.25</v>
      </c>
      <c r="Z432" t="s">
        <v>1108</v>
      </c>
      <c r="AA432" t="str">
        <f t="shared" si="46"/>
        <v>Low</v>
      </c>
      <c r="AB432" t="s">
        <v>1103</v>
      </c>
      <c r="AC432" t="str">
        <f t="shared" si="47"/>
        <v>Yes</v>
      </c>
      <c r="AD432">
        <v>4</v>
      </c>
      <c r="AE432">
        <v>25470</v>
      </c>
      <c r="AF432">
        <v>10188</v>
      </c>
      <c r="AG432">
        <f t="shared" si="48"/>
        <v>15174.75</v>
      </c>
    </row>
    <row r="433" spans="1:33" x14ac:dyDescent="0.25">
      <c r="A433">
        <v>1432</v>
      </c>
      <c r="B433" s="1">
        <v>46384</v>
      </c>
      <c r="C433" s="1">
        <v>46387</v>
      </c>
      <c r="D433" s="1">
        <v>46393</v>
      </c>
      <c r="E433" t="s">
        <v>1064</v>
      </c>
      <c r="F433" t="s">
        <v>461</v>
      </c>
      <c r="G433" t="s">
        <v>1070</v>
      </c>
      <c r="H433" t="str">
        <f t="shared" si="42"/>
        <v>Furniture</v>
      </c>
      <c r="I433">
        <v>8</v>
      </c>
      <c r="J433" t="str">
        <f>VLOOKUP(K433,$AJ$2:$AK$7,2,FALSE)</f>
        <v>S006</v>
      </c>
      <c r="K433" t="s">
        <v>1102</v>
      </c>
      <c r="L433">
        <v>3.9</v>
      </c>
      <c r="M433" t="str">
        <f>IFERROR(VLOOKUP(TRIM(N433),$AP$2:$AQ$12,2,FALSE),"W001")</f>
        <v>W011</v>
      </c>
      <c r="N433" t="s">
        <v>1059</v>
      </c>
      <c r="O433" t="s">
        <v>1051</v>
      </c>
      <c r="P433" t="str">
        <f>VLOOKUP(O433,$AL$2:$AM$12,2,FALSE)</f>
        <v>West</v>
      </c>
      <c r="Q433" t="s">
        <v>1085</v>
      </c>
      <c r="R433">
        <v>1833</v>
      </c>
      <c r="S433" t="s">
        <v>1078</v>
      </c>
      <c r="T433">
        <f t="shared" si="43"/>
        <v>12</v>
      </c>
      <c r="U433">
        <v>183.3</v>
      </c>
      <c r="V433">
        <f t="shared" si="44"/>
        <v>3</v>
      </c>
      <c r="W433" t="s">
        <v>1086</v>
      </c>
      <c r="X433" t="s">
        <v>1091</v>
      </c>
      <c r="Y433">
        <f t="shared" si="45"/>
        <v>183.3</v>
      </c>
      <c r="Z433" t="s">
        <v>1108</v>
      </c>
      <c r="AA433" t="str">
        <f t="shared" si="46"/>
        <v>Low</v>
      </c>
      <c r="AB433" t="s">
        <v>1103</v>
      </c>
      <c r="AC433" t="str">
        <f t="shared" si="47"/>
        <v>Yes</v>
      </c>
      <c r="AD433">
        <v>5</v>
      </c>
      <c r="AE433">
        <v>38088</v>
      </c>
      <c r="AF433">
        <v>15235.2</v>
      </c>
      <c r="AG433">
        <f t="shared" si="48"/>
        <v>22669.5</v>
      </c>
    </row>
    <row r="434" spans="1:33" x14ac:dyDescent="0.25">
      <c r="A434">
        <v>1433</v>
      </c>
      <c r="B434" s="1">
        <v>44375</v>
      </c>
      <c r="C434" s="1">
        <v>44376</v>
      </c>
      <c r="D434" s="1">
        <v>44381</v>
      </c>
      <c r="E434" t="s">
        <v>1065</v>
      </c>
      <c r="F434" t="s">
        <v>462</v>
      </c>
      <c r="G434" t="s">
        <v>1067</v>
      </c>
      <c r="H434" t="str">
        <f t="shared" si="42"/>
        <v>Clothing</v>
      </c>
      <c r="I434">
        <v>1</v>
      </c>
      <c r="J434" t="str">
        <f>VLOOKUP(K434,$AJ$2:$AK$7,2,FALSE)</f>
        <v>S001</v>
      </c>
      <c r="K434" t="s">
        <v>1097</v>
      </c>
      <c r="L434">
        <v>3.6</v>
      </c>
      <c r="M434" t="str">
        <f>IFERROR(VLOOKUP(TRIM(N434),$AP$2:$AQ$12,2,FALSE),"W001")</f>
        <v>W001</v>
      </c>
      <c r="N434" t="s">
        <v>1047</v>
      </c>
      <c r="O434" t="s">
        <v>1055</v>
      </c>
      <c r="P434" t="str">
        <f>VLOOKUP(O434,$AL$2:$AM$12,2,FALSE)</f>
        <v>South</v>
      </c>
      <c r="Q434" t="s">
        <v>1080</v>
      </c>
      <c r="R434">
        <v>711</v>
      </c>
      <c r="S434" t="s">
        <v>1066</v>
      </c>
      <c r="T434">
        <f t="shared" si="43"/>
        <v>4</v>
      </c>
      <c r="U434">
        <v>106.65</v>
      </c>
      <c r="V434">
        <f t="shared" si="44"/>
        <v>4</v>
      </c>
      <c r="W434" t="s">
        <v>1088</v>
      </c>
      <c r="X434" t="s">
        <v>1091</v>
      </c>
      <c r="Y434">
        <f t="shared" si="45"/>
        <v>0</v>
      </c>
      <c r="Z434" t="s">
        <v>1108</v>
      </c>
      <c r="AA434" t="str">
        <f t="shared" si="46"/>
        <v>Low</v>
      </c>
      <c r="AB434" t="s">
        <v>1103</v>
      </c>
      <c r="AC434" t="str">
        <f t="shared" si="47"/>
        <v>Yes</v>
      </c>
      <c r="AD434">
        <v>4</v>
      </c>
      <c r="AE434">
        <v>574</v>
      </c>
      <c r="AF434">
        <v>229.60000000000002</v>
      </c>
      <c r="AG434">
        <f t="shared" si="48"/>
        <v>237.74999999999997</v>
      </c>
    </row>
    <row r="435" spans="1:33" x14ac:dyDescent="0.25">
      <c r="A435">
        <v>1434</v>
      </c>
      <c r="B435" s="1">
        <v>45893</v>
      </c>
      <c r="C435" s="1">
        <v>45896</v>
      </c>
      <c r="D435" s="1">
        <v>45903</v>
      </c>
      <c r="E435" t="s">
        <v>1066</v>
      </c>
      <c r="F435" t="s">
        <v>463</v>
      </c>
      <c r="G435" t="s">
        <v>1071</v>
      </c>
      <c r="H435" t="str">
        <f t="shared" si="42"/>
        <v>Clothing</v>
      </c>
      <c r="I435">
        <v>1</v>
      </c>
      <c r="J435" t="str">
        <f>VLOOKUP(K435,$AJ$2:$AK$7,2,FALSE)</f>
        <v>S004</v>
      </c>
      <c r="K435" t="s">
        <v>1100</v>
      </c>
      <c r="L435">
        <v>3.9</v>
      </c>
      <c r="M435" t="str">
        <f>IFERROR(VLOOKUP(TRIM(N435),$AP$2:$AQ$12,2,FALSE),"W001")</f>
        <v>W008</v>
      </c>
      <c r="N435" t="s">
        <v>1061</v>
      </c>
      <c r="O435" t="s">
        <v>1059</v>
      </c>
      <c r="P435" t="str">
        <f>VLOOKUP(O435,$AL$2:$AM$12,2,FALSE)</f>
        <v>North</v>
      </c>
      <c r="Q435" t="s">
        <v>1084</v>
      </c>
      <c r="R435">
        <v>171</v>
      </c>
      <c r="S435" t="s">
        <v>1079</v>
      </c>
      <c r="T435">
        <f t="shared" si="43"/>
        <v>1</v>
      </c>
      <c r="U435">
        <v>51.3</v>
      </c>
      <c r="V435">
        <f t="shared" si="44"/>
        <v>6</v>
      </c>
      <c r="W435" t="s">
        <v>1086</v>
      </c>
      <c r="X435" t="s">
        <v>1089</v>
      </c>
      <c r="Y435">
        <f t="shared" si="45"/>
        <v>51.3</v>
      </c>
      <c r="Z435" t="s">
        <v>1108</v>
      </c>
      <c r="AA435" t="str">
        <f t="shared" si="46"/>
        <v>Low</v>
      </c>
      <c r="AB435" t="s">
        <v>1103</v>
      </c>
      <c r="AC435" t="str">
        <f t="shared" si="47"/>
        <v>Yes</v>
      </c>
      <c r="AD435">
        <v>5</v>
      </c>
      <c r="AE435">
        <v>2905</v>
      </c>
      <c r="AF435">
        <v>1162</v>
      </c>
      <c r="AG435">
        <f t="shared" si="48"/>
        <v>1691.7</v>
      </c>
    </row>
    <row r="436" spans="1:33" x14ac:dyDescent="0.25">
      <c r="A436">
        <v>1435</v>
      </c>
      <c r="B436" s="1">
        <v>44245</v>
      </c>
      <c r="C436" s="1">
        <v>44246</v>
      </c>
      <c r="D436" s="1">
        <v>44250</v>
      </c>
      <c r="E436" t="s">
        <v>1064</v>
      </c>
      <c r="F436" t="s">
        <v>464</v>
      </c>
      <c r="G436" t="s">
        <v>1072</v>
      </c>
      <c r="H436" t="str">
        <f t="shared" si="42"/>
        <v>Electronics</v>
      </c>
      <c r="I436">
        <v>2</v>
      </c>
      <c r="J436" t="str">
        <f>VLOOKUP(K436,$AJ$2:$AK$7,2,FALSE)</f>
        <v>S001</v>
      </c>
      <c r="K436" t="s">
        <v>1097</v>
      </c>
      <c r="L436">
        <v>3.4</v>
      </c>
      <c r="M436" t="str">
        <f>IFERROR(VLOOKUP(TRIM(N436),$AP$2:$AQ$12,2,FALSE),"W001")</f>
        <v>W007</v>
      </c>
      <c r="N436" t="s">
        <v>1062</v>
      </c>
      <c r="O436" t="s">
        <v>1063</v>
      </c>
      <c r="P436" t="str">
        <f>VLOOKUP(O436,$AL$2:$AM$12,2,FALSE)</f>
        <v>South</v>
      </c>
      <c r="Q436" t="s">
        <v>1082</v>
      </c>
      <c r="R436">
        <v>1043</v>
      </c>
      <c r="S436" t="s">
        <v>1078</v>
      </c>
      <c r="T436">
        <f t="shared" si="43"/>
        <v>3</v>
      </c>
      <c r="U436">
        <v>417.2</v>
      </c>
      <c r="V436">
        <f t="shared" si="44"/>
        <v>8</v>
      </c>
      <c r="W436" t="s">
        <v>1086</v>
      </c>
      <c r="X436" t="s">
        <v>1089</v>
      </c>
      <c r="Y436">
        <f t="shared" si="45"/>
        <v>417.2</v>
      </c>
      <c r="Z436" t="s">
        <v>1109</v>
      </c>
      <c r="AA436" t="str">
        <f t="shared" si="46"/>
        <v>High</v>
      </c>
      <c r="AB436" t="s">
        <v>1103</v>
      </c>
      <c r="AC436" t="str">
        <f t="shared" si="47"/>
        <v>No</v>
      </c>
      <c r="AD436">
        <v>3</v>
      </c>
      <c r="AE436">
        <v>45370</v>
      </c>
      <c r="AF436">
        <v>18148</v>
      </c>
      <c r="AG436">
        <f t="shared" si="48"/>
        <v>26804.799999999999</v>
      </c>
    </row>
    <row r="437" spans="1:33" x14ac:dyDescent="0.25">
      <c r="A437">
        <v>1436</v>
      </c>
      <c r="B437" s="1">
        <v>45842</v>
      </c>
      <c r="C437" s="1">
        <v>45845</v>
      </c>
      <c r="D437" s="1">
        <v>45847</v>
      </c>
      <c r="E437" t="s">
        <v>1064</v>
      </c>
      <c r="F437" t="s">
        <v>465</v>
      </c>
      <c r="G437" t="s">
        <v>1069</v>
      </c>
      <c r="H437" t="str">
        <f t="shared" si="42"/>
        <v>Furniture</v>
      </c>
      <c r="I437">
        <v>8</v>
      </c>
      <c r="J437" t="str">
        <f>VLOOKUP(K437,$AJ$2:$AK$7,2,FALSE)</f>
        <v>S005</v>
      </c>
      <c r="K437" t="s">
        <v>1101</v>
      </c>
      <c r="L437">
        <v>3.2</v>
      </c>
      <c r="M437" t="str">
        <f>IFERROR(VLOOKUP(TRIM(N437),$AP$2:$AQ$12,2,FALSE),"W001")</f>
        <v>W005</v>
      </c>
      <c r="N437" t="s">
        <v>1055</v>
      </c>
      <c r="O437" t="s">
        <v>1051</v>
      </c>
      <c r="P437" t="str">
        <f>VLOOKUP(O437,$AL$2:$AM$12,2,FALSE)</f>
        <v>West</v>
      </c>
      <c r="Q437" t="s">
        <v>1083</v>
      </c>
      <c r="R437">
        <v>1371</v>
      </c>
      <c r="S437" t="s">
        <v>1078</v>
      </c>
      <c r="T437">
        <f t="shared" si="43"/>
        <v>3</v>
      </c>
      <c r="U437">
        <v>685.5</v>
      </c>
      <c r="V437">
        <f t="shared" si="44"/>
        <v>10</v>
      </c>
      <c r="W437" t="s">
        <v>1086</v>
      </c>
      <c r="X437" t="s">
        <v>1091</v>
      </c>
      <c r="Y437">
        <f t="shared" si="45"/>
        <v>685.5</v>
      </c>
      <c r="Z437" t="s">
        <v>1108</v>
      </c>
      <c r="AA437" t="str">
        <f t="shared" si="46"/>
        <v>Medium</v>
      </c>
      <c r="AB437" t="s">
        <v>1103</v>
      </c>
      <c r="AC437" t="str">
        <f t="shared" si="47"/>
        <v>Yes</v>
      </c>
      <c r="AD437">
        <v>5</v>
      </c>
      <c r="AE437">
        <v>64040</v>
      </c>
      <c r="AF437">
        <v>25616</v>
      </c>
      <c r="AG437">
        <f t="shared" si="48"/>
        <v>37738.5</v>
      </c>
    </row>
    <row r="438" spans="1:33" x14ac:dyDescent="0.25">
      <c r="A438">
        <v>1437</v>
      </c>
      <c r="B438" s="1">
        <v>45233</v>
      </c>
      <c r="C438" s="1">
        <v>45234</v>
      </c>
      <c r="D438" s="1">
        <v>45237</v>
      </c>
      <c r="E438" t="s">
        <v>1066</v>
      </c>
      <c r="F438" t="s">
        <v>466</v>
      </c>
      <c r="G438" t="s">
        <v>1070</v>
      </c>
      <c r="H438" t="str">
        <f t="shared" si="42"/>
        <v>Furniture</v>
      </c>
      <c r="I438">
        <v>2</v>
      </c>
      <c r="J438" t="str">
        <f>VLOOKUP(K438,$AJ$2:$AK$7,2,FALSE)</f>
        <v>S001</v>
      </c>
      <c r="K438" t="s">
        <v>1097</v>
      </c>
      <c r="L438">
        <v>4.7</v>
      </c>
      <c r="M438" t="str">
        <f>IFERROR(VLOOKUP(TRIM(N438),$AP$2:$AQ$12,2,FALSE),"W001")</f>
        <v>W001</v>
      </c>
      <c r="N438" t="s">
        <v>1047</v>
      </c>
      <c r="O438" t="s">
        <v>1051</v>
      </c>
      <c r="P438" t="str">
        <f>VLOOKUP(O438,$AL$2:$AM$12,2,FALSE)</f>
        <v>West</v>
      </c>
      <c r="Q438" t="s">
        <v>1084</v>
      </c>
      <c r="R438">
        <v>934</v>
      </c>
      <c r="S438" t="s">
        <v>1078</v>
      </c>
      <c r="T438">
        <f t="shared" si="43"/>
        <v>4</v>
      </c>
      <c r="U438">
        <v>280.2</v>
      </c>
      <c r="V438">
        <f t="shared" si="44"/>
        <v>6</v>
      </c>
      <c r="W438" t="s">
        <v>1088</v>
      </c>
      <c r="X438" t="s">
        <v>1089</v>
      </c>
      <c r="Y438">
        <f t="shared" si="45"/>
        <v>0</v>
      </c>
      <c r="Z438" t="s">
        <v>1108</v>
      </c>
      <c r="AA438" t="str">
        <f t="shared" si="46"/>
        <v>Low</v>
      </c>
      <c r="AB438" t="s">
        <v>1103</v>
      </c>
      <c r="AC438" t="str">
        <f t="shared" si="47"/>
        <v>Yes</v>
      </c>
      <c r="AD438">
        <v>5</v>
      </c>
      <c r="AE438">
        <v>12844</v>
      </c>
      <c r="AF438">
        <v>5137.6000000000004</v>
      </c>
      <c r="AG438">
        <f t="shared" si="48"/>
        <v>7426.2</v>
      </c>
    </row>
    <row r="439" spans="1:33" x14ac:dyDescent="0.25">
      <c r="A439">
        <v>1438</v>
      </c>
      <c r="B439" s="1">
        <v>45455</v>
      </c>
      <c r="C439" s="1">
        <v>45456</v>
      </c>
      <c r="D439" s="1">
        <v>45461</v>
      </c>
      <c r="E439" t="s">
        <v>1065</v>
      </c>
      <c r="F439" t="s">
        <v>467</v>
      </c>
      <c r="G439" t="s">
        <v>1067</v>
      </c>
      <c r="H439" t="str">
        <f t="shared" si="42"/>
        <v>Clothing</v>
      </c>
      <c r="I439">
        <v>4</v>
      </c>
      <c r="J439" t="str">
        <f>VLOOKUP(K439,$AJ$2:$AK$7,2,FALSE)</f>
        <v>S004</v>
      </c>
      <c r="K439" t="s">
        <v>1100</v>
      </c>
      <c r="L439">
        <v>3.3</v>
      </c>
      <c r="M439" t="str">
        <f>IFERROR(VLOOKUP(TRIM(N439),$AP$2:$AQ$12,2,FALSE),"W001")</f>
        <v>W005</v>
      </c>
      <c r="N439" t="s">
        <v>1055</v>
      </c>
      <c r="O439" t="s">
        <v>1049</v>
      </c>
      <c r="P439" t="str">
        <f>VLOOKUP(O439,$AL$2:$AM$12,2,FALSE)</f>
        <v>North</v>
      </c>
      <c r="Q439" t="s">
        <v>1083</v>
      </c>
      <c r="R439">
        <v>1506</v>
      </c>
      <c r="S439" t="s">
        <v>1078</v>
      </c>
      <c r="T439">
        <f t="shared" si="43"/>
        <v>3</v>
      </c>
      <c r="U439">
        <v>753</v>
      </c>
      <c r="V439">
        <f t="shared" si="44"/>
        <v>10</v>
      </c>
      <c r="W439" t="s">
        <v>1086</v>
      </c>
      <c r="X439" t="s">
        <v>1091</v>
      </c>
      <c r="Y439">
        <f t="shared" si="45"/>
        <v>753</v>
      </c>
      <c r="Z439" t="s">
        <v>1108</v>
      </c>
      <c r="AA439" t="str">
        <f t="shared" si="46"/>
        <v>Medium</v>
      </c>
      <c r="AB439" t="s">
        <v>1104</v>
      </c>
      <c r="AC439" t="str">
        <f t="shared" si="47"/>
        <v>Yes</v>
      </c>
      <c r="AD439">
        <v>2</v>
      </c>
      <c r="AE439">
        <v>3648</v>
      </c>
      <c r="AF439">
        <v>1459.2</v>
      </c>
      <c r="AG439">
        <f t="shared" si="48"/>
        <v>1435.8000000000002</v>
      </c>
    </row>
    <row r="440" spans="1:33" x14ac:dyDescent="0.25">
      <c r="A440">
        <v>1439</v>
      </c>
      <c r="B440" s="1">
        <v>44772</v>
      </c>
      <c r="C440" s="1">
        <v>44774</v>
      </c>
      <c r="D440" s="1">
        <v>44777</v>
      </c>
      <c r="E440" t="s">
        <v>1065</v>
      </c>
      <c r="F440" t="s">
        <v>468</v>
      </c>
      <c r="G440" t="s">
        <v>1072</v>
      </c>
      <c r="H440" t="str">
        <f t="shared" si="42"/>
        <v>Electronics</v>
      </c>
      <c r="I440">
        <v>7</v>
      </c>
      <c r="J440" t="str">
        <f>VLOOKUP(K440,$AJ$2:$AK$7,2,FALSE)</f>
        <v>S005</v>
      </c>
      <c r="K440" t="s">
        <v>1101</v>
      </c>
      <c r="L440">
        <v>4.3</v>
      </c>
      <c r="M440" t="str">
        <f>IFERROR(VLOOKUP(TRIM(N440),$AP$2:$AQ$12,2,FALSE),"W001")</f>
        <v>W007</v>
      </c>
      <c r="N440" t="s">
        <v>1062</v>
      </c>
      <c r="O440" t="s">
        <v>1051</v>
      </c>
      <c r="P440" t="str">
        <f>VLOOKUP(O440,$AL$2:$AM$12,2,FALSE)</f>
        <v>West</v>
      </c>
      <c r="Q440" t="s">
        <v>1080</v>
      </c>
      <c r="R440">
        <v>1147</v>
      </c>
      <c r="S440" t="s">
        <v>1078</v>
      </c>
      <c r="T440">
        <f t="shared" si="43"/>
        <v>6</v>
      </c>
      <c r="U440">
        <v>172.05</v>
      </c>
      <c r="V440">
        <f t="shared" si="44"/>
        <v>4</v>
      </c>
      <c r="W440" t="s">
        <v>1088</v>
      </c>
      <c r="X440" t="s">
        <v>1089</v>
      </c>
      <c r="Y440">
        <f t="shared" si="45"/>
        <v>0</v>
      </c>
      <c r="Z440" t="s">
        <v>1108</v>
      </c>
      <c r="AA440" t="str">
        <f t="shared" si="46"/>
        <v>Low</v>
      </c>
      <c r="AB440" t="s">
        <v>1103</v>
      </c>
      <c r="AC440" t="str">
        <f t="shared" si="47"/>
        <v>Yes</v>
      </c>
      <c r="AD440">
        <v>4</v>
      </c>
      <c r="AE440">
        <v>196413</v>
      </c>
      <c r="AF440">
        <v>78565.2</v>
      </c>
      <c r="AG440">
        <f t="shared" si="48"/>
        <v>117675.75</v>
      </c>
    </row>
    <row r="441" spans="1:33" x14ac:dyDescent="0.25">
      <c r="A441">
        <v>1440</v>
      </c>
      <c r="B441" s="1">
        <v>45788</v>
      </c>
      <c r="C441" s="1">
        <v>45790</v>
      </c>
      <c r="D441" s="1">
        <v>45796</v>
      </c>
      <c r="E441" t="s">
        <v>1066</v>
      </c>
      <c r="F441" t="s">
        <v>469</v>
      </c>
      <c r="G441" t="s">
        <v>1069</v>
      </c>
      <c r="H441" t="str">
        <f t="shared" si="42"/>
        <v>Furniture</v>
      </c>
      <c r="I441">
        <v>8</v>
      </c>
      <c r="J441" t="str">
        <f>VLOOKUP(K441,$AJ$2:$AK$7,2,FALSE)</f>
        <v>S001</v>
      </c>
      <c r="K441" t="s">
        <v>1097</v>
      </c>
      <c r="L441">
        <v>4</v>
      </c>
      <c r="M441" t="str">
        <f>IFERROR(VLOOKUP(TRIM(N441),$AP$2:$AQ$12,2,FALSE),"W001")</f>
        <v>W010</v>
      </c>
      <c r="N441" t="s">
        <v>1063</v>
      </c>
      <c r="O441" t="s">
        <v>1051</v>
      </c>
      <c r="P441" t="str">
        <f>VLOOKUP(O441,$AL$2:$AM$12,2,FALSE)</f>
        <v>West</v>
      </c>
      <c r="Q441" t="s">
        <v>1080</v>
      </c>
      <c r="R441">
        <v>1735</v>
      </c>
      <c r="S441" t="s">
        <v>1078</v>
      </c>
      <c r="T441">
        <f t="shared" si="43"/>
        <v>8</v>
      </c>
      <c r="U441">
        <v>260.25</v>
      </c>
      <c r="V441">
        <f t="shared" si="44"/>
        <v>4</v>
      </c>
      <c r="W441" t="s">
        <v>1087</v>
      </c>
      <c r="X441" t="s">
        <v>1089</v>
      </c>
      <c r="Y441">
        <f t="shared" si="45"/>
        <v>0</v>
      </c>
      <c r="Z441" t="s">
        <v>1108</v>
      </c>
      <c r="AA441" t="str">
        <f t="shared" si="46"/>
        <v>Low</v>
      </c>
      <c r="AB441" t="s">
        <v>1103</v>
      </c>
      <c r="AC441" t="str">
        <f t="shared" si="47"/>
        <v>Yes</v>
      </c>
      <c r="AD441">
        <v>4</v>
      </c>
      <c r="AE441">
        <v>76840</v>
      </c>
      <c r="AF441">
        <v>30736</v>
      </c>
      <c r="AG441">
        <f t="shared" si="48"/>
        <v>45843.75</v>
      </c>
    </row>
    <row r="442" spans="1:33" x14ac:dyDescent="0.25">
      <c r="A442">
        <v>1441</v>
      </c>
      <c r="B442" s="1">
        <v>45078</v>
      </c>
      <c r="C442" s="1">
        <v>45079</v>
      </c>
      <c r="D442" s="1">
        <v>45084</v>
      </c>
      <c r="E442" t="s">
        <v>1065</v>
      </c>
      <c r="F442" t="s">
        <v>470</v>
      </c>
      <c r="G442" t="s">
        <v>1067</v>
      </c>
      <c r="H442" t="str">
        <f t="shared" si="42"/>
        <v>Clothing</v>
      </c>
      <c r="I442">
        <v>5</v>
      </c>
      <c r="J442" t="str">
        <f>VLOOKUP(K442,$AJ$2:$AK$7,2,FALSE)</f>
        <v>S004</v>
      </c>
      <c r="K442" t="s">
        <v>1100</v>
      </c>
      <c r="L442">
        <v>3.3</v>
      </c>
      <c r="M442" t="str">
        <f>IFERROR(VLOOKUP(TRIM(N442),$AP$2:$AQ$12,2,FALSE),"W001")</f>
        <v>W007</v>
      </c>
      <c r="N442" t="s">
        <v>1062</v>
      </c>
      <c r="O442" t="s">
        <v>1053</v>
      </c>
      <c r="P442" t="str">
        <f>VLOOKUP(O442,$AL$2:$AM$12,2,FALSE)</f>
        <v>South</v>
      </c>
      <c r="Q442" t="s">
        <v>1084</v>
      </c>
      <c r="R442">
        <v>334</v>
      </c>
      <c r="S442" t="s">
        <v>1066</v>
      </c>
      <c r="T442">
        <f t="shared" si="43"/>
        <v>2</v>
      </c>
      <c r="U442">
        <v>100.2</v>
      </c>
      <c r="V442">
        <f t="shared" si="44"/>
        <v>6</v>
      </c>
      <c r="W442" t="s">
        <v>1087</v>
      </c>
      <c r="X442" t="s">
        <v>1091</v>
      </c>
      <c r="Y442">
        <f t="shared" si="45"/>
        <v>0</v>
      </c>
      <c r="Z442" t="s">
        <v>1108</v>
      </c>
      <c r="AA442" t="str">
        <f t="shared" si="46"/>
        <v>Low</v>
      </c>
      <c r="AB442" t="s">
        <v>1103</v>
      </c>
      <c r="AC442" t="str">
        <f t="shared" si="47"/>
        <v>Yes</v>
      </c>
      <c r="AD442">
        <v>4</v>
      </c>
      <c r="AE442">
        <v>4620</v>
      </c>
      <c r="AF442">
        <v>1848</v>
      </c>
      <c r="AG442">
        <f t="shared" si="48"/>
        <v>2671.8</v>
      </c>
    </row>
    <row r="443" spans="1:33" x14ac:dyDescent="0.25">
      <c r="A443">
        <v>1442</v>
      </c>
      <c r="B443" s="1">
        <v>45255</v>
      </c>
      <c r="C443" s="1">
        <v>45258</v>
      </c>
      <c r="D443" s="1">
        <v>45263</v>
      </c>
      <c r="E443" t="s">
        <v>1066</v>
      </c>
      <c r="F443" t="s">
        <v>471</v>
      </c>
      <c r="G443" t="s">
        <v>1070</v>
      </c>
      <c r="H443" t="str">
        <f t="shared" si="42"/>
        <v>Furniture</v>
      </c>
      <c r="I443">
        <v>9</v>
      </c>
      <c r="J443" t="str">
        <f>VLOOKUP(K443,$AJ$2:$AK$7,2,FALSE)</f>
        <v>S001</v>
      </c>
      <c r="K443" t="s">
        <v>1097</v>
      </c>
      <c r="L443">
        <v>4.8</v>
      </c>
      <c r="M443" t="str">
        <f>IFERROR(VLOOKUP(TRIM(N443),$AP$2:$AQ$12,2,FALSE),"W001")</f>
        <v>W001</v>
      </c>
      <c r="N443" t="s">
        <v>1047</v>
      </c>
      <c r="O443" t="s">
        <v>1051</v>
      </c>
      <c r="P443" t="str">
        <f>VLOOKUP(O443,$AL$2:$AM$12,2,FALSE)</f>
        <v>West</v>
      </c>
      <c r="Q443" t="s">
        <v>1082</v>
      </c>
      <c r="R443">
        <v>1831</v>
      </c>
      <c r="S443" t="s">
        <v>1078</v>
      </c>
      <c r="T443">
        <f t="shared" si="43"/>
        <v>5</v>
      </c>
      <c r="U443">
        <v>732.4</v>
      </c>
      <c r="V443">
        <f t="shared" si="44"/>
        <v>8</v>
      </c>
      <c r="W443" t="s">
        <v>1087</v>
      </c>
      <c r="X443" t="s">
        <v>1089</v>
      </c>
      <c r="Y443">
        <f t="shared" si="45"/>
        <v>0</v>
      </c>
      <c r="Z443" t="s">
        <v>1109</v>
      </c>
      <c r="AA443" t="str">
        <f t="shared" si="46"/>
        <v>High</v>
      </c>
      <c r="AB443" t="s">
        <v>1104</v>
      </c>
      <c r="AC443" t="str">
        <f t="shared" si="47"/>
        <v>No</v>
      </c>
      <c r="AD443">
        <v>1</v>
      </c>
      <c r="AE443">
        <v>30690</v>
      </c>
      <c r="AF443">
        <v>12276</v>
      </c>
      <c r="AG443">
        <f t="shared" si="48"/>
        <v>17681.599999999999</v>
      </c>
    </row>
    <row r="444" spans="1:33" x14ac:dyDescent="0.25">
      <c r="A444">
        <v>1443</v>
      </c>
      <c r="B444" s="1">
        <v>46241</v>
      </c>
      <c r="C444" s="1">
        <v>46243</v>
      </c>
      <c r="D444" s="1">
        <v>46246</v>
      </c>
      <c r="E444" t="s">
        <v>1066</v>
      </c>
      <c r="F444" t="s">
        <v>472</v>
      </c>
      <c r="G444" t="s">
        <v>1069</v>
      </c>
      <c r="H444" t="str">
        <f t="shared" si="42"/>
        <v>Furniture</v>
      </c>
      <c r="I444">
        <v>4</v>
      </c>
      <c r="J444" t="str">
        <f>VLOOKUP(K444,$AJ$2:$AK$7,2,FALSE)</f>
        <v>S006</v>
      </c>
      <c r="K444" t="s">
        <v>1102</v>
      </c>
      <c r="L444">
        <v>3.5</v>
      </c>
      <c r="M444" t="str">
        <f>IFERROR(VLOOKUP(TRIM(N444),$AP$2:$AQ$12,2,FALSE),"W001")</f>
        <v>W010</v>
      </c>
      <c r="N444" t="s">
        <v>1063</v>
      </c>
      <c r="O444" t="s">
        <v>1055</v>
      </c>
      <c r="P444" t="str">
        <f>VLOOKUP(O444,$AL$2:$AM$12,2,FALSE)</f>
        <v>South</v>
      </c>
      <c r="Q444" t="s">
        <v>1082</v>
      </c>
      <c r="R444">
        <v>1507</v>
      </c>
      <c r="S444" t="s">
        <v>1078</v>
      </c>
      <c r="T444">
        <f t="shared" si="43"/>
        <v>4</v>
      </c>
      <c r="U444">
        <v>602.79999999999995</v>
      </c>
      <c r="V444">
        <f t="shared" si="44"/>
        <v>8</v>
      </c>
      <c r="W444" t="s">
        <v>1087</v>
      </c>
      <c r="X444" t="s">
        <v>1091</v>
      </c>
      <c r="Y444">
        <f t="shared" si="45"/>
        <v>0</v>
      </c>
      <c r="Z444" t="s">
        <v>1109</v>
      </c>
      <c r="AA444" t="str">
        <f t="shared" si="46"/>
        <v>High</v>
      </c>
      <c r="AB444" t="s">
        <v>1103</v>
      </c>
      <c r="AC444" t="str">
        <f t="shared" si="47"/>
        <v>No</v>
      </c>
      <c r="AD444">
        <v>3</v>
      </c>
      <c r="AE444">
        <v>52024</v>
      </c>
      <c r="AF444">
        <v>20809.600000000002</v>
      </c>
      <c r="AG444">
        <f t="shared" si="48"/>
        <v>30611.599999999999</v>
      </c>
    </row>
    <row r="445" spans="1:33" x14ac:dyDescent="0.25">
      <c r="A445">
        <v>1444</v>
      </c>
      <c r="B445" s="1">
        <v>46328</v>
      </c>
      <c r="C445" s="1">
        <v>46330</v>
      </c>
      <c r="D445" s="1">
        <v>46332</v>
      </c>
      <c r="E445" t="s">
        <v>1066</v>
      </c>
      <c r="F445" t="s">
        <v>473</v>
      </c>
      <c r="G445" t="s">
        <v>1070</v>
      </c>
      <c r="H445" t="str">
        <f t="shared" si="42"/>
        <v>Furniture</v>
      </c>
      <c r="I445">
        <v>10</v>
      </c>
      <c r="J445" t="str">
        <f>VLOOKUP(K445,$AJ$2:$AK$7,2,FALSE)</f>
        <v>S006</v>
      </c>
      <c r="K445" t="s">
        <v>1102</v>
      </c>
      <c r="L445">
        <v>4.2</v>
      </c>
      <c r="M445" t="str">
        <f>IFERROR(VLOOKUP(TRIM(N445),$AP$2:$AQ$12,2,FALSE),"W001")</f>
        <v>W003</v>
      </c>
      <c r="N445" t="s">
        <v>1051</v>
      </c>
      <c r="O445" t="s">
        <v>1059</v>
      </c>
      <c r="P445" t="str">
        <f>VLOOKUP(O445,$AL$2:$AM$12,2,FALSE)</f>
        <v>North</v>
      </c>
      <c r="Q445" t="s">
        <v>1084</v>
      </c>
      <c r="R445">
        <v>1677</v>
      </c>
      <c r="S445" t="s">
        <v>1078</v>
      </c>
      <c r="T445">
        <f t="shared" si="43"/>
        <v>6</v>
      </c>
      <c r="U445">
        <v>503.1</v>
      </c>
      <c r="V445">
        <f t="shared" si="44"/>
        <v>6</v>
      </c>
      <c r="W445" t="s">
        <v>1086</v>
      </c>
      <c r="X445" t="s">
        <v>1091</v>
      </c>
      <c r="Y445">
        <f t="shared" si="45"/>
        <v>503.1</v>
      </c>
      <c r="Z445" t="s">
        <v>1109</v>
      </c>
      <c r="AA445" t="str">
        <f t="shared" si="46"/>
        <v>High</v>
      </c>
      <c r="AB445" t="s">
        <v>1104</v>
      </c>
      <c r="AC445" t="str">
        <f t="shared" si="47"/>
        <v>No</v>
      </c>
      <c r="AD445">
        <v>1</v>
      </c>
      <c r="AE445">
        <v>36520</v>
      </c>
      <c r="AF445">
        <v>14608</v>
      </c>
      <c r="AG445">
        <f t="shared" si="48"/>
        <v>21408.9</v>
      </c>
    </row>
    <row r="446" spans="1:33" x14ac:dyDescent="0.25">
      <c r="A446">
        <v>1445</v>
      </c>
      <c r="B446" s="1">
        <v>44945</v>
      </c>
      <c r="C446" s="1">
        <v>44948</v>
      </c>
      <c r="D446" s="1">
        <v>44951</v>
      </c>
      <c r="E446" t="s">
        <v>1065</v>
      </c>
      <c r="F446" t="s">
        <v>474</v>
      </c>
      <c r="G446" t="s">
        <v>1068</v>
      </c>
      <c r="H446" t="str">
        <f t="shared" si="42"/>
        <v>Electronics</v>
      </c>
      <c r="I446">
        <v>4</v>
      </c>
      <c r="J446" t="str">
        <f>VLOOKUP(K446,$AJ$2:$AK$7,2,FALSE)</f>
        <v>S002</v>
      </c>
      <c r="K446" t="s">
        <v>1098</v>
      </c>
      <c r="L446">
        <v>4.3</v>
      </c>
      <c r="M446" t="str">
        <f>IFERROR(VLOOKUP(TRIM(N446),$AP$2:$AQ$12,2,FALSE),"W001")</f>
        <v>W002</v>
      </c>
      <c r="N446" t="s">
        <v>1049</v>
      </c>
      <c r="O446" t="s">
        <v>1047</v>
      </c>
      <c r="P446" t="str">
        <f>VLOOKUP(O446,$AL$2:$AM$12,2,FALSE)</f>
        <v>West</v>
      </c>
      <c r="Q446" t="s">
        <v>1083</v>
      </c>
      <c r="R446">
        <v>431</v>
      </c>
      <c r="S446" t="s">
        <v>1066</v>
      </c>
      <c r="T446">
        <f t="shared" si="43"/>
        <v>2</v>
      </c>
      <c r="U446">
        <v>215.5</v>
      </c>
      <c r="V446">
        <f t="shared" si="44"/>
        <v>10</v>
      </c>
      <c r="W446" t="s">
        <v>1088</v>
      </c>
      <c r="X446" t="s">
        <v>1091</v>
      </c>
      <c r="Y446">
        <f t="shared" si="45"/>
        <v>0</v>
      </c>
      <c r="Z446" t="s">
        <v>1108</v>
      </c>
      <c r="AA446" t="str">
        <f t="shared" si="46"/>
        <v>Medium</v>
      </c>
      <c r="AB446" t="s">
        <v>1103</v>
      </c>
      <c r="AC446" t="str">
        <f t="shared" si="47"/>
        <v>Yes</v>
      </c>
      <c r="AD446">
        <v>5</v>
      </c>
      <c r="AE446">
        <v>252024</v>
      </c>
      <c r="AF446">
        <v>100809.60000000001</v>
      </c>
      <c r="AG446">
        <f t="shared" si="48"/>
        <v>150998.9</v>
      </c>
    </row>
    <row r="447" spans="1:33" x14ac:dyDescent="0.25">
      <c r="A447">
        <v>1446</v>
      </c>
      <c r="B447" s="1">
        <v>44940</v>
      </c>
      <c r="C447" s="1">
        <v>44943</v>
      </c>
      <c r="D447" s="1">
        <v>44946</v>
      </c>
      <c r="E447" t="s">
        <v>1066</v>
      </c>
      <c r="F447" t="s">
        <v>475</v>
      </c>
      <c r="G447" t="s">
        <v>1069</v>
      </c>
      <c r="H447" t="str">
        <f t="shared" si="42"/>
        <v>Furniture</v>
      </c>
      <c r="I447">
        <v>4</v>
      </c>
      <c r="J447" t="str">
        <f>VLOOKUP(K447,$AJ$2:$AK$7,2,FALSE)</f>
        <v>S005</v>
      </c>
      <c r="K447" t="s">
        <v>1101</v>
      </c>
      <c r="L447">
        <v>4.7</v>
      </c>
      <c r="M447" t="str">
        <f>IFERROR(VLOOKUP(TRIM(N447),$AP$2:$AQ$12,2,FALSE),"W001")</f>
        <v>W010</v>
      </c>
      <c r="N447" t="s">
        <v>1063</v>
      </c>
      <c r="O447" t="s">
        <v>1061</v>
      </c>
      <c r="P447" t="str">
        <f>VLOOKUP(O447,$AL$2:$AM$12,2,FALSE)</f>
        <v>West</v>
      </c>
      <c r="Q447" t="s">
        <v>1080</v>
      </c>
      <c r="R447">
        <v>1666</v>
      </c>
      <c r="S447" t="s">
        <v>1078</v>
      </c>
      <c r="T447">
        <f t="shared" si="43"/>
        <v>8</v>
      </c>
      <c r="U447">
        <v>249.9</v>
      </c>
      <c r="V447">
        <f t="shared" si="44"/>
        <v>4</v>
      </c>
      <c r="W447" t="s">
        <v>1087</v>
      </c>
      <c r="X447" t="s">
        <v>1089</v>
      </c>
      <c r="Y447">
        <f t="shared" si="45"/>
        <v>0</v>
      </c>
      <c r="Z447" t="s">
        <v>1108</v>
      </c>
      <c r="AA447" t="str">
        <f t="shared" si="46"/>
        <v>Low</v>
      </c>
      <c r="AB447" t="s">
        <v>1103</v>
      </c>
      <c r="AC447" t="str">
        <f t="shared" si="47"/>
        <v>Yes</v>
      </c>
      <c r="AD447">
        <v>4</v>
      </c>
      <c r="AE447">
        <v>27608</v>
      </c>
      <c r="AF447">
        <v>11043.2</v>
      </c>
      <c r="AG447">
        <f t="shared" si="48"/>
        <v>16314.9</v>
      </c>
    </row>
    <row r="448" spans="1:33" x14ac:dyDescent="0.25">
      <c r="A448">
        <v>1447</v>
      </c>
      <c r="B448" s="1">
        <v>44285</v>
      </c>
      <c r="C448" s="1">
        <v>44287</v>
      </c>
      <c r="D448" s="1">
        <v>44294</v>
      </c>
      <c r="E448" t="s">
        <v>1064</v>
      </c>
      <c r="F448" t="s">
        <v>476</v>
      </c>
      <c r="G448" t="s">
        <v>1072</v>
      </c>
      <c r="H448" t="str">
        <f t="shared" si="42"/>
        <v>Electronics</v>
      </c>
      <c r="I448">
        <v>1</v>
      </c>
      <c r="J448" t="str">
        <f>VLOOKUP(K448,$AJ$2:$AK$7,2,FALSE)</f>
        <v>S003</v>
      </c>
      <c r="K448" t="s">
        <v>1099</v>
      </c>
      <c r="L448">
        <v>5</v>
      </c>
      <c r="M448" t="str">
        <f>IFERROR(VLOOKUP(TRIM(N448),$AP$2:$AQ$12,2,FALSE),"W001")</f>
        <v>W009</v>
      </c>
      <c r="N448" t="s">
        <v>1060</v>
      </c>
      <c r="O448" t="s">
        <v>1063</v>
      </c>
      <c r="P448" t="str">
        <f>VLOOKUP(O448,$AL$2:$AM$12,2,FALSE)</f>
        <v>South</v>
      </c>
      <c r="Q448" t="s">
        <v>1083</v>
      </c>
      <c r="R448">
        <v>1059</v>
      </c>
      <c r="S448" t="s">
        <v>1078</v>
      </c>
      <c r="T448">
        <f t="shared" si="43"/>
        <v>3</v>
      </c>
      <c r="U448">
        <v>529.5</v>
      </c>
      <c r="V448">
        <f t="shared" si="44"/>
        <v>10</v>
      </c>
      <c r="W448" t="s">
        <v>1088</v>
      </c>
      <c r="X448" t="s">
        <v>1091</v>
      </c>
      <c r="Y448">
        <f t="shared" si="45"/>
        <v>0</v>
      </c>
      <c r="Z448" t="s">
        <v>1108</v>
      </c>
      <c r="AA448" t="str">
        <f t="shared" si="46"/>
        <v>Medium</v>
      </c>
      <c r="AB448" t="s">
        <v>1103</v>
      </c>
      <c r="AC448" t="str">
        <f t="shared" si="47"/>
        <v>Yes</v>
      </c>
      <c r="AD448">
        <v>4</v>
      </c>
      <c r="AE448">
        <v>25175</v>
      </c>
      <c r="AF448">
        <v>10070</v>
      </c>
      <c r="AG448">
        <f t="shared" si="48"/>
        <v>14575.5</v>
      </c>
    </row>
    <row r="449" spans="1:33" x14ac:dyDescent="0.25">
      <c r="A449">
        <v>1448</v>
      </c>
      <c r="B449" s="1">
        <v>45017</v>
      </c>
      <c r="C449" s="1">
        <v>45019</v>
      </c>
      <c r="D449" s="1">
        <v>45021</v>
      </c>
      <c r="E449" t="s">
        <v>1065</v>
      </c>
      <c r="F449" t="s">
        <v>477</v>
      </c>
      <c r="G449" t="s">
        <v>1069</v>
      </c>
      <c r="H449" t="str">
        <f t="shared" si="42"/>
        <v>Furniture</v>
      </c>
      <c r="I449">
        <v>7</v>
      </c>
      <c r="J449" t="str">
        <f>VLOOKUP(K449,$AJ$2:$AK$7,2,FALSE)</f>
        <v>S001</v>
      </c>
      <c r="K449" t="s">
        <v>1097</v>
      </c>
      <c r="L449">
        <v>3</v>
      </c>
      <c r="M449" t="str">
        <f>IFERROR(VLOOKUP(TRIM(N449),$AP$2:$AQ$12,2,FALSE),"W001")</f>
        <v>W008</v>
      </c>
      <c r="N449" t="s">
        <v>1061</v>
      </c>
      <c r="O449" t="s">
        <v>1047</v>
      </c>
      <c r="P449" t="str">
        <f>VLOOKUP(O449,$AL$2:$AM$12,2,FALSE)</f>
        <v>West</v>
      </c>
      <c r="Q449" t="s">
        <v>1083</v>
      </c>
      <c r="R449">
        <v>1411</v>
      </c>
      <c r="S449" t="s">
        <v>1078</v>
      </c>
      <c r="T449">
        <f t="shared" si="43"/>
        <v>3</v>
      </c>
      <c r="U449">
        <v>705.5</v>
      </c>
      <c r="V449">
        <f t="shared" si="44"/>
        <v>10</v>
      </c>
      <c r="W449" t="s">
        <v>1086</v>
      </c>
      <c r="X449" t="s">
        <v>1089</v>
      </c>
      <c r="Y449">
        <f t="shared" si="45"/>
        <v>705.5</v>
      </c>
      <c r="Z449" t="s">
        <v>1108</v>
      </c>
      <c r="AA449" t="str">
        <f t="shared" si="46"/>
        <v>Medium</v>
      </c>
      <c r="AB449" t="s">
        <v>1104</v>
      </c>
      <c r="AC449" t="str">
        <f t="shared" si="47"/>
        <v>Yes</v>
      </c>
      <c r="AD449">
        <v>1</v>
      </c>
      <c r="AE449">
        <v>89964</v>
      </c>
      <c r="AF449">
        <v>35985.599999999999</v>
      </c>
      <c r="AG449">
        <f t="shared" si="48"/>
        <v>53272.9</v>
      </c>
    </row>
    <row r="450" spans="1:33" x14ac:dyDescent="0.25">
      <c r="A450">
        <v>1449</v>
      </c>
      <c r="B450" s="1">
        <v>45937</v>
      </c>
      <c r="C450" s="1">
        <v>45938</v>
      </c>
      <c r="D450" s="1">
        <v>45941</v>
      </c>
      <c r="E450" t="s">
        <v>1064</v>
      </c>
      <c r="F450" t="s">
        <v>478</v>
      </c>
      <c r="G450" t="s">
        <v>1072</v>
      </c>
      <c r="H450" t="str">
        <f t="shared" si="42"/>
        <v>Electronics</v>
      </c>
      <c r="I450">
        <v>7</v>
      </c>
      <c r="J450" t="str">
        <f>VLOOKUP(K450,$AJ$2:$AK$7,2,FALSE)</f>
        <v>S001</v>
      </c>
      <c r="K450" t="s">
        <v>1097</v>
      </c>
      <c r="L450">
        <v>3.7</v>
      </c>
      <c r="M450" t="str">
        <f>IFERROR(VLOOKUP(TRIM(N450),$AP$2:$AQ$12,2,FALSE),"W001")</f>
        <v>W006</v>
      </c>
      <c r="N450" t="s">
        <v>1057</v>
      </c>
      <c r="O450" t="s">
        <v>1049</v>
      </c>
      <c r="P450" t="str">
        <f>VLOOKUP(O450,$AL$2:$AM$12,2,FALSE)</f>
        <v>North</v>
      </c>
      <c r="Q450" t="s">
        <v>1083</v>
      </c>
      <c r="R450">
        <v>916</v>
      </c>
      <c r="S450" t="s">
        <v>1078</v>
      </c>
      <c r="T450">
        <f t="shared" si="43"/>
        <v>2</v>
      </c>
      <c r="U450">
        <v>458</v>
      </c>
      <c r="V450">
        <f t="shared" si="44"/>
        <v>10</v>
      </c>
      <c r="W450" t="s">
        <v>1088</v>
      </c>
      <c r="X450" t="s">
        <v>1090</v>
      </c>
      <c r="Y450">
        <f t="shared" si="45"/>
        <v>0</v>
      </c>
      <c r="Z450" t="s">
        <v>1108</v>
      </c>
      <c r="AA450" t="str">
        <f t="shared" si="46"/>
        <v>Medium</v>
      </c>
      <c r="AB450" t="s">
        <v>1103</v>
      </c>
      <c r="AC450" t="str">
        <f t="shared" si="47"/>
        <v>Yes</v>
      </c>
      <c r="AD450">
        <v>5</v>
      </c>
      <c r="AE450">
        <v>204722</v>
      </c>
      <c r="AF450">
        <v>81888.800000000003</v>
      </c>
      <c r="AG450">
        <f t="shared" si="48"/>
        <v>122375.2</v>
      </c>
    </row>
    <row r="451" spans="1:33" x14ac:dyDescent="0.25">
      <c r="A451">
        <v>1450</v>
      </c>
      <c r="B451" s="1">
        <v>45559</v>
      </c>
      <c r="C451" s="1">
        <v>45562</v>
      </c>
      <c r="D451" s="1">
        <v>45566</v>
      </c>
      <c r="E451" t="s">
        <v>1064</v>
      </c>
      <c r="F451" t="s">
        <v>479</v>
      </c>
      <c r="G451" t="s">
        <v>1068</v>
      </c>
      <c r="H451" t="str">
        <f t="shared" ref="H451:H514" si="49">IF(OR(G451="Laptop",G451="Mobile"),"Electronics",
IF(OR(G451="T-Shirt",G451="Jeans"),"Clothing",
IF(OR(G451="Table",G451="Chair"),"Furniture","")))</f>
        <v>Electronics</v>
      </c>
      <c r="I451">
        <v>6</v>
      </c>
      <c r="J451" t="str">
        <f>VLOOKUP(K451,$AJ$2:$AK$7,2,FALSE)</f>
        <v>S003</v>
      </c>
      <c r="K451" t="s">
        <v>1099</v>
      </c>
      <c r="L451">
        <v>3.5</v>
      </c>
      <c r="M451" t="str">
        <f>IFERROR(VLOOKUP(TRIM(N451),$AP$2:$AQ$12,2,FALSE),"W001")</f>
        <v>W002</v>
      </c>
      <c r="N451" t="s">
        <v>1049</v>
      </c>
      <c r="O451" t="s">
        <v>1057</v>
      </c>
      <c r="P451" t="str">
        <f>VLOOKUP(O451,$AL$2:$AM$12,2,FALSE)</f>
        <v>South</v>
      </c>
      <c r="Q451" t="s">
        <v>1084</v>
      </c>
      <c r="R451">
        <v>913</v>
      </c>
      <c r="S451" t="s">
        <v>1078</v>
      </c>
      <c r="T451">
        <f t="shared" ref="T451:T514" si="50">IF(Q451="Air",ROUND(R451/700,0)+1,
IF(Q451="Express",ROUND(R451/500,0)+1,
IF(Q451="Courier",ROUND(R451/350,0)+1,
IF(Q451="Road",ROUND(R451/250,0)+1,
IF(Q451="Rail",ROUND(R451/300,0)+2,
IF(Q451="Ship",ROUND(R451/200,0)+3,""))))))</f>
        <v>4</v>
      </c>
      <c r="U451">
        <v>273.89999999999998</v>
      </c>
      <c r="V451">
        <f t="shared" ref="V451:V514" si="51">IF(Q451="Road",5,
IF(Q451="Rail",4,
IF(Q451="Air",10,
IF(Q451="Ship",3,
IF(Q451="Courier",6,
IF(Q451="Express",8))))))</f>
        <v>6</v>
      </c>
      <c r="W451" t="s">
        <v>1087</v>
      </c>
      <c r="X451" t="s">
        <v>1091</v>
      </c>
      <c r="Y451">
        <f t="shared" ref="Y451:Y514" si="52">IF(W451="COD",U451,0)</f>
        <v>0</v>
      </c>
      <c r="Z451" t="s">
        <v>1108</v>
      </c>
      <c r="AA451" t="str">
        <f t="shared" ref="AA451:AA514" si="53">IF(Z451="Delayed","High",
IF(OR(Q451="Air",Q451="Express"),"Medium","Low"))</f>
        <v>Low</v>
      </c>
      <c r="AB451" t="s">
        <v>1103</v>
      </c>
      <c r="AC451" t="str">
        <f t="shared" ref="AC451:AC514" si="54">IF(Z451="Delayed","No","Yes")</f>
        <v>Yes</v>
      </c>
      <c r="AD451">
        <v>5</v>
      </c>
      <c r="AE451">
        <v>277290</v>
      </c>
      <c r="AF451">
        <v>110916</v>
      </c>
      <c r="AG451">
        <f t="shared" ref="AG451:AG514" si="55">AE451 - AF451-U451</f>
        <v>166100.1</v>
      </c>
    </row>
    <row r="452" spans="1:33" x14ac:dyDescent="0.25">
      <c r="A452">
        <v>1451</v>
      </c>
      <c r="B452" s="1">
        <v>44982</v>
      </c>
      <c r="C452" s="1">
        <v>44983</v>
      </c>
      <c r="D452" s="1">
        <v>44986</v>
      </c>
      <c r="E452" t="s">
        <v>1066</v>
      </c>
      <c r="F452" t="s">
        <v>480</v>
      </c>
      <c r="G452" t="s">
        <v>1072</v>
      </c>
      <c r="H452" t="str">
        <f t="shared" si="49"/>
        <v>Electronics</v>
      </c>
      <c r="I452">
        <v>8</v>
      </c>
      <c r="J452" t="str">
        <f>VLOOKUP(K452,$AJ$2:$AK$7,2,FALSE)</f>
        <v>S001</v>
      </c>
      <c r="K452" t="s">
        <v>1097</v>
      </c>
      <c r="L452">
        <v>3.5</v>
      </c>
      <c r="M452" t="str">
        <f>IFERROR(VLOOKUP(TRIM(N452),$AP$2:$AQ$12,2,FALSE),"W001")</f>
        <v>W001</v>
      </c>
      <c r="N452" t="s">
        <v>1047</v>
      </c>
      <c r="O452" t="s">
        <v>1051</v>
      </c>
      <c r="P452" t="str">
        <f>VLOOKUP(O452,$AL$2:$AM$12,2,FALSE)</f>
        <v>West</v>
      </c>
      <c r="Q452" t="s">
        <v>1083</v>
      </c>
      <c r="R452">
        <v>807</v>
      </c>
      <c r="S452" t="s">
        <v>1078</v>
      </c>
      <c r="T452">
        <f t="shared" si="50"/>
        <v>2</v>
      </c>
      <c r="U452">
        <v>403.5</v>
      </c>
      <c r="V452">
        <f t="shared" si="51"/>
        <v>10</v>
      </c>
      <c r="W452" t="s">
        <v>1088</v>
      </c>
      <c r="X452" t="s">
        <v>1089</v>
      </c>
      <c r="Y452">
        <f t="shared" si="52"/>
        <v>0</v>
      </c>
      <c r="Z452" t="s">
        <v>1108</v>
      </c>
      <c r="AA452" t="str">
        <f t="shared" si="53"/>
        <v>Medium</v>
      </c>
      <c r="AB452" t="s">
        <v>1103</v>
      </c>
      <c r="AC452" t="str">
        <f t="shared" si="54"/>
        <v>Yes</v>
      </c>
      <c r="AD452">
        <v>4</v>
      </c>
      <c r="AE452">
        <v>108080</v>
      </c>
      <c r="AF452">
        <v>43232</v>
      </c>
      <c r="AG452">
        <f t="shared" si="55"/>
        <v>64444.5</v>
      </c>
    </row>
    <row r="453" spans="1:33" x14ac:dyDescent="0.25">
      <c r="A453">
        <v>1452</v>
      </c>
      <c r="B453" s="1">
        <v>44405</v>
      </c>
      <c r="C453" s="1">
        <v>44407</v>
      </c>
      <c r="D453" s="1">
        <v>44412</v>
      </c>
      <c r="E453" t="s">
        <v>1064</v>
      </c>
      <c r="F453" t="s">
        <v>481</v>
      </c>
      <c r="G453" t="s">
        <v>1067</v>
      </c>
      <c r="H453" t="str">
        <f t="shared" si="49"/>
        <v>Clothing</v>
      </c>
      <c r="I453">
        <v>1</v>
      </c>
      <c r="J453" t="str">
        <f>VLOOKUP(K453,$AJ$2:$AK$7,2,FALSE)</f>
        <v>S005</v>
      </c>
      <c r="K453" t="s">
        <v>1101</v>
      </c>
      <c r="L453">
        <v>3.7</v>
      </c>
      <c r="M453" t="str">
        <f>IFERROR(VLOOKUP(TRIM(N453),$AP$2:$AQ$12,2,FALSE),"W001")</f>
        <v>W007</v>
      </c>
      <c r="N453" t="s">
        <v>1062</v>
      </c>
      <c r="O453" t="s">
        <v>1051</v>
      </c>
      <c r="P453" t="str">
        <f>VLOOKUP(O453,$AL$2:$AM$12,2,FALSE)</f>
        <v>West</v>
      </c>
      <c r="Q453" t="s">
        <v>1081</v>
      </c>
      <c r="R453">
        <v>1681</v>
      </c>
      <c r="S453" t="s">
        <v>1078</v>
      </c>
      <c r="T453">
        <f t="shared" si="50"/>
        <v>8</v>
      </c>
      <c r="U453">
        <v>336.2</v>
      </c>
      <c r="V453">
        <f t="shared" si="51"/>
        <v>5</v>
      </c>
      <c r="W453" t="s">
        <v>1088</v>
      </c>
      <c r="X453" t="s">
        <v>1091</v>
      </c>
      <c r="Y453">
        <f t="shared" si="52"/>
        <v>0</v>
      </c>
      <c r="Z453" t="s">
        <v>1109</v>
      </c>
      <c r="AA453" t="str">
        <f t="shared" si="53"/>
        <v>High</v>
      </c>
      <c r="AB453" t="s">
        <v>1104</v>
      </c>
      <c r="AC453" t="str">
        <f t="shared" si="54"/>
        <v>No</v>
      </c>
      <c r="AD453">
        <v>1</v>
      </c>
      <c r="AE453">
        <v>841</v>
      </c>
      <c r="AF453">
        <v>336.40000000000003</v>
      </c>
      <c r="AG453">
        <f t="shared" si="55"/>
        <v>168.39999999999998</v>
      </c>
    </row>
    <row r="454" spans="1:33" x14ac:dyDescent="0.25">
      <c r="A454">
        <v>1453</v>
      </c>
      <c r="B454" s="1">
        <v>44725</v>
      </c>
      <c r="C454" s="1">
        <v>44727</v>
      </c>
      <c r="D454" s="1">
        <v>44732</v>
      </c>
      <c r="E454" t="s">
        <v>1064</v>
      </c>
      <c r="F454" t="s">
        <v>482</v>
      </c>
      <c r="G454" t="s">
        <v>1069</v>
      </c>
      <c r="H454" t="str">
        <f t="shared" si="49"/>
        <v>Furniture</v>
      </c>
      <c r="I454">
        <v>7</v>
      </c>
      <c r="J454" t="str">
        <f>VLOOKUP(K454,$AJ$2:$AK$7,2,FALSE)</f>
        <v>S001</v>
      </c>
      <c r="K454" t="s">
        <v>1097</v>
      </c>
      <c r="L454">
        <v>4.4000000000000004</v>
      </c>
      <c r="M454" t="str">
        <f>IFERROR(VLOOKUP(TRIM(N454),$AP$2:$AQ$12,2,FALSE),"W001")</f>
        <v>W004</v>
      </c>
      <c r="N454" t="s">
        <v>1053</v>
      </c>
      <c r="O454" t="s">
        <v>1059</v>
      </c>
      <c r="P454" t="str">
        <f>VLOOKUP(O454,$AL$2:$AM$12,2,FALSE)</f>
        <v>North</v>
      </c>
      <c r="Q454" t="s">
        <v>1084</v>
      </c>
      <c r="R454">
        <v>748</v>
      </c>
      <c r="S454" t="s">
        <v>1066</v>
      </c>
      <c r="T454">
        <f t="shared" si="50"/>
        <v>3</v>
      </c>
      <c r="U454">
        <v>224.4</v>
      </c>
      <c r="V454">
        <f t="shared" si="51"/>
        <v>6</v>
      </c>
      <c r="W454" t="s">
        <v>1088</v>
      </c>
      <c r="X454" t="s">
        <v>1091</v>
      </c>
      <c r="Y454">
        <f t="shared" si="52"/>
        <v>0</v>
      </c>
      <c r="Z454" t="s">
        <v>1108</v>
      </c>
      <c r="AA454" t="str">
        <f t="shared" si="53"/>
        <v>Low</v>
      </c>
      <c r="AB454" t="s">
        <v>1103</v>
      </c>
      <c r="AC454" t="str">
        <f t="shared" si="54"/>
        <v>Yes</v>
      </c>
      <c r="AD454">
        <v>4</v>
      </c>
      <c r="AE454">
        <v>79772</v>
      </c>
      <c r="AF454">
        <v>31908.800000000003</v>
      </c>
      <c r="AG454">
        <f t="shared" si="55"/>
        <v>47638.799999999996</v>
      </c>
    </row>
    <row r="455" spans="1:33" x14ac:dyDescent="0.25">
      <c r="A455">
        <v>1454</v>
      </c>
      <c r="B455" s="1">
        <v>45381</v>
      </c>
      <c r="C455" s="1">
        <v>45383</v>
      </c>
      <c r="D455" s="1">
        <v>45385</v>
      </c>
      <c r="E455" t="s">
        <v>1066</v>
      </c>
      <c r="F455" t="s">
        <v>483</v>
      </c>
      <c r="G455" t="s">
        <v>1071</v>
      </c>
      <c r="H455" t="str">
        <f t="shared" si="49"/>
        <v>Clothing</v>
      </c>
      <c r="I455">
        <v>9</v>
      </c>
      <c r="J455" t="str">
        <f>VLOOKUP(K455,$AJ$2:$AK$7,2,FALSE)</f>
        <v>S004</v>
      </c>
      <c r="K455" t="s">
        <v>1100</v>
      </c>
      <c r="L455">
        <v>3</v>
      </c>
      <c r="M455" t="str">
        <f>IFERROR(VLOOKUP(TRIM(N455),$AP$2:$AQ$12,2,FALSE),"W001")</f>
        <v>W009</v>
      </c>
      <c r="N455" t="s">
        <v>1060</v>
      </c>
      <c r="O455" t="s">
        <v>1051</v>
      </c>
      <c r="P455" t="str">
        <f>VLOOKUP(O455,$AL$2:$AM$12,2,FALSE)</f>
        <v>West</v>
      </c>
      <c r="Q455" t="s">
        <v>1084</v>
      </c>
      <c r="R455">
        <v>908</v>
      </c>
      <c r="S455" t="s">
        <v>1078</v>
      </c>
      <c r="T455">
        <f t="shared" si="50"/>
        <v>4</v>
      </c>
      <c r="U455">
        <v>272.39999999999998</v>
      </c>
      <c r="V455">
        <f t="shared" si="51"/>
        <v>6</v>
      </c>
      <c r="W455" t="s">
        <v>1087</v>
      </c>
      <c r="X455" t="s">
        <v>1091</v>
      </c>
      <c r="Y455">
        <f t="shared" si="52"/>
        <v>0</v>
      </c>
      <c r="Z455" t="s">
        <v>1108</v>
      </c>
      <c r="AA455" t="str">
        <f t="shared" si="53"/>
        <v>Low</v>
      </c>
      <c r="AB455" t="s">
        <v>1103</v>
      </c>
      <c r="AC455" t="str">
        <f t="shared" si="54"/>
        <v>Yes</v>
      </c>
      <c r="AD455">
        <v>4</v>
      </c>
      <c r="AE455">
        <v>18909</v>
      </c>
      <c r="AF455">
        <v>7563.6</v>
      </c>
      <c r="AG455">
        <f t="shared" si="55"/>
        <v>11073</v>
      </c>
    </row>
    <row r="456" spans="1:33" x14ac:dyDescent="0.25">
      <c r="A456">
        <v>1455</v>
      </c>
      <c r="B456" s="1">
        <v>44999</v>
      </c>
      <c r="C456" s="1">
        <v>45002</v>
      </c>
      <c r="D456" s="1">
        <v>45005</v>
      </c>
      <c r="E456" t="s">
        <v>1064</v>
      </c>
      <c r="F456" t="s">
        <v>484</v>
      </c>
      <c r="G456" t="s">
        <v>1067</v>
      </c>
      <c r="H456" t="str">
        <f t="shared" si="49"/>
        <v>Clothing</v>
      </c>
      <c r="I456">
        <v>10</v>
      </c>
      <c r="J456" t="str">
        <f>VLOOKUP(K456,$AJ$2:$AK$7,2,FALSE)</f>
        <v>S001</v>
      </c>
      <c r="K456" t="s">
        <v>1097</v>
      </c>
      <c r="L456">
        <v>3.4</v>
      </c>
      <c r="M456" t="str">
        <f>IFERROR(VLOOKUP(TRIM(N456),$AP$2:$AQ$12,2,FALSE),"W001")</f>
        <v>W005</v>
      </c>
      <c r="N456" t="s">
        <v>1055</v>
      </c>
      <c r="O456" t="s">
        <v>1060</v>
      </c>
      <c r="P456" t="str">
        <f>VLOOKUP(O456,$AL$2:$AM$12,2,FALSE)</f>
        <v>North</v>
      </c>
      <c r="Q456" t="s">
        <v>1085</v>
      </c>
      <c r="R456">
        <v>480</v>
      </c>
      <c r="S456" t="s">
        <v>1066</v>
      </c>
      <c r="T456">
        <f t="shared" si="50"/>
        <v>5</v>
      </c>
      <c r="U456">
        <v>48</v>
      </c>
      <c r="V456">
        <f t="shared" si="51"/>
        <v>3</v>
      </c>
      <c r="W456" t="s">
        <v>1086</v>
      </c>
      <c r="X456" t="s">
        <v>1089</v>
      </c>
      <c r="Y456">
        <f t="shared" si="52"/>
        <v>48</v>
      </c>
      <c r="Z456" t="s">
        <v>1108</v>
      </c>
      <c r="AA456" t="str">
        <f t="shared" si="53"/>
        <v>Low</v>
      </c>
      <c r="AB456" t="s">
        <v>1103</v>
      </c>
      <c r="AC456" t="str">
        <f t="shared" si="54"/>
        <v>Yes</v>
      </c>
      <c r="AD456">
        <v>5</v>
      </c>
      <c r="AE456">
        <v>12700</v>
      </c>
      <c r="AF456">
        <v>5080</v>
      </c>
      <c r="AG456">
        <f t="shared" si="55"/>
        <v>7572</v>
      </c>
    </row>
    <row r="457" spans="1:33" x14ac:dyDescent="0.25">
      <c r="A457">
        <v>1456</v>
      </c>
      <c r="B457" s="1">
        <v>46248</v>
      </c>
      <c r="C457" s="1">
        <v>46250</v>
      </c>
      <c r="D457" s="1">
        <v>46257</v>
      </c>
      <c r="E457" t="s">
        <v>1065</v>
      </c>
      <c r="F457" t="s">
        <v>485</v>
      </c>
      <c r="G457" t="s">
        <v>1068</v>
      </c>
      <c r="H457" t="str">
        <f t="shared" si="49"/>
        <v>Electronics</v>
      </c>
      <c r="I457">
        <v>6</v>
      </c>
      <c r="J457" t="str">
        <f>VLOOKUP(K457,$AJ$2:$AK$7,2,FALSE)</f>
        <v>S006</v>
      </c>
      <c r="K457" t="s">
        <v>1102</v>
      </c>
      <c r="L457">
        <v>5</v>
      </c>
      <c r="M457" t="str">
        <f>IFERROR(VLOOKUP(TRIM(N457),$AP$2:$AQ$12,2,FALSE),"W001")</f>
        <v>W004</v>
      </c>
      <c r="N457" t="s">
        <v>1053</v>
      </c>
      <c r="O457" t="s">
        <v>1061</v>
      </c>
      <c r="P457" t="str">
        <f>VLOOKUP(O457,$AL$2:$AM$12,2,FALSE)</f>
        <v>West</v>
      </c>
      <c r="Q457" t="s">
        <v>1083</v>
      </c>
      <c r="R457">
        <v>1129</v>
      </c>
      <c r="S457" t="s">
        <v>1078</v>
      </c>
      <c r="T457">
        <f t="shared" si="50"/>
        <v>3</v>
      </c>
      <c r="U457">
        <v>564.5</v>
      </c>
      <c r="V457">
        <f t="shared" si="51"/>
        <v>10</v>
      </c>
      <c r="W457" t="s">
        <v>1086</v>
      </c>
      <c r="X457" t="s">
        <v>1091</v>
      </c>
      <c r="Y457">
        <f t="shared" si="52"/>
        <v>564.5</v>
      </c>
      <c r="Z457" t="s">
        <v>1108</v>
      </c>
      <c r="AA457" t="str">
        <f t="shared" si="53"/>
        <v>Medium</v>
      </c>
      <c r="AB457" t="s">
        <v>1104</v>
      </c>
      <c r="AC457" t="str">
        <f t="shared" si="54"/>
        <v>Yes</v>
      </c>
      <c r="AD457">
        <v>1</v>
      </c>
      <c r="AE457">
        <v>372456</v>
      </c>
      <c r="AF457">
        <v>148982.39999999999</v>
      </c>
      <c r="AG457">
        <f t="shared" si="55"/>
        <v>222909.1</v>
      </c>
    </row>
    <row r="458" spans="1:33" x14ac:dyDescent="0.25">
      <c r="A458">
        <v>1457</v>
      </c>
      <c r="B458" s="1">
        <v>45354</v>
      </c>
      <c r="C458" s="1">
        <v>45357</v>
      </c>
      <c r="D458" s="1">
        <v>45360</v>
      </c>
      <c r="E458" t="s">
        <v>1065</v>
      </c>
      <c r="F458" t="s">
        <v>486</v>
      </c>
      <c r="G458" t="s">
        <v>1067</v>
      </c>
      <c r="H458" t="str">
        <f t="shared" si="49"/>
        <v>Clothing</v>
      </c>
      <c r="I458">
        <v>3</v>
      </c>
      <c r="J458" t="str">
        <f>VLOOKUP(K458,$AJ$2:$AK$7,2,FALSE)</f>
        <v>S004</v>
      </c>
      <c r="K458" t="s">
        <v>1100</v>
      </c>
      <c r="L458">
        <v>4.8</v>
      </c>
      <c r="M458" t="str">
        <f>IFERROR(VLOOKUP(TRIM(N458),$AP$2:$AQ$12,2,FALSE),"W001")</f>
        <v>W004</v>
      </c>
      <c r="N458" t="s">
        <v>1053</v>
      </c>
      <c r="O458" t="s">
        <v>1063</v>
      </c>
      <c r="P458" t="str">
        <f>VLOOKUP(O458,$AL$2:$AM$12,2,FALSE)</f>
        <v>South</v>
      </c>
      <c r="Q458" t="s">
        <v>1083</v>
      </c>
      <c r="R458">
        <v>1666</v>
      </c>
      <c r="S458" t="s">
        <v>1078</v>
      </c>
      <c r="T458">
        <f t="shared" si="50"/>
        <v>3</v>
      </c>
      <c r="U458">
        <v>833</v>
      </c>
      <c r="V458">
        <f t="shared" si="51"/>
        <v>10</v>
      </c>
      <c r="W458" t="s">
        <v>1087</v>
      </c>
      <c r="X458" t="s">
        <v>1090</v>
      </c>
      <c r="Y458">
        <f t="shared" si="52"/>
        <v>0</v>
      </c>
      <c r="Z458" t="s">
        <v>1108</v>
      </c>
      <c r="AA458" t="str">
        <f t="shared" si="53"/>
        <v>Medium</v>
      </c>
      <c r="AB458" t="s">
        <v>1104</v>
      </c>
      <c r="AC458" t="str">
        <f t="shared" si="54"/>
        <v>Yes</v>
      </c>
      <c r="AD458">
        <v>2</v>
      </c>
      <c r="AE458">
        <v>4494</v>
      </c>
      <c r="AF458">
        <v>1797.6000000000001</v>
      </c>
      <c r="AG458">
        <f t="shared" si="55"/>
        <v>1863.3999999999996</v>
      </c>
    </row>
    <row r="459" spans="1:33" x14ac:dyDescent="0.25">
      <c r="A459">
        <v>1458</v>
      </c>
      <c r="B459" s="1">
        <v>44783</v>
      </c>
      <c r="C459" s="1">
        <v>44786</v>
      </c>
      <c r="D459" s="1">
        <v>44790</v>
      </c>
      <c r="E459" t="s">
        <v>1064</v>
      </c>
      <c r="F459" t="s">
        <v>487</v>
      </c>
      <c r="G459" t="s">
        <v>1072</v>
      </c>
      <c r="H459" t="str">
        <f t="shared" si="49"/>
        <v>Electronics</v>
      </c>
      <c r="I459">
        <v>9</v>
      </c>
      <c r="J459" t="str">
        <f>VLOOKUP(K459,$AJ$2:$AK$7,2,FALSE)</f>
        <v>S001</v>
      </c>
      <c r="K459" t="s">
        <v>1097</v>
      </c>
      <c r="L459">
        <v>3.7</v>
      </c>
      <c r="M459" t="str">
        <f>IFERROR(VLOOKUP(TRIM(N459),$AP$2:$AQ$12,2,FALSE),"W001")</f>
        <v>W005</v>
      </c>
      <c r="N459" t="s">
        <v>1055</v>
      </c>
      <c r="O459" t="s">
        <v>1063</v>
      </c>
      <c r="P459" t="str">
        <f>VLOOKUP(O459,$AL$2:$AM$12,2,FALSE)</f>
        <v>South</v>
      </c>
      <c r="Q459" t="s">
        <v>1084</v>
      </c>
      <c r="R459">
        <v>1857</v>
      </c>
      <c r="S459" t="s">
        <v>1078</v>
      </c>
      <c r="T459">
        <f t="shared" si="50"/>
        <v>6</v>
      </c>
      <c r="U459">
        <v>557.1</v>
      </c>
      <c r="V459">
        <f t="shared" si="51"/>
        <v>6</v>
      </c>
      <c r="W459" t="s">
        <v>1088</v>
      </c>
      <c r="X459" t="s">
        <v>1091</v>
      </c>
      <c r="Y459">
        <f t="shared" si="52"/>
        <v>0</v>
      </c>
      <c r="Z459" t="s">
        <v>1109</v>
      </c>
      <c r="AA459" t="str">
        <f t="shared" si="53"/>
        <v>High</v>
      </c>
      <c r="AB459" t="s">
        <v>1103</v>
      </c>
      <c r="AC459" t="str">
        <f t="shared" si="54"/>
        <v>No</v>
      </c>
      <c r="AD459">
        <v>2</v>
      </c>
      <c r="AE459">
        <v>258903</v>
      </c>
      <c r="AF459">
        <v>103561.20000000001</v>
      </c>
      <c r="AG459">
        <f t="shared" si="55"/>
        <v>154784.69999999998</v>
      </c>
    </row>
    <row r="460" spans="1:33" x14ac:dyDescent="0.25">
      <c r="A460">
        <v>1459</v>
      </c>
      <c r="B460" s="1">
        <v>45512</v>
      </c>
      <c r="C460" s="1">
        <v>45514</v>
      </c>
      <c r="D460" s="1">
        <v>45517</v>
      </c>
      <c r="E460" t="s">
        <v>1066</v>
      </c>
      <c r="F460" t="s">
        <v>488</v>
      </c>
      <c r="G460" t="s">
        <v>1070</v>
      </c>
      <c r="H460" t="str">
        <f t="shared" si="49"/>
        <v>Furniture</v>
      </c>
      <c r="I460">
        <v>3</v>
      </c>
      <c r="J460" t="str">
        <f>VLOOKUP(K460,$AJ$2:$AK$7,2,FALSE)</f>
        <v>S001</v>
      </c>
      <c r="K460" t="s">
        <v>1097</v>
      </c>
      <c r="L460">
        <v>4.5999999999999996</v>
      </c>
      <c r="M460" t="str">
        <f>IFERROR(VLOOKUP(TRIM(N460),$AP$2:$AQ$12,2,FALSE),"W001")</f>
        <v>W005</v>
      </c>
      <c r="N460" t="s">
        <v>1055</v>
      </c>
      <c r="O460" t="s">
        <v>1051</v>
      </c>
      <c r="P460" t="str">
        <f>VLOOKUP(O460,$AL$2:$AM$12,2,FALSE)</f>
        <v>West</v>
      </c>
      <c r="Q460" t="s">
        <v>1084</v>
      </c>
      <c r="R460">
        <v>868</v>
      </c>
      <c r="S460" t="s">
        <v>1078</v>
      </c>
      <c r="T460">
        <f t="shared" si="50"/>
        <v>3</v>
      </c>
      <c r="U460">
        <v>260.39999999999998</v>
      </c>
      <c r="V460">
        <f t="shared" si="51"/>
        <v>6</v>
      </c>
      <c r="W460" t="s">
        <v>1088</v>
      </c>
      <c r="X460" t="s">
        <v>1091</v>
      </c>
      <c r="Y460">
        <f t="shared" si="52"/>
        <v>0</v>
      </c>
      <c r="Z460" t="s">
        <v>1108</v>
      </c>
      <c r="AA460" t="str">
        <f t="shared" si="53"/>
        <v>Low</v>
      </c>
      <c r="AB460" t="s">
        <v>1103</v>
      </c>
      <c r="AC460" t="str">
        <f t="shared" si="54"/>
        <v>Yes</v>
      </c>
      <c r="AD460">
        <v>4</v>
      </c>
      <c r="AE460">
        <v>11475</v>
      </c>
      <c r="AF460">
        <v>4590</v>
      </c>
      <c r="AG460">
        <f t="shared" si="55"/>
        <v>6624.6</v>
      </c>
    </row>
    <row r="461" spans="1:33" x14ac:dyDescent="0.25">
      <c r="A461">
        <v>1460</v>
      </c>
      <c r="B461" s="1">
        <v>44721</v>
      </c>
      <c r="C461" s="1">
        <v>44722</v>
      </c>
      <c r="D461" s="1">
        <v>44724</v>
      </c>
      <c r="E461" t="s">
        <v>1064</v>
      </c>
      <c r="F461" t="s">
        <v>489</v>
      </c>
      <c r="G461" t="s">
        <v>1070</v>
      </c>
      <c r="H461" t="str">
        <f t="shared" si="49"/>
        <v>Furniture</v>
      </c>
      <c r="I461">
        <v>4</v>
      </c>
      <c r="J461" t="str">
        <f>VLOOKUP(K461,$AJ$2:$AK$7,2,FALSE)</f>
        <v>S006</v>
      </c>
      <c r="K461" t="s">
        <v>1102</v>
      </c>
      <c r="L461">
        <v>4.4000000000000004</v>
      </c>
      <c r="M461" t="str">
        <f>IFERROR(VLOOKUP(TRIM(N461),$AP$2:$AQ$12,2,FALSE),"W001")</f>
        <v>W007</v>
      </c>
      <c r="N461" t="s">
        <v>1062</v>
      </c>
      <c r="O461" t="s">
        <v>1049</v>
      </c>
      <c r="P461" t="str">
        <f>VLOOKUP(O461,$AL$2:$AM$12,2,FALSE)</f>
        <v>North</v>
      </c>
      <c r="Q461" t="s">
        <v>1082</v>
      </c>
      <c r="R461">
        <v>1249</v>
      </c>
      <c r="S461" t="s">
        <v>1078</v>
      </c>
      <c r="T461">
        <f t="shared" si="50"/>
        <v>3</v>
      </c>
      <c r="U461">
        <v>499.6</v>
      </c>
      <c r="V461">
        <f t="shared" si="51"/>
        <v>8</v>
      </c>
      <c r="W461" t="s">
        <v>1088</v>
      </c>
      <c r="X461" t="s">
        <v>1089</v>
      </c>
      <c r="Y461">
        <f t="shared" si="52"/>
        <v>0</v>
      </c>
      <c r="Z461" t="s">
        <v>1109</v>
      </c>
      <c r="AA461" t="str">
        <f t="shared" si="53"/>
        <v>High</v>
      </c>
      <c r="AB461" t="s">
        <v>1104</v>
      </c>
      <c r="AC461" t="str">
        <f t="shared" si="54"/>
        <v>No</v>
      </c>
      <c r="AD461">
        <v>1</v>
      </c>
      <c r="AE461">
        <v>20288</v>
      </c>
      <c r="AF461">
        <v>8115.2000000000007</v>
      </c>
      <c r="AG461">
        <f t="shared" si="55"/>
        <v>11673.199999999999</v>
      </c>
    </row>
    <row r="462" spans="1:33" x14ac:dyDescent="0.25">
      <c r="A462">
        <v>1461</v>
      </c>
      <c r="B462" s="1">
        <v>44601</v>
      </c>
      <c r="C462" s="1">
        <v>44604</v>
      </c>
      <c r="D462" s="1">
        <v>44606</v>
      </c>
      <c r="E462" t="s">
        <v>1064</v>
      </c>
      <c r="F462" t="s">
        <v>490</v>
      </c>
      <c r="G462" t="s">
        <v>1068</v>
      </c>
      <c r="H462" t="str">
        <f t="shared" si="49"/>
        <v>Electronics</v>
      </c>
      <c r="I462">
        <v>8</v>
      </c>
      <c r="J462" t="str">
        <f>VLOOKUP(K462,$AJ$2:$AK$7,2,FALSE)</f>
        <v>S006</v>
      </c>
      <c r="K462" t="s">
        <v>1102</v>
      </c>
      <c r="L462">
        <v>3.7</v>
      </c>
      <c r="M462" t="str">
        <f>IFERROR(VLOOKUP(TRIM(N462),$AP$2:$AQ$12,2,FALSE),"W001")</f>
        <v>W001</v>
      </c>
      <c r="N462" t="s">
        <v>1047</v>
      </c>
      <c r="O462" t="s">
        <v>1053</v>
      </c>
      <c r="P462" t="str">
        <f>VLOOKUP(O462,$AL$2:$AM$12,2,FALSE)</f>
        <v>South</v>
      </c>
      <c r="Q462" t="s">
        <v>1083</v>
      </c>
      <c r="R462">
        <v>1254</v>
      </c>
      <c r="S462" t="s">
        <v>1078</v>
      </c>
      <c r="T462">
        <f t="shared" si="50"/>
        <v>3</v>
      </c>
      <c r="U462">
        <v>627</v>
      </c>
      <c r="V462">
        <f t="shared" si="51"/>
        <v>10</v>
      </c>
      <c r="W462" t="s">
        <v>1087</v>
      </c>
      <c r="X462" t="s">
        <v>1089</v>
      </c>
      <c r="Y462">
        <f t="shared" si="52"/>
        <v>0</v>
      </c>
      <c r="Z462" t="s">
        <v>1108</v>
      </c>
      <c r="AA462" t="str">
        <f t="shared" si="53"/>
        <v>Medium</v>
      </c>
      <c r="AB462" t="s">
        <v>1104</v>
      </c>
      <c r="AC462" t="str">
        <f t="shared" si="54"/>
        <v>Yes</v>
      </c>
      <c r="AD462">
        <v>1</v>
      </c>
      <c r="AE462">
        <v>431344</v>
      </c>
      <c r="AF462">
        <v>172537.60000000001</v>
      </c>
      <c r="AG462">
        <f t="shared" si="55"/>
        <v>258179.4</v>
      </c>
    </row>
    <row r="463" spans="1:33" x14ac:dyDescent="0.25">
      <c r="A463">
        <v>1462</v>
      </c>
      <c r="B463" s="1">
        <v>44949</v>
      </c>
      <c r="C463" s="1">
        <v>44952</v>
      </c>
      <c r="D463" s="1">
        <v>44957</v>
      </c>
      <c r="E463" t="s">
        <v>1064</v>
      </c>
      <c r="F463" t="s">
        <v>491</v>
      </c>
      <c r="G463" t="s">
        <v>1072</v>
      </c>
      <c r="H463" t="str">
        <f t="shared" si="49"/>
        <v>Electronics</v>
      </c>
      <c r="I463">
        <v>7</v>
      </c>
      <c r="J463" t="str">
        <f>VLOOKUP(K463,$AJ$2:$AK$7,2,FALSE)</f>
        <v>S006</v>
      </c>
      <c r="K463" t="s">
        <v>1102</v>
      </c>
      <c r="L463">
        <v>3.8</v>
      </c>
      <c r="M463" t="str">
        <f>IFERROR(VLOOKUP(TRIM(N463),$AP$2:$AQ$12,2,FALSE),"W001")</f>
        <v>W001</v>
      </c>
      <c r="N463" t="s">
        <v>1047</v>
      </c>
      <c r="O463" t="s">
        <v>1060</v>
      </c>
      <c r="P463" t="str">
        <f>VLOOKUP(O463,$AL$2:$AM$12,2,FALSE)</f>
        <v>North</v>
      </c>
      <c r="Q463" t="s">
        <v>1084</v>
      </c>
      <c r="R463">
        <v>1738</v>
      </c>
      <c r="S463" t="s">
        <v>1078</v>
      </c>
      <c r="T463">
        <f t="shared" si="50"/>
        <v>6</v>
      </c>
      <c r="U463">
        <v>521.4</v>
      </c>
      <c r="V463">
        <f t="shared" si="51"/>
        <v>6</v>
      </c>
      <c r="W463" t="s">
        <v>1088</v>
      </c>
      <c r="X463" t="s">
        <v>1091</v>
      </c>
      <c r="Y463">
        <f t="shared" si="52"/>
        <v>0</v>
      </c>
      <c r="Z463" t="s">
        <v>1109</v>
      </c>
      <c r="AA463" t="str">
        <f t="shared" si="53"/>
        <v>High</v>
      </c>
      <c r="AB463" t="s">
        <v>1104</v>
      </c>
      <c r="AC463" t="str">
        <f t="shared" si="54"/>
        <v>No</v>
      </c>
      <c r="AD463">
        <v>1</v>
      </c>
      <c r="AE463">
        <v>117831</v>
      </c>
      <c r="AF463">
        <v>47132.4</v>
      </c>
      <c r="AG463">
        <f t="shared" si="55"/>
        <v>70177.200000000012</v>
      </c>
    </row>
    <row r="464" spans="1:33" x14ac:dyDescent="0.25">
      <c r="A464">
        <v>1463</v>
      </c>
      <c r="B464" s="1">
        <v>45785</v>
      </c>
      <c r="C464" s="1">
        <v>45788</v>
      </c>
      <c r="D464" s="1">
        <v>45790</v>
      </c>
      <c r="E464" t="s">
        <v>1064</v>
      </c>
      <c r="F464" t="s">
        <v>492</v>
      </c>
      <c r="G464" t="s">
        <v>1072</v>
      </c>
      <c r="H464" t="str">
        <f t="shared" si="49"/>
        <v>Electronics</v>
      </c>
      <c r="I464">
        <v>3</v>
      </c>
      <c r="J464" t="str">
        <f>VLOOKUP(K464,$AJ$2:$AK$7,2,FALSE)</f>
        <v>S001</v>
      </c>
      <c r="K464" t="s">
        <v>1097</v>
      </c>
      <c r="L464">
        <v>4.7</v>
      </c>
      <c r="M464" t="str">
        <f>IFERROR(VLOOKUP(TRIM(N464),$AP$2:$AQ$12,2,FALSE),"W001")</f>
        <v>W002</v>
      </c>
      <c r="N464" t="s">
        <v>1049</v>
      </c>
      <c r="O464" t="s">
        <v>1053</v>
      </c>
      <c r="P464" t="str">
        <f>VLOOKUP(O464,$AL$2:$AM$12,2,FALSE)</f>
        <v>South</v>
      </c>
      <c r="Q464" t="s">
        <v>1083</v>
      </c>
      <c r="R464">
        <v>1675</v>
      </c>
      <c r="S464" t="s">
        <v>1078</v>
      </c>
      <c r="T464">
        <f t="shared" si="50"/>
        <v>3</v>
      </c>
      <c r="U464">
        <v>837.5</v>
      </c>
      <c r="V464">
        <f t="shared" si="51"/>
        <v>10</v>
      </c>
      <c r="W464" t="s">
        <v>1086</v>
      </c>
      <c r="X464" t="s">
        <v>1091</v>
      </c>
      <c r="Y464">
        <f t="shared" si="52"/>
        <v>837.5</v>
      </c>
      <c r="Z464" t="s">
        <v>1108</v>
      </c>
      <c r="AA464" t="str">
        <f t="shared" si="53"/>
        <v>Medium</v>
      </c>
      <c r="AB464" t="s">
        <v>1103</v>
      </c>
      <c r="AC464" t="str">
        <f t="shared" si="54"/>
        <v>Yes</v>
      </c>
      <c r="AD464">
        <v>4</v>
      </c>
      <c r="AE464">
        <v>55737</v>
      </c>
      <c r="AF464">
        <v>22294.800000000003</v>
      </c>
      <c r="AG464">
        <f t="shared" si="55"/>
        <v>32604.699999999997</v>
      </c>
    </row>
    <row r="465" spans="1:33" x14ac:dyDescent="0.25">
      <c r="A465">
        <v>1464</v>
      </c>
      <c r="B465" s="1">
        <v>44414</v>
      </c>
      <c r="C465" s="1">
        <v>44417</v>
      </c>
      <c r="D465" s="1">
        <v>44424</v>
      </c>
      <c r="E465" t="s">
        <v>1064</v>
      </c>
      <c r="F465" t="s">
        <v>493</v>
      </c>
      <c r="G465" t="s">
        <v>1070</v>
      </c>
      <c r="H465" t="str">
        <f t="shared" si="49"/>
        <v>Furniture</v>
      </c>
      <c r="I465">
        <v>1</v>
      </c>
      <c r="J465" t="str">
        <f>VLOOKUP(K465,$AJ$2:$AK$7,2,FALSE)</f>
        <v>S003</v>
      </c>
      <c r="K465" t="s">
        <v>1099</v>
      </c>
      <c r="L465">
        <v>3.6</v>
      </c>
      <c r="M465" t="str">
        <f>IFERROR(VLOOKUP(TRIM(N465),$AP$2:$AQ$12,2,FALSE),"W001")</f>
        <v>W008</v>
      </c>
      <c r="N465" t="s">
        <v>1061</v>
      </c>
      <c r="O465" t="s">
        <v>1060</v>
      </c>
      <c r="P465" t="str">
        <f>VLOOKUP(O465,$AL$2:$AM$12,2,FALSE)</f>
        <v>North</v>
      </c>
      <c r="Q465" t="s">
        <v>1085</v>
      </c>
      <c r="R465">
        <v>1984</v>
      </c>
      <c r="S465" t="s">
        <v>1078</v>
      </c>
      <c r="T465">
        <f t="shared" si="50"/>
        <v>13</v>
      </c>
      <c r="U465">
        <v>198.4</v>
      </c>
      <c r="V465">
        <f t="shared" si="51"/>
        <v>3</v>
      </c>
      <c r="W465" t="s">
        <v>1086</v>
      </c>
      <c r="X465" t="s">
        <v>1090</v>
      </c>
      <c r="Y465">
        <f t="shared" si="52"/>
        <v>198.4</v>
      </c>
      <c r="Z465" t="s">
        <v>1109</v>
      </c>
      <c r="AA465" t="str">
        <f t="shared" si="53"/>
        <v>High</v>
      </c>
      <c r="AB465" t="s">
        <v>1104</v>
      </c>
      <c r="AC465" t="str">
        <f t="shared" si="54"/>
        <v>No</v>
      </c>
      <c r="AD465">
        <v>2</v>
      </c>
      <c r="AE465">
        <v>7761</v>
      </c>
      <c r="AF465">
        <v>3104.4</v>
      </c>
      <c r="AG465">
        <f t="shared" si="55"/>
        <v>4458.2000000000007</v>
      </c>
    </row>
    <row r="466" spans="1:33" x14ac:dyDescent="0.25">
      <c r="A466">
        <v>1465</v>
      </c>
      <c r="B466" s="1">
        <v>44669</v>
      </c>
      <c r="C466" s="1">
        <v>44671</v>
      </c>
      <c r="D466" s="1">
        <v>44674</v>
      </c>
      <c r="E466" t="s">
        <v>1065</v>
      </c>
      <c r="F466" t="s">
        <v>494</v>
      </c>
      <c r="G466" t="s">
        <v>1071</v>
      </c>
      <c r="H466" t="str">
        <f t="shared" si="49"/>
        <v>Clothing</v>
      </c>
      <c r="I466">
        <v>10</v>
      </c>
      <c r="J466" t="str">
        <f>VLOOKUP(K466,$AJ$2:$AK$7,2,FALSE)</f>
        <v>S001</v>
      </c>
      <c r="K466" t="s">
        <v>1097</v>
      </c>
      <c r="L466">
        <v>4.9000000000000004</v>
      </c>
      <c r="M466" t="str">
        <f>IFERROR(VLOOKUP(TRIM(N466),$AP$2:$AQ$12,2,FALSE),"W001")</f>
        <v>W006</v>
      </c>
      <c r="N466" t="s">
        <v>1057</v>
      </c>
      <c r="O466" t="s">
        <v>1059</v>
      </c>
      <c r="P466" t="str">
        <f>VLOOKUP(O466,$AL$2:$AM$12,2,FALSE)</f>
        <v>North</v>
      </c>
      <c r="Q466" t="s">
        <v>1085</v>
      </c>
      <c r="R466">
        <v>1669</v>
      </c>
      <c r="S466" t="s">
        <v>1078</v>
      </c>
      <c r="T466">
        <f t="shared" si="50"/>
        <v>11</v>
      </c>
      <c r="U466">
        <v>166.9</v>
      </c>
      <c r="V466">
        <f t="shared" si="51"/>
        <v>3</v>
      </c>
      <c r="W466" t="s">
        <v>1088</v>
      </c>
      <c r="X466" t="s">
        <v>1090</v>
      </c>
      <c r="Y466">
        <f t="shared" si="52"/>
        <v>0</v>
      </c>
      <c r="Z466" t="s">
        <v>1108</v>
      </c>
      <c r="AA466" t="str">
        <f t="shared" si="53"/>
        <v>Low</v>
      </c>
      <c r="AB466" t="s">
        <v>1103</v>
      </c>
      <c r="AC466" t="str">
        <f t="shared" si="54"/>
        <v>Yes</v>
      </c>
      <c r="AD466">
        <v>4</v>
      </c>
      <c r="AE466">
        <v>14770</v>
      </c>
      <c r="AF466">
        <v>5908</v>
      </c>
      <c r="AG466">
        <f t="shared" si="55"/>
        <v>8695.1</v>
      </c>
    </row>
    <row r="467" spans="1:33" x14ac:dyDescent="0.25">
      <c r="A467">
        <v>1466</v>
      </c>
      <c r="B467" s="1">
        <v>44265</v>
      </c>
      <c r="C467" s="1">
        <v>44268</v>
      </c>
      <c r="D467" s="1">
        <v>44273</v>
      </c>
      <c r="E467" t="s">
        <v>1065</v>
      </c>
      <c r="F467" t="s">
        <v>495</v>
      </c>
      <c r="G467" t="s">
        <v>1070</v>
      </c>
      <c r="H467" t="str">
        <f t="shared" si="49"/>
        <v>Furniture</v>
      </c>
      <c r="I467">
        <v>4</v>
      </c>
      <c r="J467" t="str">
        <f>VLOOKUP(K467,$AJ$2:$AK$7,2,FALSE)</f>
        <v>S004</v>
      </c>
      <c r="K467" t="s">
        <v>1100</v>
      </c>
      <c r="L467">
        <v>4.8</v>
      </c>
      <c r="M467" t="str">
        <f>IFERROR(VLOOKUP(TRIM(N467),$AP$2:$AQ$12,2,FALSE),"W001")</f>
        <v>W004</v>
      </c>
      <c r="N467" t="s">
        <v>1053</v>
      </c>
      <c r="O467" t="s">
        <v>1055</v>
      </c>
      <c r="P467" t="str">
        <f>VLOOKUP(O467,$AL$2:$AM$12,2,FALSE)</f>
        <v>South</v>
      </c>
      <c r="Q467" t="s">
        <v>1083</v>
      </c>
      <c r="R467">
        <v>887</v>
      </c>
      <c r="S467" t="s">
        <v>1078</v>
      </c>
      <c r="T467">
        <f t="shared" si="50"/>
        <v>2</v>
      </c>
      <c r="U467">
        <v>443.5</v>
      </c>
      <c r="V467">
        <f t="shared" si="51"/>
        <v>10</v>
      </c>
      <c r="W467" t="s">
        <v>1088</v>
      </c>
      <c r="X467" t="s">
        <v>1091</v>
      </c>
      <c r="Y467">
        <f t="shared" si="52"/>
        <v>0</v>
      </c>
      <c r="Z467" t="s">
        <v>1108</v>
      </c>
      <c r="AA467" t="str">
        <f t="shared" si="53"/>
        <v>Medium</v>
      </c>
      <c r="AB467" t="s">
        <v>1103</v>
      </c>
      <c r="AC467" t="str">
        <f t="shared" si="54"/>
        <v>Yes</v>
      </c>
      <c r="AD467">
        <v>5</v>
      </c>
      <c r="AE467">
        <v>16632</v>
      </c>
      <c r="AF467">
        <v>6652.8</v>
      </c>
      <c r="AG467">
        <f t="shared" si="55"/>
        <v>9535.7000000000007</v>
      </c>
    </row>
    <row r="468" spans="1:33" x14ac:dyDescent="0.25">
      <c r="A468">
        <v>1467</v>
      </c>
      <c r="B468" s="1">
        <v>44988</v>
      </c>
      <c r="C468" s="1">
        <v>44991</v>
      </c>
      <c r="D468" s="1">
        <v>44994</v>
      </c>
      <c r="E468" t="s">
        <v>1065</v>
      </c>
      <c r="F468" t="s">
        <v>496</v>
      </c>
      <c r="G468" t="s">
        <v>1071</v>
      </c>
      <c r="H468" t="str">
        <f t="shared" si="49"/>
        <v>Clothing</v>
      </c>
      <c r="I468">
        <v>4</v>
      </c>
      <c r="J468" t="str">
        <f>VLOOKUP(K468,$AJ$2:$AK$7,2,FALSE)</f>
        <v>S002</v>
      </c>
      <c r="K468" t="s">
        <v>1098</v>
      </c>
      <c r="L468">
        <v>4.2</v>
      </c>
      <c r="M468" t="str">
        <f>IFERROR(VLOOKUP(TRIM(N468),$AP$2:$AQ$12,2,FALSE),"W001")</f>
        <v>W004</v>
      </c>
      <c r="N468" t="s">
        <v>1053</v>
      </c>
      <c r="O468" t="s">
        <v>1055</v>
      </c>
      <c r="P468" t="str">
        <f>VLOOKUP(O468,$AL$2:$AM$12,2,FALSE)</f>
        <v>South</v>
      </c>
      <c r="Q468" t="s">
        <v>1085</v>
      </c>
      <c r="R468">
        <v>729</v>
      </c>
      <c r="S468" t="s">
        <v>1066</v>
      </c>
      <c r="T468">
        <f t="shared" si="50"/>
        <v>7</v>
      </c>
      <c r="U468">
        <v>72.900000000000006</v>
      </c>
      <c r="V468">
        <f t="shared" si="51"/>
        <v>3</v>
      </c>
      <c r="W468" t="s">
        <v>1088</v>
      </c>
      <c r="X468" t="s">
        <v>1091</v>
      </c>
      <c r="Y468">
        <f t="shared" si="52"/>
        <v>0</v>
      </c>
      <c r="Z468" t="s">
        <v>1108</v>
      </c>
      <c r="AA468" t="str">
        <f t="shared" si="53"/>
        <v>Low</v>
      </c>
      <c r="AB468" t="s">
        <v>1103</v>
      </c>
      <c r="AC468" t="str">
        <f t="shared" si="54"/>
        <v>Yes</v>
      </c>
      <c r="AD468">
        <v>5</v>
      </c>
      <c r="AE468">
        <v>4924</v>
      </c>
      <c r="AF468">
        <v>1969.6000000000001</v>
      </c>
      <c r="AG468">
        <f t="shared" si="55"/>
        <v>2881.4999999999995</v>
      </c>
    </row>
    <row r="469" spans="1:33" x14ac:dyDescent="0.25">
      <c r="A469">
        <v>1468</v>
      </c>
      <c r="B469" s="1">
        <v>44230</v>
      </c>
      <c r="C469" s="1">
        <v>44232</v>
      </c>
      <c r="D469" s="1">
        <v>44234</v>
      </c>
      <c r="E469" t="s">
        <v>1066</v>
      </c>
      <c r="F469" t="s">
        <v>497</v>
      </c>
      <c r="G469" t="s">
        <v>1072</v>
      </c>
      <c r="H469" t="str">
        <f t="shared" si="49"/>
        <v>Electronics</v>
      </c>
      <c r="I469">
        <v>6</v>
      </c>
      <c r="J469" t="str">
        <f>VLOOKUP(K469,$AJ$2:$AK$7,2,FALSE)</f>
        <v>S004</v>
      </c>
      <c r="K469" t="s">
        <v>1100</v>
      </c>
      <c r="L469">
        <v>4.3</v>
      </c>
      <c r="M469" t="str">
        <f>IFERROR(VLOOKUP(TRIM(N469),$AP$2:$AQ$12,2,FALSE),"W001")</f>
        <v>W008</v>
      </c>
      <c r="N469" t="s">
        <v>1061</v>
      </c>
      <c r="O469" t="s">
        <v>1063</v>
      </c>
      <c r="P469" t="str">
        <f>VLOOKUP(O469,$AL$2:$AM$12,2,FALSE)</f>
        <v>South</v>
      </c>
      <c r="Q469" t="s">
        <v>1080</v>
      </c>
      <c r="R469">
        <v>431</v>
      </c>
      <c r="S469" t="s">
        <v>1066</v>
      </c>
      <c r="T469">
        <f t="shared" si="50"/>
        <v>3</v>
      </c>
      <c r="U469">
        <v>64.650000000000006</v>
      </c>
      <c r="V469">
        <f t="shared" si="51"/>
        <v>4</v>
      </c>
      <c r="W469" t="s">
        <v>1087</v>
      </c>
      <c r="X469" t="s">
        <v>1089</v>
      </c>
      <c r="Y469">
        <f t="shared" si="52"/>
        <v>0</v>
      </c>
      <c r="Z469" t="s">
        <v>1108</v>
      </c>
      <c r="AA469" t="str">
        <f t="shared" si="53"/>
        <v>Low</v>
      </c>
      <c r="AB469" t="s">
        <v>1103</v>
      </c>
      <c r="AC469" t="str">
        <f t="shared" si="54"/>
        <v>Yes</v>
      </c>
      <c r="AD469">
        <v>5</v>
      </c>
      <c r="AE469">
        <v>141702</v>
      </c>
      <c r="AF469">
        <v>56680.800000000003</v>
      </c>
      <c r="AG469">
        <f t="shared" si="55"/>
        <v>84956.55</v>
      </c>
    </row>
    <row r="470" spans="1:33" x14ac:dyDescent="0.25">
      <c r="A470">
        <v>1469</v>
      </c>
      <c r="B470" s="1">
        <v>45283</v>
      </c>
      <c r="C470" s="1">
        <v>45285</v>
      </c>
      <c r="D470" s="1">
        <v>45291</v>
      </c>
      <c r="E470" t="s">
        <v>1064</v>
      </c>
      <c r="F470" t="s">
        <v>498</v>
      </c>
      <c r="G470" t="s">
        <v>1072</v>
      </c>
      <c r="H470" t="str">
        <f t="shared" si="49"/>
        <v>Electronics</v>
      </c>
      <c r="I470">
        <v>8</v>
      </c>
      <c r="J470" t="str">
        <f>VLOOKUP(K470,$AJ$2:$AK$7,2,FALSE)</f>
        <v>S004</v>
      </c>
      <c r="K470" t="s">
        <v>1100</v>
      </c>
      <c r="L470">
        <v>3.2</v>
      </c>
      <c r="M470" t="str">
        <f>IFERROR(VLOOKUP(TRIM(N470),$AP$2:$AQ$12,2,FALSE),"W001")</f>
        <v>W008</v>
      </c>
      <c r="N470" t="s">
        <v>1061</v>
      </c>
      <c r="O470" t="s">
        <v>1047</v>
      </c>
      <c r="P470" t="str">
        <f>VLOOKUP(O470,$AL$2:$AM$12,2,FALSE)</f>
        <v>West</v>
      </c>
      <c r="Q470" t="s">
        <v>1083</v>
      </c>
      <c r="R470">
        <v>676</v>
      </c>
      <c r="S470" t="s">
        <v>1066</v>
      </c>
      <c r="T470">
        <f t="shared" si="50"/>
        <v>2</v>
      </c>
      <c r="U470">
        <v>338</v>
      </c>
      <c r="V470">
        <f t="shared" si="51"/>
        <v>10</v>
      </c>
      <c r="W470" t="s">
        <v>1086</v>
      </c>
      <c r="X470" t="s">
        <v>1091</v>
      </c>
      <c r="Y470">
        <f t="shared" si="52"/>
        <v>338</v>
      </c>
      <c r="Z470" t="s">
        <v>1108</v>
      </c>
      <c r="AA470" t="str">
        <f t="shared" si="53"/>
        <v>Medium</v>
      </c>
      <c r="AB470" t="s">
        <v>1103</v>
      </c>
      <c r="AC470" t="str">
        <f t="shared" si="54"/>
        <v>Yes</v>
      </c>
      <c r="AD470">
        <v>5</v>
      </c>
      <c r="AE470">
        <v>210600</v>
      </c>
      <c r="AF470">
        <v>84240</v>
      </c>
      <c r="AG470">
        <f t="shared" si="55"/>
        <v>126022</v>
      </c>
    </row>
    <row r="471" spans="1:33" x14ac:dyDescent="0.25">
      <c r="A471">
        <v>1470</v>
      </c>
      <c r="B471" s="1">
        <v>45301</v>
      </c>
      <c r="C471" s="1">
        <v>45302</v>
      </c>
      <c r="D471" s="1">
        <v>45307</v>
      </c>
      <c r="E471" t="s">
        <v>1065</v>
      </c>
      <c r="F471" t="s">
        <v>499</v>
      </c>
      <c r="G471" t="s">
        <v>1072</v>
      </c>
      <c r="H471" t="str">
        <f t="shared" si="49"/>
        <v>Electronics</v>
      </c>
      <c r="I471">
        <v>7</v>
      </c>
      <c r="J471" t="str">
        <f>VLOOKUP(K471,$AJ$2:$AK$7,2,FALSE)</f>
        <v>S004</v>
      </c>
      <c r="K471" t="s">
        <v>1100</v>
      </c>
      <c r="L471">
        <v>4.7</v>
      </c>
      <c r="M471" t="str">
        <f>IFERROR(VLOOKUP(TRIM(N471),$AP$2:$AQ$12,2,FALSE),"W001")</f>
        <v>W005</v>
      </c>
      <c r="N471" t="s">
        <v>1055</v>
      </c>
      <c r="O471" t="s">
        <v>1049</v>
      </c>
      <c r="P471" t="str">
        <f>VLOOKUP(O471,$AL$2:$AM$12,2,FALSE)</f>
        <v>North</v>
      </c>
      <c r="Q471" t="s">
        <v>1084</v>
      </c>
      <c r="R471">
        <v>1651</v>
      </c>
      <c r="S471" t="s">
        <v>1078</v>
      </c>
      <c r="T471">
        <f t="shared" si="50"/>
        <v>6</v>
      </c>
      <c r="U471">
        <v>495.3</v>
      </c>
      <c r="V471">
        <f t="shared" si="51"/>
        <v>6</v>
      </c>
      <c r="W471" t="s">
        <v>1087</v>
      </c>
      <c r="X471" t="s">
        <v>1089</v>
      </c>
      <c r="Y471">
        <f t="shared" si="52"/>
        <v>0</v>
      </c>
      <c r="Z471" t="s">
        <v>1109</v>
      </c>
      <c r="AA471" t="str">
        <f t="shared" si="53"/>
        <v>High</v>
      </c>
      <c r="AB471" t="s">
        <v>1103</v>
      </c>
      <c r="AC471" t="str">
        <f t="shared" si="54"/>
        <v>No</v>
      </c>
      <c r="AD471">
        <v>3</v>
      </c>
      <c r="AE471">
        <v>171647</v>
      </c>
      <c r="AF471">
        <v>68658.8</v>
      </c>
      <c r="AG471">
        <f t="shared" si="55"/>
        <v>102492.9</v>
      </c>
    </row>
    <row r="472" spans="1:33" x14ac:dyDescent="0.25">
      <c r="A472">
        <v>1471</v>
      </c>
      <c r="B472" s="1">
        <v>45573</v>
      </c>
      <c r="C472" s="1">
        <v>45576</v>
      </c>
      <c r="D472" s="1">
        <v>45578</v>
      </c>
      <c r="E472" t="s">
        <v>1066</v>
      </c>
      <c r="F472" t="s">
        <v>500</v>
      </c>
      <c r="G472" t="s">
        <v>1068</v>
      </c>
      <c r="H472" t="str">
        <f t="shared" si="49"/>
        <v>Electronics</v>
      </c>
      <c r="I472">
        <v>3</v>
      </c>
      <c r="J472" t="str">
        <f>VLOOKUP(K472,$AJ$2:$AK$7,2,FALSE)</f>
        <v>S002</v>
      </c>
      <c r="K472" t="s">
        <v>1098</v>
      </c>
      <c r="L472">
        <v>4.0999999999999996</v>
      </c>
      <c r="M472" t="str">
        <f>IFERROR(VLOOKUP(TRIM(N472),$AP$2:$AQ$12,2,FALSE),"W001")</f>
        <v>W001</v>
      </c>
      <c r="N472" t="s">
        <v>1047</v>
      </c>
      <c r="O472" t="s">
        <v>1063</v>
      </c>
      <c r="P472" t="str">
        <f>VLOOKUP(O472,$AL$2:$AM$12,2,FALSE)</f>
        <v>South</v>
      </c>
      <c r="Q472" t="s">
        <v>1083</v>
      </c>
      <c r="R472">
        <v>796</v>
      </c>
      <c r="S472" t="s">
        <v>1066</v>
      </c>
      <c r="T472">
        <f t="shared" si="50"/>
        <v>2</v>
      </c>
      <c r="U472">
        <v>398</v>
      </c>
      <c r="V472">
        <f t="shared" si="51"/>
        <v>10</v>
      </c>
      <c r="W472" t="s">
        <v>1087</v>
      </c>
      <c r="X472" t="s">
        <v>1091</v>
      </c>
      <c r="Y472">
        <f t="shared" si="52"/>
        <v>0</v>
      </c>
      <c r="Z472" t="s">
        <v>1108</v>
      </c>
      <c r="AA472" t="str">
        <f t="shared" si="53"/>
        <v>Medium</v>
      </c>
      <c r="AB472" t="s">
        <v>1103</v>
      </c>
      <c r="AC472" t="str">
        <f t="shared" si="54"/>
        <v>Yes</v>
      </c>
      <c r="AD472">
        <v>5</v>
      </c>
      <c r="AE472">
        <v>165369</v>
      </c>
      <c r="AF472">
        <v>66147.600000000006</v>
      </c>
      <c r="AG472">
        <f t="shared" si="55"/>
        <v>98823.4</v>
      </c>
    </row>
    <row r="473" spans="1:33" x14ac:dyDescent="0.25">
      <c r="A473">
        <v>1472</v>
      </c>
      <c r="B473" s="1">
        <v>45148</v>
      </c>
      <c r="C473" s="1">
        <v>45149</v>
      </c>
      <c r="D473" s="1">
        <v>45153</v>
      </c>
      <c r="E473" t="s">
        <v>1064</v>
      </c>
      <c r="F473" t="s">
        <v>501</v>
      </c>
      <c r="G473" t="s">
        <v>1072</v>
      </c>
      <c r="H473" t="str">
        <f t="shared" si="49"/>
        <v>Electronics</v>
      </c>
      <c r="I473">
        <v>1</v>
      </c>
      <c r="J473" t="str">
        <f>VLOOKUP(K473,$AJ$2:$AK$7,2,FALSE)</f>
        <v>S003</v>
      </c>
      <c r="K473" t="s">
        <v>1099</v>
      </c>
      <c r="L473">
        <v>3.1</v>
      </c>
      <c r="M473" t="str">
        <f>IFERROR(VLOOKUP(TRIM(N473),$AP$2:$AQ$12,2,FALSE),"W001")</f>
        <v>W007</v>
      </c>
      <c r="N473" t="s">
        <v>1062</v>
      </c>
      <c r="O473" t="s">
        <v>1049</v>
      </c>
      <c r="P473" t="str">
        <f>VLOOKUP(O473,$AL$2:$AM$12,2,FALSE)</f>
        <v>North</v>
      </c>
      <c r="Q473" t="s">
        <v>1084</v>
      </c>
      <c r="R473">
        <v>724</v>
      </c>
      <c r="S473" t="s">
        <v>1066</v>
      </c>
      <c r="T473">
        <f t="shared" si="50"/>
        <v>3</v>
      </c>
      <c r="U473">
        <v>217.2</v>
      </c>
      <c r="V473">
        <f t="shared" si="51"/>
        <v>6</v>
      </c>
      <c r="W473" t="s">
        <v>1087</v>
      </c>
      <c r="X473" t="s">
        <v>1089</v>
      </c>
      <c r="Y473">
        <f t="shared" si="52"/>
        <v>0</v>
      </c>
      <c r="Z473" t="s">
        <v>1108</v>
      </c>
      <c r="AA473" t="str">
        <f t="shared" si="53"/>
        <v>Low</v>
      </c>
      <c r="AB473" t="s">
        <v>1103</v>
      </c>
      <c r="AC473" t="str">
        <f t="shared" si="54"/>
        <v>Yes</v>
      </c>
      <c r="AD473">
        <v>4</v>
      </c>
      <c r="AE473">
        <v>15017</v>
      </c>
      <c r="AF473">
        <v>6006.8</v>
      </c>
      <c r="AG473">
        <f t="shared" si="55"/>
        <v>8793</v>
      </c>
    </row>
    <row r="474" spans="1:33" x14ac:dyDescent="0.25">
      <c r="A474">
        <v>1473</v>
      </c>
      <c r="B474" s="1">
        <v>44354</v>
      </c>
      <c r="C474" s="1">
        <v>44355</v>
      </c>
      <c r="D474" s="1">
        <v>44357</v>
      </c>
      <c r="E474" t="s">
        <v>1064</v>
      </c>
      <c r="F474" t="s">
        <v>502</v>
      </c>
      <c r="G474" t="s">
        <v>1069</v>
      </c>
      <c r="H474" t="str">
        <f t="shared" si="49"/>
        <v>Furniture</v>
      </c>
      <c r="I474">
        <v>7</v>
      </c>
      <c r="J474" t="str">
        <f>VLOOKUP(K474,$AJ$2:$AK$7,2,FALSE)</f>
        <v>S004</v>
      </c>
      <c r="K474" t="s">
        <v>1100</v>
      </c>
      <c r="L474">
        <v>3.9</v>
      </c>
      <c r="M474" t="str">
        <f>IFERROR(VLOOKUP(TRIM(N474),$AP$2:$AQ$12,2,FALSE),"W001")</f>
        <v>W002</v>
      </c>
      <c r="N474" t="s">
        <v>1049</v>
      </c>
      <c r="O474" t="s">
        <v>1051</v>
      </c>
      <c r="P474" t="str">
        <f>VLOOKUP(O474,$AL$2:$AM$12,2,FALSE)</f>
        <v>West</v>
      </c>
      <c r="Q474" t="s">
        <v>1085</v>
      </c>
      <c r="R474">
        <v>1150</v>
      </c>
      <c r="S474" t="s">
        <v>1078</v>
      </c>
      <c r="T474">
        <f t="shared" si="50"/>
        <v>9</v>
      </c>
      <c r="U474">
        <v>115</v>
      </c>
      <c r="V474">
        <f t="shared" si="51"/>
        <v>3</v>
      </c>
      <c r="W474" t="s">
        <v>1086</v>
      </c>
      <c r="X474" t="s">
        <v>1091</v>
      </c>
      <c r="Y474">
        <f t="shared" si="52"/>
        <v>115</v>
      </c>
      <c r="Z474" t="s">
        <v>1108</v>
      </c>
      <c r="AA474" t="str">
        <f t="shared" si="53"/>
        <v>Low</v>
      </c>
      <c r="AB474" t="s">
        <v>1103</v>
      </c>
      <c r="AC474" t="str">
        <f t="shared" si="54"/>
        <v>Yes</v>
      </c>
      <c r="AD474">
        <v>4</v>
      </c>
      <c r="AE474">
        <v>96229</v>
      </c>
      <c r="AF474">
        <v>38491.599999999999</v>
      </c>
      <c r="AG474">
        <f t="shared" si="55"/>
        <v>57622.400000000001</v>
      </c>
    </row>
    <row r="475" spans="1:33" x14ac:dyDescent="0.25">
      <c r="A475">
        <v>1474</v>
      </c>
      <c r="B475" s="1">
        <v>44663</v>
      </c>
      <c r="C475" s="1">
        <v>44666</v>
      </c>
      <c r="D475" s="1">
        <v>44672</v>
      </c>
      <c r="E475" t="s">
        <v>1065</v>
      </c>
      <c r="F475" t="s">
        <v>503</v>
      </c>
      <c r="G475" t="s">
        <v>1069</v>
      </c>
      <c r="H475" t="str">
        <f t="shared" si="49"/>
        <v>Furniture</v>
      </c>
      <c r="I475">
        <v>9</v>
      </c>
      <c r="J475" t="str">
        <f>VLOOKUP(K475,$AJ$2:$AK$7,2,FALSE)</f>
        <v>S006</v>
      </c>
      <c r="K475" t="s">
        <v>1102</v>
      </c>
      <c r="L475">
        <v>4.4000000000000004</v>
      </c>
      <c r="M475" t="str">
        <f>IFERROR(VLOOKUP(TRIM(N475),$AP$2:$AQ$12,2,FALSE),"W001")</f>
        <v>W011</v>
      </c>
      <c r="N475" t="s">
        <v>1059</v>
      </c>
      <c r="O475" t="s">
        <v>1059</v>
      </c>
      <c r="P475" t="str">
        <f>VLOOKUP(O475,$AL$2:$AM$12,2,FALSE)</f>
        <v>North</v>
      </c>
      <c r="Q475" t="s">
        <v>1085</v>
      </c>
      <c r="R475">
        <v>23</v>
      </c>
      <c r="S475" t="s">
        <v>1079</v>
      </c>
      <c r="T475">
        <f t="shared" si="50"/>
        <v>3</v>
      </c>
      <c r="U475">
        <v>2.2999999999999998</v>
      </c>
      <c r="V475">
        <f t="shared" si="51"/>
        <v>3</v>
      </c>
      <c r="W475" t="s">
        <v>1088</v>
      </c>
      <c r="X475" t="s">
        <v>1091</v>
      </c>
      <c r="Y475">
        <f t="shared" si="52"/>
        <v>0</v>
      </c>
      <c r="Z475" t="s">
        <v>1108</v>
      </c>
      <c r="AA475" t="str">
        <f t="shared" si="53"/>
        <v>Low</v>
      </c>
      <c r="AB475" t="s">
        <v>1103</v>
      </c>
      <c r="AC475" t="str">
        <f t="shared" si="54"/>
        <v>Yes</v>
      </c>
      <c r="AD475">
        <v>4</v>
      </c>
      <c r="AE475">
        <v>51174</v>
      </c>
      <c r="AF475">
        <v>20469.600000000002</v>
      </c>
      <c r="AG475">
        <f t="shared" si="55"/>
        <v>30702.1</v>
      </c>
    </row>
    <row r="476" spans="1:33" x14ac:dyDescent="0.25">
      <c r="A476">
        <v>1475</v>
      </c>
      <c r="B476" s="1">
        <v>46333</v>
      </c>
      <c r="C476" s="1">
        <v>46334</v>
      </c>
      <c r="D476" s="1">
        <v>46340</v>
      </c>
      <c r="E476" t="s">
        <v>1066</v>
      </c>
      <c r="F476" t="s">
        <v>504</v>
      </c>
      <c r="G476" t="s">
        <v>1069</v>
      </c>
      <c r="H476" t="str">
        <f t="shared" si="49"/>
        <v>Furniture</v>
      </c>
      <c r="I476">
        <v>6</v>
      </c>
      <c r="J476" t="str">
        <f>VLOOKUP(K476,$AJ$2:$AK$7,2,FALSE)</f>
        <v>S002</v>
      </c>
      <c r="K476" t="s">
        <v>1098</v>
      </c>
      <c r="L476">
        <v>3.1</v>
      </c>
      <c r="M476" t="str">
        <f>IFERROR(VLOOKUP(TRIM(N476),$AP$2:$AQ$12,2,FALSE),"W001")</f>
        <v>W005</v>
      </c>
      <c r="N476" t="s">
        <v>1055</v>
      </c>
      <c r="O476" t="s">
        <v>1063</v>
      </c>
      <c r="P476" t="str">
        <f>VLOOKUP(O476,$AL$2:$AM$12,2,FALSE)</f>
        <v>South</v>
      </c>
      <c r="Q476" t="s">
        <v>1083</v>
      </c>
      <c r="R476">
        <v>672</v>
      </c>
      <c r="S476" t="s">
        <v>1066</v>
      </c>
      <c r="T476">
        <f t="shared" si="50"/>
        <v>2</v>
      </c>
      <c r="U476">
        <v>336</v>
      </c>
      <c r="V476">
        <f t="shared" si="51"/>
        <v>10</v>
      </c>
      <c r="W476" t="s">
        <v>1087</v>
      </c>
      <c r="X476" t="s">
        <v>1091</v>
      </c>
      <c r="Y476">
        <f t="shared" si="52"/>
        <v>0</v>
      </c>
      <c r="Z476" t="s">
        <v>1108</v>
      </c>
      <c r="AA476" t="str">
        <f t="shared" si="53"/>
        <v>Medium</v>
      </c>
      <c r="AB476" t="s">
        <v>1104</v>
      </c>
      <c r="AC476" t="str">
        <f t="shared" si="54"/>
        <v>Yes</v>
      </c>
      <c r="AD476">
        <v>1</v>
      </c>
      <c r="AE476">
        <v>82950</v>
      </c>
      <c r="AF476">
        <v>33180</v>
      </c>
      <c r="AG476">
        <f t="shared" si="55"/>
        <v>49434</v>
      </c>
    </row>
    <row r="477" spans="1:33" x14ac:dyDescent="0.25">
      <c r="A477">
        <v>1476</v>
      </c>
      <c r="B477" s="1">
        <v>46158</v>
      </c>
      <c r="C477" s="1">
        <v>46160</v>
      </c>
      <c r="D477" s="1">
        <v>46163</v>
      </c>
      <c r="E477" t="s">
        <v>1066</v>
      </c>
      <c r="F477" t="s">
        <v>505</v>
      </c>
      <c r="G477" t="s">
        <v>1071</v>
      </c>
      <c r="H477" t="str">
        <f t="shared" si="49"/>
        <v>Clothing</v>
      </c>
      <c r="I477">
        <v>4</v>
      </c>
      <c r="J477" t="str">
        <f>VLOOKUP(K477,$AJ$2:$AK$7,2,FALSE)</f>
        <v>S004</v>
      </c>
      <c r="K477" t="s">
        <v>1100</v>
      </c>
      <c r="L477">
        <v>3.9</v>
      </c>
      <c r="M477" t="str">
        <f>IFERROR(VLOOKUP(TRIM(N477),$AP$2:$AQ$12,2,FALSE),"W001")</f>
        <v>W004</v>
      </c>
      <c r="N477" t="s">
        <v>1053</v>
      </c>
      <c r="O477" t="s">
        <v>1051</v>
      </c>
      <c r="P477" t="str">
        <f>VLOOKUP(O477,$AL$2:$AM$12,2,FALSE)</f>
        <v>West</v>
      </c>
      <c r="Q477" t="s">
        <v>1084</v>
      </c>
      <c r="R477">
        <v>105</v>
      </c>
      <c r="S477" t="s">
        <v>1079</v>
      </c>
      <c r="T477">
        <f t="shared" si="50"/>
        <v>1</v>
      </c>
      <c r="U477">
        <v>31.5</v>
      </c>
      <c r="V477">
        <f t="shared" si="51"/>
        <v>6</v>
      </c>
      <c r="W477" t="s">
        <v>1087</v>
      </c>
      <c r="X477" t="s">
        <v>1091</v>
      </c>
      <c r="Y477">
        <f t="shared" si="52"/>
        <v>0</v>
      </c>
      <c r="Z477" t="s">
        <v>1108</v>
      </c>
      <c r="AA477" t="str">
        <f t="shared" si="53"/>
        <v>Low</v>
      </c>
      <c r="AB477" t="s">
        <v>1103</v>
      </c>
      <c r="AC477" t="str">
        <f t="shared" si="54"/>
        <v>Yes</v>
      </c>
      <c r="AD477">
        <v>5</v>
      </c>
      <c r="AE477">
        <v>6996</v>
      </c>
      <c r="AF477">
        <v>2798.4</v>
      </c>
      <c r="AG477">
        <f t="shared" si="55"/>
        <v>4166.1000000000004</v>
      </c>
    </row>
    <row r="478" spans="1:33" x14ac:dyDescent="0.25">
      <c r="A478">
        <v>1477</v>
      </c>
      <c r="B478" s="1">
        <v>45603</v>
      </c>
      <c r="C478" s="1">
        <v>45605</v>
      </c>
      <c r="D478" s="1">
        <v>45610</v>
      </c>
      <c r="E478" t="s">
        <v>1066</v>
      </c>
      <c r="F478" t="s">
        <v>506</v>
      </c>
      <c r="G478" t="s">
        <v>1068</v>
      </c>
      <c r="H478" t="str">
        <f t="shared" si="49"/>
        <v>Electronics</v>
      </c>
      <c r="I478">
        <v>2</v>
      </c>
      <c r="J478" t="str">
        <f>VLOOKUP(K478,$AJ$2:$AK$7,2,FALSE)</f>
        <v>S002</v>
      </c>
      <c r="K478" t="s">
        <v>1098</v>
      </c>
      <c r="L478">
        <v>3.5</v>
      </c>
      <c r="M478" t="str">
        <f>IFERROR(VLOOKUP(TRIM(N478),$AP$2:$AQ$12,2,FALSE),"W001")</f>
        <v>W005</v>
      </c>
      <c r="N478" t="s">
        <v>1055</v>
      </c>
      <c r="O478" t="s">
        <v>1060</v>
      </c>
      <c r="P478" t="str">
        <f>VLOOKUP(O478,$AL$2:$AM$12,2,FALSE)</f>
        <v>North</v>
      </c>
      <c r="Q478" t="s">
        <v>1082</v>
      </c>
      <c r="R478">
        <v>1820</v>
      </c>
      <c r="S478" t="s">
        <v>1078</v>
      </c>
      <c r="T478">
        <f t="shared" si="50"/>
        <v>5</v>
      </c>
      <c r="U478">
        <v>728</v>
      </c>
      <c r="V478">
        <f t="shared" si="51"/>
        <v>8</v>
      </c>
      <c r="W478" t="s">
        <v>1087</v>
      </c>
      <c r="X478" t="s">
        <v>1091</v>
      </c>
      <c r="Y478">
        <f t="shared" si="52"/>
        <v>0</v>
      </c>
      <c r="Z478" t="s">
        <v>1109</v>
      </c>
      <c r="AA478" t="str">
        <f t="shared" si="53"/>
        <v>High</v>
      </c>
      <c r="AB478" t="s">
        <v>1103</v>
      </c>
      <c r="AC478" t="str">
        <f t="shared" si="54"/>
        <v>No</v>
      </c>
      <c r="AD478">
        <v>2</v>
      </c>
      <c r="AE478">
        <v>132520</v>
      </c>
      <c r="AF478">
        <v>53008</v>
      </c>
      <c r="AG478">
        <f t="shared" si="55"/>
        <v>78784</v>
      </c>
    </row>
    <row r="479" spans="1:33" x14ac:dyDescent="0.25">
      <c r="A479">
        <v>1478</v>
      </c>
      <c r="B479" s="1">
        <v>46387</v>
      </c>
      <c r="C479" s="1">
        <v>46388</v>
      </c>
      <c r="D479" s="1">
        <v>46394</v>
      </c>
      <c r="E479" t="s">
        <v>1066</v>
      </c>
      <c r="F479" t="s">
        <v>507</v>
      </c>
      <c r="G479" t="s">
        <v>1067</v>
      </c>
      <c r="H479" t="str">
        <f t="shared" si="49"/>
        <v>Clothing</v>
      </c>
      <c r="I479">
        <v>10</v>
      </c>
      <c r="J479" t="str">
        <f>VLOOKUP(K479,$AJ$2:$AK$7,2,FALSE)</f>
        <v>S005</v>
      </c>
      <c r="K479" t="s">
        <v>1101</v>
      </c>
      <c r="L479">
        <v>3.1</v>
      </c>
      <c r="M479" t="str">
        <f>IFERROR(VLOOKUP(TRIM(N479),$AP$2:$AQ$12,2,FALSE),"W001")</f>
        <v>W011</v>
      </c>
      <c r="N479" t="s">
        <v>1059</v>
      </c>
      <c r="O479" t="s">
        <v>1055</v>
      </c>
      <c r="P479" t="str">
        <f>VLOOKUP(O479,$AL$2:$AM$12,2,FALSE)</f>
        <v>South</v>
      </c>
      <c r="Q479" t="s">
        <v>1084</v>
      </c>
      <c r="R479">
        <v>1865</v>
      </c>
      <c r="S479" t="s">
        <v>1078</v>
      </c>
      <c r="T479">
        <f t="shared" si="50"/>
        <v>6</v>
      </c>
      <c r="U479">
        <v>559.5</v>
      </c>
      <c r="V479">
        <f t="shared" si="51"/>
        <v>6</v>
      </c>
      <c r="W479" t="s">
        <v>1087</v>
      </c>
      <c r="X479" t="s">
        <v>1091</v>
      </c>
      <c r="Y479">
        <f t="shared" si="52"/>
        <v>0</v>
      </c>
      <c r="Z479" t="s">
        <v>1109</v>
      </c>
      <c r="AA479" t="str">
        <f t="shared" si="53"/>
        <v>High</v>
      </c>
      <c r="AB479" t="s">
        <v>1104</v>
      </c>
      <c r="AC479" t="str">
        <f t="shared" si="54"/>
        <v>No</v>
      </c>
      <c r="AD479">
        <v>2</v>
      </c>
      <c r="AE479">
        <v>6300</v>
      </c>
      <c r="AF479">
        <v>2520</v>
      </c>
      <c r="AG479">
        <f t="shared" si="55"/>
        <v>3220.5</v>
      </c>
    </row>
    <row r="480" spans="1:33" x14ac:dyDescent="0.25">
      <c r="A480">
        <v>1479</v>
      </c>
      <c r="B480" s="1">
        <v>45835</v>
      </c>
      <c r="C480" s="1">
        <v>45836</v>
      </c>
      <c r="D480" s="1">
        <v>45841</v>
      </c>
      <c r="E480" t="s">
        <v>1066</v>
      </c>
      <c r="F480" t="s">
        <v>508</v>
      </c>
      <c r="G480" t="s">
        <v>1070</v>
      </c>
      <c r="H480" t="str">
        <f t="shared" si="49"/>
        <v>Furniture</v>
      </c>
      <c r="I480">
        <v>6</v>
      </c>
      <c r="J480" t="str">
        <f>VLOOKUP(K480,$AJ$2:$AK$7,2,FALSE)</f>
        <v>S002</v>
      </c>
      <c r="K480" t="s">
        <v>1098</v>
      </c>
      <c r="L480">
        <v>4.5</v>
      </c>
      <c r="M480" t="str">
        <f>IFERROR(VLOOKUP(TRIM(N480),$AP$2:$AQ$12,2,FALSE),"W001")</f>
        <v>W007</v>
      </c>
      <c r="N480" t="s">
        <v>1062</v>
      </c>
      <c r="O480" t="s">
        <v>1063</v>
      </c>
      <c r="P480" t="str">
        <f>VLOOKUP(O480,$AL$2:$AM$12,2,FALSE)</f>
        <v>South</v>
      </c>
      <c r="Q480" t="s">
        <v>1083</v>
      </c>
      <c r="R480">
        <v>1254</v>
      </c>
      <c r="S480" t="s">
        <v>1078</v>
      </c>
      <c r="T480">
        <f t="shared" si="50"/>
        <v>3</v>
      </c>
      <c r="U480">
        <v>627</v>
      </c>
      <c r="V480">
        <f t="shared" si="51"/>
        <v>10</v>
      </c>
      <c r="W480" t="s">
        <v>1087</v>
      </c>
      <c r="X480" t="s">
        <v>1091</v>
      </c>
      <c r="Y480">
        <f t="shared" si="52"/>
        <v>0</v>
      </c>
      <c r="Z480" t="s">
        <v>1108</v>
      </c>
      <c r="AA480" t="str">
        <f t="shared" si="53"/>
        <v>Medium</v>
      </c>
      <c r="AB480" t="s">
        <v>1103</v>
      </c>
      <c r="AC480" t="str">
        <f t="shared" si="54"/>
        <v>Yes</v>
      </c>
      <c r="AD480">
        <v>4</v>
      </c>
      <c r="AE480">
        <v>18906</v>
      </c>
      <c r="AF480">
        <v>7562.4000000000005</v>
      </c>
      <c r="AG480">
        <f t="shared" si="55"/>
        <v>10716.599999999999</v>
      </c>
    </row>
    <row r="481" spans="1:33" x14ac:dyDescent="0.25">
      <c r="A481">
        <v>1480</v>
      </c>
      <c r="B481" s="1">
        <v>45074</v>
      </c>
      <c r="C481" s="1">
        <v>45075</v>
      </c>
      <c r="D481" s="1">
        <v>45080</v>
      </c>
      <c r="E481" t="s">
        <v>1064</v>
      </c>
      <c r="F481" t="s">
        <v>509</v>
      </c>
      <c r="G481" t="s">
        <v>1070</v>
      </c>
      <c r="H481" t="str">
        <f t="shared" si="49"/>
        <v>Furniture</v>
      </c>
      <c r="I481">
        <v>2</v>
      </c>
      <c r="J481" t="str">
        <f>VLOOKUP(K481,$AJ$2:$AK$7,2,FALSE)</f>
        <v>S004</v>
      </c>
      <c r="K481" t="s">
        <v>1100</v>
      </c>
      <c r="L481">
        <v>3.3</v>
      </c>
      <c r="M481" t="str">
        <f>IFERROR(VLOOKUP(TRIM(N481),$AP$2:$AQ$12,2,FALSE),"W001")</f>
        <v>W003</v>
      </c>
      <c r="N481" t="s">
        <v>1051</v>
      </c>
      <c r="O481" t="s">
        <v>1060</v>
      </c>
      <c r="P481" t="str">
        <f>VLOOKUP(O481,$AL$2:$AM$12,2,FALSE)</f>
        <v>North</v>
      </c>
      <c r="Q481" t="s">
        <v>1083</v>
      </c>
      <c r="R481">
        <v>652</v>
      </c>
      <c r="S481" t="s">
        <v>1066</v>
      </c>
      <c r="T481">
        <f t="shared" si="50"/>
        <v>2</v>
      </c>
      <c r="U481">
        <v>326</v>
      </c>
      <c r="V481">
        <f t="shared" si="51"/>
        <v>10</v>
      </c>
      <c r="W481" t="s">
        <v>1088</v>
      </c>
      <c r="X481" t="s">
        <v>1091</v>
      </c>
      <c r="Y481">
        <f t="shared" si="52"/>
        <v>0</v>
      </c>
      <c r="Z481" t="s">
        <v>1108</v>
      </c>
      <c r="AA481" t="str">
        <f t="shared" si="53"/>
        <v>Medium</v>
      </c>
      <c r="AB481" t="s">
        <v>1103</v>
      </c>
      <c r="AC481" t="str">
        <f t="shared" si="54"/>
        <v>Yes</v>
      </c>
      <c r="AD481">
        <v>5</v>
      </c>
      <c r="AE481">
        <v>9632</v>
      </c>
      <c r="AF481">
        <v>3852.8</v>
      </c>
      <c r="AG481">
        <f t="shared" si="55"/>
        <v>5453.2</v>
      </c>
    </row>
    <row r="482" spans="1:33" x14ac:dyDescent="0.25">
      <c r="A482">
        <v>1481</v>
      </c>
      <c r="B482" s="1">
        <v>45010</v>
      </c>
      <c r="C482" s="1">
        <v>45013</v>
      </c>
      <c r="D482" s="1">
        <v>45018</v>
      </c>
      <c r="E482" t="s">
        <v>1064</v>
      </c>
      <c r="F482" t="s">
        <v>510</v>
      </c>
      <c r="G482" t="s">
        <v>1069</v>
      </c>
      <c r="H482" t="str">
        <f t="shared" si="49"/>
        <v>Furniture</v>
      </c>
      <c r="I482">
        <v>1</v>
      </c>
      <c r="J482" t="str">
        <f>VLOOKUP(K482,$AJ$2:$AK$7,2,FALSE)</f>
        <v>S001</v>
      </c>
      <c r="K482" t="s">
        <v>1097</v>
      </c>
      <c r="L482">
        <v>3.7</v>
      </c>
      <c r="M482" t="str">
        <f>IFERROR(VLOOKUP(TRIM(N482),$AP$2:$AQ$12,2,FALSE),"W001")</f>
        <v>W008</v>
      </c>
      <c r="N482" t="s">
        <v>1061</v>
      </c>
      <c r="O482" t="s">
        <v>1053</v>
      </c>
      <c r="P482" t="str">
        <f>VLOOKUP(O482,$AL$2:$AM$12,2,FALSE)</f>
        <v>South</v>
      </c>
      <c r="Q482" t="s">
        <v>1085</v>
      </c>
      <c r="R482">
        <v>1917</v>
      </c>
      <c r="S482" t="s">
        <v>1078</v>
      </c>
      <c r="T482">
        <f t="shared" si="50"/>
        <v>13</v>
      </c>
      <c r="U482">
        <v>191.7</v>
      </c>
      <c r="V482">
        <f t="shared" si="51"/>
        <v>3</v>
      </c>
      <c r="W482" t="s">
        <v>1088</v>
      </c>
      <c r="X482" t="s">
        <v>1091</v>
      </c>
      <c r="Y482">
        <f t="shared" si="52"/>
        <v>0</v>
      </c>
      <c r="Z482" t="s">
        <v>1109</v>
      </c>
      <c r="AA482" t="str">
        <f t="shared" si="53"/>
        <v>High</v>
      </c>
      <c r="AB482" t="s">
        <v>1104</v>
      </c>
      <c r="AC482" t="str">
        <f t="shared" si="54"/>
        <v>No</v>
      </c>
      <c r="AD482">
        <v>2</v>
      </c>
      <c r="AE482">
        <v>12912</v>
      </c>
      <c r="AF482">
        <v>5164.8</v>
      </c>
      <c r="AG482">
        <f t="shared" si="55"/>
        <v>7555.5</v>
      </c>
    </row>
    <row r="483" spans="1:33" x14ac:dyDescent="0.25">
      <c r="A483">
        <v>1482</v>
      </c>
      <c r="B483" s="1">
        <v>44565</v>
      </c>
      <c r="C483" s="1">
        <v>44567</v>
      </c>
      <c r="D483" s="1">
        <v>44573</v>
      </c>
      <c r="E483" t="s">
        <v>1066</v>
      </c>
      <c r="F483" t="s">
        <v>511</v>
      </c>
      <c r="G483" t="s">
        <v>1071</v>
      </c>
      <c r="H483" t="str">
        <f t="shared" si="49"/>
        <v>Clothing</v>
      </c>
      <c r="I483">
        <v>6</v>
      </c>
      <c r="J483" t="str">
        <f>VLOOKUP(K483,$AJ$2:$AK$7,2,FALSE)</f>
        <v>S006</v>
      </c>
      <c r="K483" t="s">
        <v>1102</v>
      </c>
      <c r="L483">
        <v>3.9</v>
      </c>
      <c r="M483" t="str">
        <f>IFERROR(VLOOKUP(TRIM(N483),$AP$2:$AQ$12,2,FALSE),"W001")</f>
        <v>W004</v>
      </c>
      <c r="N483" t="s">
        <v>1053</v>
      </c>
      <c r="O483" t="s">
        <v>1047</v>
      </c>
      <c r="P483" t="str">
        <f>VLOOKUP(O483,$AL$2:$AM$12,2,FALSE)</f>
        <v>West</v>
      </c>
      <c r="Q483" t="s">
        <v>1084</v>
      </c>
      <c r="R483">
        <v>1752</v>
      </c>
      <c r="S483" t="s">
        <v>1078</v>
      </c>
      <c r="T483">
        <f t="shared" si="50"/>
        <v>6</v>
      </c>
      <c r="U483">
        <v>525.6</v>
      </c>
      <c r="V483">
        <f t="shared" si="51"/>
        <v>6</v>
      </c>
      <c r="W483" t="s">
        <v>1088</v>
      </c>
      <c r="X483" t="s">
        <v>1091</v>
      </c>
      <c r="Y483">
        <f t="shared" si="52"/>
        <v>0</v>
      </c>
      <c r="Z483" t="s">
        <v>1109</v>
      </c>
      <c r="AA483" t="str">
        <f t="shared" si="53"/>
        <v>High</v>
      </c>
      <c r="AB483" t="s">
        <v>1104</v>
      </c>
      <c r="AC483" t="str">
        <f t="shared" si="54"/>
        <v>No</v>
      </c>
      <c r="AD483">
        <v>1</v>
      </c>
      <c r="AE483">
        <v>13314</v>
      </c>
      <c r="AF483">
        <v>5325.6</v>
      </c>
      <c r="AG483">
        <f t="shared" si="55"/>
        <v>7462.7999999999993</v>
      </c>
    </row>
    <row r="484" spans="1:33" x14ac:dyDescent="0.25">
      <c r="A484">
        <v>1483</v>
      </c>
      <c r="B484" s="1">
        <v>45425</v>
      </c>
      <c r="C484" s="1">
        <v>45426</v>
      </c>
      <c r="D484" s="1">
        <v>45429</v>
      </c>
      <c r="E484" t="s">
        <v>1064</v>
      </c>
      <c r="F484" t="s">
        <v>512</v>
      </c>
      <c r="G484" t="s">
        <v>1067</v>
      </c>
      <c r="H484" t="str">
        <f t="shared" si="49"/>
        <v>Clothing</v>
      </c>
      <c r="I484">
        <v>6</v>
      </c>
      <c r="J484" t="str">
        <f>VLOOKUP(K484,$AJ$2:$AK$7,2,FALSE)</f>
        <v>S005</v>
      </c>
      <c r="K484" t="s">
        <v>1101</v>
      </c>
      <c r="L484">
        <v>4.7</v>
      </c>
      <c r="M484" t="str">
        <f>IFERROR(VLOOKUP(TRIM(N484),$AP$2:$AQ$12,2,FALSE),"W001")</f>
        <v>W007</v>
      </c>
      <c r="N484" t="s">
        <v>1062</v>
      </c>
      <c r="O484" t="s">
        <v>1055</v>
      </c>
      <c r="P484" t="str">
        <f>VLOOKUP(O484,$AL$2:$AM$12,2,FALSE)</f>
        <v>South</v>
      </c>
      <c r="Q484" t="s">
        <v>1084</v>
      </c>
      <c r="R484">
        <v>428</v>
      </c>
      <c r="S484" t="s">
        <v>1066</v>
      </c>
      <c r="T484">
        <f t="shared" si="50"/>
        <v>2</v>
      </c>
      <c r="U484">
        <v>128.4</v>
      </c>
      <c r="V484">
        <f t="shared" si="51"/>
        <v>6</v>
      </c>
      <c r="W484" t="s">
        <v>1086</v>
      </c>
      <c r="X484" t="s">
        <v>1089</v>
      </c>
      <c r="Y484">
        <f t="shared" si="52"/>
        <v>128.4</v>
      </c>
      <c r="Z484" t="s">
        <v>1108</v>
      </c>
      <c r="AA484" t="str">
        <f t="shared" si="53"/>
        <v>Low</v>
      </c>
      <c r="AB484" t="s">
        <v>1103</v>
      </c>
      <c r="AC484" t="str">
        <f t="shared" si="54"/>
        <v>Yes</v>
      </c>
      <c r="AD484">
        <v>5</v>
      </c>
      <c r="AE484">
        <v>5304</v>
      </c>
      <c r="AF484">
        <v>2121.6</v>
      </c>
      <c r="AG484">
        <f t="shared" si="55"/>
        <v>3054</v>
      </c>
    </row>
    <row r="485" spans="1:33" x14ac:dyDescent="0.25">
      <c r="A485">
        <v>1484</v>
      </c>
      <c r="B485" s="1">
        <v>45241</v>
      </c>
      <c r="C485" s="1">
        <v>45244</v>
      </c>
      <c r="D485" s="1">
        <v>45249</v>
      </c>
      <c r="E485" t="s">
        <v>1065</v>
      </c>
      <c r="F485" t="s">
        <v>513</v>
      </c>
      <c r="G485" t="s">
        <v>1070</v>
      </c>
      <c r="H485" t="str">
        <f t="shared" si="49"/>
        <v>Furniture</v>
      </c>
      <c r="I485">
        <v>9</v>
      </c>
      <c r="J485" t="str">
        <f>VLOOKUP(K485,$AJ$2:$AK$7,2,FALSE)</f>
        <v>S002</v>
      </c>
      <c r="K485" t="s">
        <v>1098</v>
      </c>
      <c r="L485">
        <v>3.4</v>
      </c>
      <c r="M485" t="str">
        <f>IFERROR(VLOOKUP(TRIM(N485),$AP$2:$AQ$12,2,FALSE),"W001")</f>
        <v>W001</v>
      </c>
      <c r="N485" t="s">
        <v>1047</v>
      </c>
      <c r="O485" t="s">
        <v>1047</v>
      </c>
      <c r="P485" t="str">
        <f>VLOOKUP(O485,$AL$2:$AM$12,2,FALSE)</f>
        <v>West</v>
      </c>
      <c r="Q485" t="s">
        <v>1084</v>
      </c>
      <c r="R485">
        <v>46</v>
      </c>
      <c r="S485" t="s">
        <v>1079</v>
      </c>
      <c r="T485">
        <f t="shared" si="50"/>
        <v>1</v>
      </c>
      <c r="U485">
        <v>13.8</v>
      </c>
      <c r="V485">
        <f t="shared" si="51"/>
        <v>6</v>
      </c>
      <c r="W485" t="s">
        <v>1087</v>
      </c>
      <c r="X485" t="s">
        <v>1089</v>
      </c>
      <c r="Y485">
        <f t="shared" si="52"/>
        <v>0</v>
      </c>
      <c r="Z485" t="s">
        <v>1108</v>
      </c>
      <c r="AA485" t="str">
        <f t="shared" si="53"/>
        <v>Low</v>
      </c>
      <c r="AB485" t="s">
        <v>1103</v>
      </c>
      <c r="AC485" t="str">
        <f t="shared" si="54"/>
        <v>Yes</v>
      </c>
      <c r="AD485">
        <v>5</v>
      </c>
      <c r="AE485">
        <v>43173</v>
      </c>
      <c r="AF485">
        <v>17269.2</v>
      </c>
      <c r="AG485">
        <f t="shared" si="55"/>
        <v>25890</v>
      </c>
    </row>
    <row r="486" spans="1:33" x14ac:dyDescent="0.25">
      <c r="A486">
        <v>1485</v>
      </c>
      <c r="B486" s="1">
        <v>45877</v>
      </c>
      <c r="C486" s="1">
        <v>45878</v>
      </c>
      <c r="D486" s="1">
        <v>45885</v>
      </c>
      <c r="E486" t="s">
        <v>1066</v>
      </c>
      <c r="F486" t="s">
        <v>514</v>
      </c>
      <c r="G486" t="s">
        <v>1071</v>
      </c>
      <c r="H486" t="str">
        <f t="shared" si="49"/>
        <v>Clothing</v>
      </c>
      <c r="I486">
        <v>8</v>
      </c>
      <c r="J486" t="str">
        <f>VLOOKUP(K486,$AJ$2:$AK$7,2,FALSE)</f>
        <v>S006</v>
      </c>
      <c r="K486" t="s">
        <v>1102</v>
      </c>
      <c r="L486">
        <v>3.4</v>
      </c>
      <c r="M486" t="str">
        <f>IFERROR(VLOOKUP(TRIM(N486),$AP$2:$AQ$12,2,FALSE),"W001")</f>
        <v>W006</v>
      </c>
      <c r="N486" t="s">
        <v>1057</v>
      </c>
      <c r="O486" t="s">
        <v>1057</v>
      </c>
      <c r="P486" t="str">
        <f>VLOOKUP(O486,$AL$2:$AM$12,2,FALSE)</f>
        <v>South</v>
      </c>
      <c r="Q486" t="s">
        <v>1084</v>
      </c>
      <c r="R486">
        <v>16</v>
      </c>
      <c r="S486" t="s">
        <v>1079</v>
      </c>
      <c r="T486">
        <f t="shared" si="50"/>
        <v>1</v>
      </c>
      <c r="U486">
        <v>4.8</v>
      </c>
      <c r="V486">
        <f t="shared" si="51"/>
        <v>6</v>
      </c>
      <c r="W486" t="s">
        <v>1086</v>
      </c>
      <c r="X486" t="s">
        <v>1090</v>
      </c>
      <c r="Y486">
        <f t="shared" si="52"/>
        <v>4.8</v>
      </c>
      <c r="Z486" t="s">
        <v>1108</v>
      </c>
      <c r="AA486" t="str">
        <f t="shared" si="53"/>
        <v>Low</v>
      </c>
      <c r="AB486" t="s">
        <v>1103</v>
      </c>
      <c r="AC486" t="str">
        <f t="shared" si="54"/>
        <v>Yes</v>
      </c>
      <c r="AD486">
        <v>4</v>
      </c>
      <c r="AE486">
        <v>13992</v>
      </c>
      <c r="AF486">
        <v>5596.8</v>
      </c>
      <c r="AG486">
        <f t="shared" si="55"/>
        <v>8390.4000000000015</v>
      </c>
    </row>
    <row r="487" spans="1:33" x14ac:dyDescent="0.25">
      <c r="A487">
        <v>1486</v>
      </c>
      <c r="B487" s="1">
        <v>45341</v>
      </c>
      <c r="C487" s="1">
        <v>45344</v>
      </c>
      <c r="D487" s="1">
        <v>45349</v>
      </c>
      <c r="E487" t="s">
        <v>1065</v>
      </c>
      <c r="F487" t="s">
        <v>515</v>
      </c>
      <c r="G487" t="s">
        <v>1071</v>
      </c>
      <c r="H487" t="str">
        <f t="shared" si="49"/>
        <v>Clothing</v>
      </c>
      <c r="I487">
        <v>1</v>
      </c>
      <c r="J487" t="str">
        <f>VLOOKUP(K487,$AJ$2:$AK$7,2,FALSE)</f>
        <v>S006</v>
      </c>
      <c r="K487" t="s">
        <v>1102</v>
      </c>
      <c r="L487">
        <v>3.4</v>
      </c>
      <c r="M487" t="str">
        <f>IFERROR(VLOOKUP(TRIM(N487),$AP$2:$AQ$12,2,FALSE),"W001")</f>
        <v>W001</v>
      </c>
      <c r="N487" t="s">
        <v>1047</v>
      </c>
      <c r="O487" t="s">
        <v>1061</v>
      </c>
      <c r="P487" t="str">
        <f>VLOOKUP(O487,$AL$2:$AM$12,2,FALSE)</f>
        <v>West</v>
      </c>
      <c r="Q487" t="s">
        <v>1080</v>
      </c>
      <c r="R487">
        <v>1022</v>
      </c>
      <c r="S487" t="s">
        <v>1078</v>
      </c>
      <c r="T487">
        <f t="shared" si="50"/>
        <v>5</v>
      </c>
      <c r="U487">
        <v>153.30000000000001</v>
      </c>
      <c r="V487">
        <f t="shared" si="51"/>
        <v>4</v>
      </c>
      <c r="W487" t="s">
        <v>1086</v>
      </c>
      <c r="X487" t="s">
        <v>1091</v>
      </c>
      <c r="Y487">
        <f t="shared" si="52"/>
        <v>153.30000000000001</v>
      </c>
      <c r="Z487" t="s">
        <v>1108</v>
      </c>
      <c r="AA487" t="str">
        <f t="shared" si="53"/>
        <v>Low</v>
      </c>
      <c r="AB487" t="s">
        <v>1103</v>
      </c>
      <c r="AC487" t="str">
        <f t="shared" si="54"/>
        <v>Yes</v>
      </c>
      <c r="AD487">
        <v>5</v>
      </c>
      <c r="AE487">
        <v>1685</v>
      </c>
      <c r="AF487">
        <v>674</v>
      </c>
      <c r="AG487">
        <f t="shared" si="55"/>
        <v>857.7</v>
      </c>
    </row>
    <row r="488" spans="1:33" x14ac:dyDescent="0.25">
      <c r="A488">
        <v>1487</v>
      </c>
      <c r="B488" s="1">
        <v>45622</v>
      </c>
      <c r="C488" s="1">
        <v>45625</v>
      </c>
      <c r="D488" s="1">
        <v>45628</v>
      </c>
      <c r="E488" t="s">
        <v>1064</v>
      </c>
      <c r="F488" t="s">
        <v>516</v>
      </c>
      <c r="G488" t="s">
        <v>1067</v>
      </c>
      <c r="H488" t="str">
        <f t="shared" si="49"/>
        <v>Clothing</v>
      </c>
      <c r="I488">
        <v>10</v>
      </c>
      <c r="J488" t="str">
        <f>VLOOKUP(K488,$AJ$2:$AK$7,2,FALSE)</f>
        <v>S001</v>
      </c>
      <c r="K488" t="s">
        <v>1097</v>
      </c>
      <c r="L488">
        <v>4.7</v>
      </c>
      <c r="M488" t="str">
        <f>IFERROR(VLOOKUP(TRIM(N488),$AP$2:$AQ$12,2,FALSE),"W001")</f>
        <v>W005</v>
      </c>
      <c r="N488" t="s">
        <v>1055</v>
      </c>
      <c r="O488" t="s">
        <v>1055</v>
      </c>
      <c r="P488" t="str">
        <f>VLOOKUP(O488,$AL$2:$AM$12,2,FALSE)</f>
        <v>South</v>
      </c>
      <c r="Q488" t="s">
        <v>1080</v>
      </c>
      <c r="R488">
        <v>16</v>
      </c>
      <c r="S488" t="s">
        <v>1079</v>
      </c>
      <c r="T488">
        <f t="shared" si="50"/>
        <v>2</v>
      </c>
      <c r="U488">
        <v>2.4</v>
      </c>
      <c r="V488">
        <f t="shared" si="51"/>
        <v>4</v>
      </c>
      <c r="W488" t="s">
        <v>1088</v>
      </c>
      <c r="X488" t="s">
        <v>1091</v>
      </c>
      <c r="Y488">
        <f t="shared" si="52"/>
        <v>0</v>
      </c>
      <c r="Z488" t="s">
        <v>1108</v>
      </c>
      <c r="AA488" t="str">
        <f t="shared" si="53"/>
        <v>Low</v>
      </c>
      <c r="AB488" t="s">
        <v>1103</v>
      </c>
      <c r="AC488" t="str">
        <f t="shared" si="54"/>
        <v>Yes</v>
      </c>
      <c r="AD488">
        <v>4</v>
      </c>
      <c r="AE488">
        <v>8220</v>
      </c>
      <c r="AF488">
        <v>3288</v>
      </c>
      <c r="AG488">
        <f t="shared" si="55"/>
        <v>4929.6000000000004</v>
      </c>
    </row>
    <row r="489" spans="1:33" x14ac:dyDescent="0.25">
      <c r="A489">
        <v>1488</v>
      </c>
      <c r="B489" s="1">
        <v>46019</v>
      </c>
      <c r="C489" s="1">
        <v>46022</v>
      </c>
      <c r="D489" s="1">
        <v>46026</v>
      </c>
      <c r="E489" t="s">
        <v>1066</v>
      </c>
      <c r="F489" t="s">
        <v>517</v>
      </c>
      <c r="G489" t="s">
        <v>1071</v>
      </c>
      <c r="H489" t="str">
        <f t="shared" si="49"/>
        <v>Clothing</v>
      </c>
      <c r="I489">
        <v>8</v>
      </c>
      <c r="J489" t="str">
        <f>VLOOKUP(K489,$AJ$2:$AK$7,2,FALSE)</f>
        <v>S003</v>
      </c>
      <c r="K489" t="s">
        <v>1099</v>
      </c>
      <c r="L489">
        <v>3</v>
      </c>
      <c r="M489" t="str">
        <f>IFERROR(VLOOKUP(TRIM(N489),$AP$2:$AQ$12,2,FALSE),"W001")</f>
        <v>W006</v>
      </c>
      <c r="N489" t="s">
        <v>1057</v>
      </c>
      <c r="O489" t="s">
        <v>1055</v>
      </c>
      <c r="P489" t="str">
        <f>VLOOKUP(O489,$AL$2:$AM$12,2,FALSE)</f>
        <v>South</v>
      </c>
      <c r="Q489" t="s">
        <v>1083</v>
      </c>
      <c r="R489">
        <v>1173</v>
      </c>
      <c r="S489" t="s">
        <v>1078</v>
      </c>
      <c r="T489">
        <f t="shared" si="50"/>
        <v>3</v>
      </c>
      <c r="U489">
        <v>586.5</v>
      </c>
      <c r="V489">
        <f t="shared" si="51"/>
        <v>10</v>
      </c>
      <c r="W489" t="s">
        <v>1088</v>
      </c>
      <c r="X489" t="s">
        <v>1090</v>
      </c>
      <c r="Y489">
        <f t="shared" si="52"/>
        <v>0</v>
      </c>
      <c r="Z489" t="s">
        <v>1108</v>
      </c>
      <c r="AA489" t="str">
        <f t="shared" si="53"/>
        <v>Medium</v>
      </c>
      <c r="AB489" t="s">
        <v>1104</v>
      </c>
      <c r="AC489" t="str">
        <f t="shared" si="54"/>
        <v>Yes</v>
      </c>
      <c r="AD489">
        <v>2</v>
      </c>
      <c r="AE489">
        <v>23880</v>
      </c>
      <c r="AF489">
        <v>9552</v>
      </c>
      <c r="AG489">
        <f t="shared" si="55"/>
        <v>13741.5</v>
      </c>
    </row>
    <row r="490" spans="1:33" x14ac:dyDescent="0.25">
      <c r="A490">
        <v>1489</v>
      </c>
      <c r="B490" s="1">
        <v>44984</v>
      </c>
      <c r="C490" s="1">
        <v>44986</v>
      </c>
      <c r="D490" s="1">
        <v>44991</v>
      </c>
      <c r="E490" t="s">
        <v>1066</v>
      </c>
      <c r="F490" t="s">
        <v>518</v>
      </c>
      <c r="G490" t="s">
        <v>1067</v>
      </c>
      <c r="H490" t="str">
        <f t="shared" si="49"/>
        <v>Clothing</v>
      </c>
      <c r="I490">
        <v>4</v>
      </c>
      <c r="J490" t="str">
        <f>VLOOKUP(K490,$AJ$2:$AK$7,2,FALSE)</f>
        <v>S006</v>
      </c>
      <c r="K490" t="s">
        <v>1102</v>
      </c>
      <c r="L490">
        <v>3.6</v>
      </c>
      <c r="M490" t="str">
        <f>IFERROR(VLOOKUP(TRIM(N490),$AP$2:$AQ$12,2,FALSE),"W001")</f>
        <v>W006</v>
      </c>
      <c r="N490" t="s">
        <v>1057</v>
      </c>
      <c r="O490" t="s">
        <v>1053</v>
      </c>
      <c r="P490" t="str">
        <f>VLOOKUP(O490,$AL$2:$AM$12,2,FALSE)</f>
        <v>South</v>
      </c>
      <c r="Q490" t="s">
        <v>1083</v>
      </c>
      <c r="R490">
        <v>684</v>
      </c>
      <c r="S490" t="s">
        <v>1066</v>
      </c>
      <c r="T490">
        <f t="shared" si="50"/>
        <v>2</v>
      </c>
      <c r="U490">
        <v>342</v>
      </c>
      <c r="V490">
        <f t="shared" si="51"/>
        <v>10</v>
      </c>
      <c r="W490" t="s">
        <v>1087</v>
      </c>
      <c r="X490" t="s">
        <v>1091</v>
      </c>
      <c r="Y490">
        <f t="shared" si="52"/>
        <v>0</v>
      </c>
      <c r="Z490" t="s">
        <v>1108</v>
      </c>
      <c r="AA490" t="str">
        <f t="shared" si="53"/>
        <v>Medium</v>
      </c>
      <c r="AB490" t="s">
        <v>1103</v>
      </c>
      <c r="AC490" t="str">
        <f t="shared" si="54"/>
        <v>Yes</v>
      </c>
      <c r="AD490">
        <v>5</v>
      </c>
      <c r="AE490">
        <v>2848</v>
      </c>
      <c r="AF490">
        <v>1139.2</v>
      </c>
      <c r="AG490">
        <f t="shared" si="55"/>
        <v>1366.8</v>
      </c>
    </row>
    <row r="491" spans="1:33" x14ac:dyDescent="0.25">
      <c r="A491">
        <v>1490</v>
      </c>
      <c r="B491" s="1">
        <v>46359</v>
      </c>
      <c r="C491" s="1">
        <v>46360</v>
      </c>
      <c r="D491" s="1">
        <v>46362</v>
      </c>
      <c r="E491" t="s">
        <v>1066</v>
      </c>
      <c r="F491" t="s">
        <v>519</v>
      </c>
      <c r="G491" t="s">
        <v>1069</v>
      </c>
      <c r="H491" t="str">
        <f t="shared" si="49"/>
        <v>Furniture</v>
      </c>
      <c r="I491">
        <v>7</v>
      </c>
      <c r="J491" t="str">
        <f>VLOOKUP(K491,$AJ$2:$AK$7,2,FALSE)</f>
        <v>S004</v>
      </c>
      <c r="K491" t="s">
        <v>1100</v>
      </c>
      <c r="L491">
        <v>3.7</v>
      </c>
      <c r="M491" t="str">
        <f>IFERROR(VLOOKUP(TRIM(N491),$AP$2:$AQ$12,2,FALSE),"W001")</f>
        <v>W009</v>
      </c>
      <c r="N491" t="s">
        <v>1060</v>
      </c>
      <c r="O491" t="s">
        <v>1051</v>
      </c>
      <c r="P491" t="str">
        <f>VLOOKUP(O491,$AL$2:$AM$12,2,FALSE)</f>
        <v>West</v>
      </c>
      <c r="Q491" t="s">
        <v>1080</v>
      </c>
      <c r="R491">
        <v>1526</v>
      </c>
      <c r="S491" t="s">
        <v>1078</v>
      </c>
      <c r="T491">
        <f t="shared" si="50"/>
        <v>7</v>
      </c>
      <c r="U491">
        <v>228.9</v>
      </c>
      <c r="V491">
        <f t="shared" si="51"/>
        <v>4</v>
      </c>
      <c r="W491" t="s">
        <v>1088</v>
      </c>
      <c r="X491" t="s">
        <v>1090</v>
      </c>
      <c r="Y491">
        <f t="shared" si="52"/>
        <v>0</v>
      </c>
      <c r="Z491" t="s">
        <v>1108</v>
      </c>
      <c r="AA491" t="str">
        <f t="shared" si="53"/>
        <v>Low</v>
      </c>
      <c r="AB491" t="s">
        <v>1103</v>
      </c>
      <c r="AC491" t="str">
        <f t="shared" si="54"/>
        <v>Yes</v>
      </c>
      <c r="AD491">
        <v>4</v>
      </c>
      <c r="AE491">
        <v>62069</v>
      </c>
      <c r="AF491">
        <v>24827.600000000002</v>
      </c>
      <c r="AG491">
        <f t="shared" si="55"/>
        <v>37012.499999999993</v>
      </c>
    </row>
    <row r="492" spans="1:33" x14ac:dyDescent="0.25">
      <c r="A492">
        <v>1491</v>
      </c>
      <c r="B492" s="1">
        <v>45448</v>
      </c>
      <c r="C492" s="1">
        <v>45450</v>
      </c>
      <c r="D492" s="1">
        <v>45453</v>
      </c>
      <c r="E492" t="s">
        <v>1066</v>
      </c>
      <c r="F492" t="s">
        <v>520</v>
      </c>
      <c r="G492" t="s">
        <v>1068</v>
      </c>
      <c r="H492" t="str">
        <f t="shared" si="49"/>
        <v>Electronics</v>
      </c>
      <c r="I492">
        <v>9</v>
      </c>
      <c r="J492" t="str">
        <f>VLOOKUP(K492,$AJ$2:$AK$7,2,FALSE)</f>
        <v>S006</v>
      </c>
      <c r="K492" t="s">
        <v>1102</v>
      </c>
      <c r="L492">
        <v>3.2</v>
      </c>
      <c r="M492" t="str">
        <f>IFERROR(VLOOKUP(TRIM(N492),$AP$2:$AQ$12,2,FALSE),"W001")</f>
        <v>W001</v>
      </c>
      <c r="N492" t="s">
        <v>1047</v>
      </c>
      <c r="O492" t="s">
        <v>1057</v>
      </c>
      <c r="P492" t="str">
        <f>VLOOKUP(O492,$AL$2:$AM$12,2,FALSE)</f>
        <v>South</v>
      </c>
      <c r="Q492" t="s">
        <v>1085</v>
      </c>
      <c r="R492">
        <v>831</v>
      </c>
      <c r="S492" t="s">
        <v>1078</v>
      </c>
      <c r="T492">
        <f t="shared" si="50"/>
        <v>7</v>
      </c>
      <c r="U492">
        <v>83.1</v>
      </c>
      <c r="V492">
        <f t="shared" si="51"/>
        <v>3</v>
      </c>
      <c r="W492" t="s">
        <v>1087</v>
      </c>
      <c r="X492" t="s">
        <v>1089</v>
      </c>
      <c r="Y492">
        <f t="shared" si="52"/>
        <v>0</v>
      </c>
      <c r="Z492" t="s">
        <v>1108</v>
      </c>
      <c r="AA492" t="str">
        <f t="shared" si="53"/>
        <v>Low</v>
      </c>
      <c r="AB492" t="s">
        <v>1103</v>
      </c>
      <c r="AC492" t="str">
        <f t="shared" si="54"/>
        <v>Yes</v>
      </c>
      <c r="AD492">
        <v>4</v>
      </c>
      <c r="AE492">
        <v>522369</v>
      </c>
      <c r="AF492">
        <v>208947.6</v>
      </c>
      <c r="AG492">
        <f t="shared" si="55"/>
        <v>313338.30000000005</v>
      </c>
    </row>
    <row r="493" spans="1:33" x14ac:dyDescent="0.25">
      <c r="A493">
        <v>1492</v>
      </c>
      <c r="B493" s="1">
        <v>44706</v>
      </c>
      <c r="C493" s="1">
        <v>44709</v>
      </c>
      <c r="D493" s="1">
        <v>44715</v>
      </c>
      <c r="E493" t="s">
        <v>1066</v>
      </c>
      <c r="F493" t="s">
        <v>521</v>
      </c>
      <c r="G493" t="s">
        <v>1071</v>
      </c>
      <c r="H493" t="str">
        <f t="shared" si="49"/>
        <v>Clothing</v>
      </c>
      <c r="I493">
        <v>8</v>
      </c>
      <c r="J493" t="str">
        <f>VLOOKUP(K493,$AJ$2:$AK$7,2,FALSE)</f>
        <v>S002</v>
      </c>
      <c r="K493" t="s">
        <v>1098</v>
      </c>
      <c r="L493">
        <v>3.4</v>
      </c>
      <c r="M493" t="str">
        <f>IFERROR(VLOOKUP(TRIM(N493),$AP$2:$AQ$12,2,FALSE),"W001")</f>
        <v>W011</v>
      </c>
      <c r="N493" t="s">
        <v>1059</v>
      </c>
      <c r="O493" t="s">
        <v>1061</v>
      </c>
      <c r="P493" t="str">
        <f>VLOOKUP(O493,$AL$2:$AM$12,2,FALSE)</f>
        <v>West</v>
      </c>
      <c r="Q493" t="s">
        <v>1080</v>
      </c>
      <c r="R493">
        <v>1677</v>
      </c>
      <c r="S493" t="s">
        <v>1078</v>
      </c>
      <c r="T493">
        <f t="shared" si="50"/>
        <v>8</v>
      </c>
      <c r="U493">
        <v>251.55</v>
      </c>
      <c r="V493">
        <f t="shared" si="51"/>
        <v>4</v>
      </c>
      <c r="W493" t="s">
        <v>1086</v>
      </c>
      <c r="X493" t="s">
        <v>1089</v>
      </c>
      <c r="Y493">
        <f t="shared" si="52"/>
        <v>251.55</v>
      </c>
      <c r="Z493" t="s">
        <v>1108</v>
      </c>
      <c r="AA493" t="str">
        <f t="shared" si="53"/>
        <v>Low</v>
      </c>
      <c r="AB493" t="s">
        <v>1103</v>
      </c>
      <c r="AC493" t="str">
        <f t="shared" si="54"/>
        <v>Yes</v>
      </c>
      <c r="AD493">
        <v>5</v>
      </c>
      <c r="AE493">
        <v>23720</v>
      </c>
      <c r="AF493">
        <v>9488</v>
      </c>
      <c r="AG493">
        <f t="shared" si="55"/>
        <v>13980.45</v>
      </c>
    </row>
    <row r="494" spans="1:33" x14ac:dyDescent="0.25">
      <c r="A494">
        <v>1493</v>
      </c>
      <c r="B494" s="1">
        <v>44422</v>
      </c>
      <c r="C494" s="1">
        <v>44424</v>
      </c>
      <c r="D494" s="1">
        <v>44430</v>
      </c>
      <c r="E494" t="s">
        <v>1065</v>
      </c>
      <c r="F494" t="s">
        <v>522</v>
      </c>
      <c r="G494" t="s">
        <v>1068</v>
      </c>
      <c r="H494" t="str">
        <f t="shared" si="49"/>
        <v>Electronics</v>
      </c>
      <c r="I494">
        <v>4</v>
      </c>
      <c r="J494" t="str">
        <f>VLOOKUP(K494,$AJ$2:$AK$7,2,FALSE)</f>
        <v>S001</v>
      </c>
      <c r="K494" t="s">
        <v>1097</v>
      </c>
      <c r="L494">
        <v>4.9000000000000004</v>
      </c>
      <c r="M494" t="str">
        <f>IFERROR(VLOOKUP(TRIM(N494),$AP$2:$AQ$12,2,FALSE),"W001")</f>
        <v>W001</v>
      </c>
      <c r="N494" t="s">
        <v>1047</v>
      </c>
      <c r="O494" t="s">
        <v>1063</v>
      </c>
      <c r="P494" t="str">
        <f>VLOOKUP(O494,$AL$2:$AM$12,2,FALSE)</f>
        <v>South</v>
      </c>
      <c r="Q494" t="s">
        <v>1081</v>
      </c>
      <c r="R494">
        <v>1119</v>
      </c>
      <c r="S494" t="s">
        <v>1078</v>
      </c>
      <c r="T494">
        <f t="shared" si="50"/>
        <v>5</v>
      </c>
      <c r="U494">
        <v>223.8</v>
      </c>
      <c r="V494">
        <f t="shared" si="51"/>
        <v>5</v>
      </c>
      <c r="W494" t="s">
        <v>1087</v>
      </c>
      <c r="X494" t="s">
        <v>1091</v>
      </c>
      <c r="Y494">
        <f t="shared" si="52"/>
        <v>0</v>
      </c>
      <c r="Z494" t="s">
        <v>1108</v>
      </c>
      <c r="AA494" t="str">
        <f t="shared" si="53"/>
        <v>Low</v>
      </c>
      <c r="AB494" t="s">
        <v>1103</v>
      </c>
      <c r="AC494" t="str">
        <f t="shared" si="54"/>
        <v>Yes</v>
      </c>
      <c r="AD494">
        <v>5</v>
      </c>
      <c r="AE494">
        <v>196268</v>
      </c>
      <c r="AF494">
        <v>78507.199999999997</v>
      </c>
      <c r="AG494">
        <f t="shared" si="55"/>
        <v>117537</v>
      </c>
    </row>
    <row r="495" spans="1:33" x14ac:dyDescent="0.25">
      <c r="A495">
        <v>1494</v>
      </c>
      <c r="B495" s="1">
        <v>44625</v>
      </c>
      <c r="C495" s="1">
        <v>44627</v>
      </c>
      <c r="D495" s="1">
        <v>44634</v>
      </c>
      <c r="E495" t="s">
        <v>1066</v>
      </c>
      <c r="F495" t="s">
        <v>523</v>
      </c>
      <c r="G495" t="s">
        <v>1072</v>
      </c>
      <c r="H495" t="str">
        <f t="shared" si="49"/>
        <v>Electronics</v>
      </c>
      <c r="I495">
        <v>3</v>
      </c>
      <c r="J495" t="str">
        <f>VLOOKUP(K495,$AJ$2:$AK$7,2,FALSE)</f>
        <v>S006</v>
      </c>
      <c r="K495" t="s">
        <v>1102</v>
      </c>
      <c r="L495">
        <v>4.2</v>
      </c>
      <c r="M495" t="str">
        <f>IFERROR(VLOOKUP(TRIM(N495),$AP$2:$AQ$12,2,FALSE),"W001")</f>
        <v>W001</v>
      </c>
      <c r="N495" t="s">
        <v>1047</v>
      </c>
      <c r="O495" t="s">
        <v>1051</v>
      </c>
      <c r="P495" t="str">
        <f>VLOOKUP(O495,$AL$2:$AM$12,2,FALSE)</f>
        <v>West</v>
      </c>
      <c r="Q495" t="s">
        <v>1082</v>
      </c>
      <c r="R495">
        <v>327</v>
      </c>
      <c r="S495" t="s">
        <v>1066</v>
      </c>
      <c r="T495">
        <f t="shared" si="50"/>
        <v>2</v>
      </c>
      <c r="U495">
        <v>130.80000000000001</v>
      </c>
      <c r="V495">
        <f t="shared" si="51"/>
        <v>8</v>
      </c>
      <c r="W495" t="s">
        <v>1087</v>
      </c>
      <c r="X495" t="s">
        <v>1089</v>
      </c>
      <c r="Y495">
        <f t="shared" si="52"/>
        <v>0</v>
      </c>
      <c r="Z495" t="s">
        <v>1108</v>
      </c>
      <c r="AA495" t="str">
        <f t="shared" si="53"/>
        <v>Medium</v>
      </c>
      <c r="AB495" t="s">
        <v>1103</v>
      </c>
      <c r="AC495" t="str">
        <f t="shared" si="54"/>
        <v>Yes</v>
      </c>
      <c r="AD495">
        <v>5</v>
      </c>
      <c r="AE495">
        <v>84540</v>
      </c>
      <c r="AF495">
        <v>33816</v>
      </c>
      <c r="AG495">
        <f t="shared" si="55"/>
        <v>50593.2</v>
      </c>
    </row>
    <row r="496" spans="1:33" x14ac:dyDescent="0.25">
      <c r="A496">
        <v>1495</v>
      </c>
      <c r="B496" s="1">
        <v>45881</v>
      </c>
      <c r="C496" s="1">
        <v>45882</v>
      </c>
      <c r="D496" s="1">
        <v>45885</v>
      </c>
      <c r="E496" t="s">
        <v>1064</v>
      </c>
      <c r="F496" t="s">
        <v>524</v>
      </c>
      <c r="G496" t="s">
        <v>1072</v>
      </c>
      <c r="H496" t="str">
        <f t="shared" si="49"/>
        <v>Electronics</v>
      </c>
      <c r="I496">
        <v>5</v>
      </c>
      <c r="J496" t="str">
        <f>VLOOKUP(K496,$AJ$2:$AK$7,2,FALSE)</f>
        <v>S001</v>
      </c>
      <c r="K496" t="s">
        <v>1097</v>
      </c>
      <c r="L496">
        <v>4.9000000000000004</v>
      </c>
      <c r="M496" t="str">
        <f>IFERROR(VLOOKUP(TRIM(N496),$AP$2:$AQ$12,2,FALSE),"W001")</f>
        <v>W004</v>
      </c>
      <c r="N496" t="s">
        <v>1053</v>
      </c>
      <c r="O496" t="s">
        <v>1047</v>
      </c>
      <c r="P496" t="str">
        <f>VLOOKUP(O496,$AL$2:$AM$12,2,FALSE)</f>
        <v>West</v>
      </c>
      <c r="Q496" t="s">
        <v>1084</v>
      </c>
      <c r="R496">
        <v>1401</v>
      </c>
      <c r="S496" t="s">
        <v>1078</v>
      </c>
      <c r="T496">
        <f t="shared" si="50"/>
        <v>5</v>
      </c>
      <c r="U496">
        <v>420.3</v>
      </c>
      <c r="V496">
        <f t="shared" si="51"/>
        <v>6</v>
      </c>
      <c r="W496" t="s">
        <v>1086</v>
      </c>
      <c r="X496" t="s">
        <v>1091</v>
      </c>
      <c r="Y496">
        <f t="shared" si="52"/>
        <v>420.3</v>
      </c>
      <c r="Z496" t="s">
        <v>1108</v>
      </c>
      <c r="AA496" t="str">
        <f t="shared" si="53"/>
        <v>Low</v>
      </c>
      <c r="AB496" t="s">
        <v>1103</v>
      </c>
      <c r="AC496" t="str">
        <f t="shared" si="54"/>
        <v>Yes</v>
      </c>
      <c r="AD496">
        <v>5</v>
      </c>
      <c r="AE496">
        <v>113095</v>
      </c>
      <c r="AF496">
        <v>45238</v>
      </c>
      <c r="AG496">
        <f t="shared" si="55"/>
        <v>67436.7</v>
      </c>
    </row>
    <row r="497" spans="1:33" x14ac:dyDescent="0.25">
      <c r="A497">
        <v>1496</v>
      </c>
      <c r="B497" s="1">
        <v>44348</v>
      </c>
      <c r="C497" s="1">
        <v>44350</v>
      </c>
      <c r="D497" s="1">
        <v>44352</v>
      </c>
      <c r="E497" t="s">
        <v>1066</v>
      </c>
      <c r="F497" t="s">
        <v>525</v>
      </c>
      <c r="G497" t="s">
        <v>1069</v>
      </c>
      <c r="H497" t="str">
        <f t="shared" si="49"/>
        <v>Furniture</v>
      </c>
      <c r="I497">
        <v>10</v>
      </c>
      <c r="J497" t="str">
        <f>VLOOKUP(K497,$AJ$2:$AK$7,2,FALSE)</f>
        <v>S005</v>
      </c>
      <c r="K497" t="s">
        <v>1101</v>
      </c>
      <c r="L497">
        <v>4.3</v>
      </c>
      <c r="M497" t="str">
        <f>IFERROR(VLOOKUP(TRIM(N497),$AP$2:$AQ$12,2,FALSE),"W001")</f>
        <v>W010</v>
      </c>
      <c r="N497" t="s">
        <v>1063</v>
      </c>
      <c r="O497" t="s">
        <v>1062</v>
      </c>
      <c r="P497" t="str">
        <f>VLOOKUP(O497,$AL$2:$AM$12,2,FALSE)</f>
        <v>North</v>
      </c>
      <c r="Q497" t="s">
        <v>1085</v>
      </c>
      <c r="R497">
        <v>481</v>
      </c>
      <c r="S497" t="s">
        <v>1066</v>
      </c>
      <c r="T497">
        <f t="shared" si="50"/>
        <v>5</v>
      </c>
      <c r="U497">
        <v>48.1</v>
      </c>
      <c r="V497">
        <f t="shared" si="51"/>
        <v>3</v>
      </c>
      <c r="W497" t="s">
        <v>1087</v>
      </c>
      <c r="X497" t="s">
        <v>1091</v>
      </c>
      <c r="Y497">
        <f t="shared" si="52"/>
        <v>0</v>
      </c>
      <c r="Z497" t="s">
        <v>1108</v>
      </c>
      <c r="AA497" t="str">
        <f t="shared" si="53"/>
        <v>Low</v>
      </c>
      <c r="AB497" t="s">
        <v>1103</v>
      </c>
      <c r="AC497" t="str">
        <f t="shared" si="54"/>
        <v>Yes</v>
      </c>
      <c r="AD497">
        <v>4</v>
      </c>
      <c r="AE497">
        <v>61100</v>
      </c>
      <c r="AF497">
        <v>24440</v>
      </c>
      <c r="AG497">
        <f t="shared" si="55"/>
        <v>36611.9</v>
      </c>
    </row>
    <row r="498" spans="1:33" x14ac:dyDescent="0.25">
      <c r="A498">
        <v>1497</v>
      </c>
      <c r="B498" s="1">
        <v>45161</v>
      </c>
      <c r="C498" s="1">
        <v>45164</v>
      </c>
      <c r="D498" s="1">
        <v>45169</v>
      </c>
      <c r="E498" t="s">
        <v>1066</v>
      </c>
      <c r="F498" t="s">
        <v>526</v>
      </c>
      <c r="G498" t="s">
        <v>1069</v>
      </c>
      <c r="H498" t="str">
        <f t="shared" si="49"/>
        <v>Furniture</v>
      </c>
      <c r="I498">
        <v>9</v>
      </c>
      <c r="J498" t="str">
        <f>VLOOKUP(K498,$AJ$2:$AK$7,2,FALSE)</f>
        <v>S006</v>
      </c>
      <c r="K498" t="s">
        <v>1102</v>
      </c>
      <c r="L498">
        <v>3.3</v>
      </c>
      <c r="M498" t="str">
        <f>IFERROR(VLOOKUP(TRIM(N498),$AP$2:$AQ$12,2,FALSE),"W001")</f>
        <v>W001</v>
      </c>
      <c r="N498" t="s">
        <v>1047</v>
      </c>
      <c r="O498" t="s">
        <v>1057</v>
      </c>
      <c r="P498" t="str">
        <f>VLOOKUP(O498,$AL$2:$AM$12,2,FALSE)</f>
        <v>South</v>
      </c>
      <c r="Q498" t="s">
        <v>1082</v>
      </c>
      <c r="R498">
        <v>1926</v>
      </c>
      <c r="S498" t="s">
        <v>1078</v>
      </c>
      <c r="T498">
        <f t="shared" si="50"/>
        <v>5</v>
      </c>
      <c r="U498">
        <v>770.4</v>
      </c>
      <c r="V498">
        <f t="shared" si="51"/>
        <v>8</v>
      </c>
      <c r="W498" t="s">
        <v>1088</v>
      </c>
      <c r="X498" t="s">
        <v>1090</v>
      </c>
      <c r="Y498">
        <f t="shared" si="52"/>
        <v>0</v>
      </c>
      <c r="Z498" t="s">
        <v>1109</v>
      </c>
      <c r="AA498" t="str">
        <f t="shared" si="53"/>
        <v>High</v>
      </c>
      <c r="AB498" t="s">
        <v>1103</v>
      </c>
      <c r="AC498" t="str">
        <f t="shared" si="54"/>
        <v>No</v>
      </c>
      <c r="AD498">
        <v>3</v>
      </c>
      <c r="AE498">
        <v>133668</v>
      </c>
      <c r="AF498">
        <v>53467.200000000004</v>
      </c>
      <c r="AG498">
        <f t="shared" si="55"/>
        <v>79430.399999999994</v>
      </c>
    </row>
    <row r="499" spans="1:33" x14ac:dyDescent="0.25">
      <c r="A499">
        <v>1498</v>
      </c>
      <c r="B499" s="1">
        <v>45975</v>
      </c>
      <c r="C499" s="1">
        <v>45976</v>
      </c>
      <c r="D499" s="1">
        <v>45980</v>
      </c>
      <c r="E499" t="s">
        <v>1066</v>
      </c>
      <c r="F499" t="s">
        <v>527</v>
      </c>
      <c r="G499" t="s">
        <v>1068</v>
      </c>
      <c r="H499" t="str">
        <f t="shared" si="49"/>
        <v>Electronics</v>
      </c>
      <c r="I499">
        <v>4</v>
      </c>
      <c r="J499" t="str">
        <f>VLOOKUP(K499,$AJ$2:$AK$7,2,FALSE)</f>
        <v>S004</v>
      </c>
      <c r="K499" t="s">
        <v>1100</v>
      </c>
      <c r="L499">
        <v>3.5</v>
      </c>
      <c r="M499" t="str">
        <f>IFERROR(VLOOKUP(TRIM(N499),$AP$2:$AQ$12,2,FALSE),"W001")</f>
        <v>W005</v>
      </c>
      <c r="N499" t="s">
        <v>1055</v>
      </c>
      <c r="O499" t="s">
        <v>1060</v>
      </c>
      <c r="P499" t="str">
        <f>VLOOKUP(O499,$AL$2:$AM$12,2,FALSE)</f>
        <v>North</v>
      </c>
      <c r="Q499" t="s">
        <v>1080</v>
      </c>
      <c r="R499">
        <v>1828</v>
      </c>
      <c r="S499" t="s">
        <v>1078</v>
      </c>
      <c r="T499">
        <f t="shared" si="50"/>
        <v>8</v>
      </c>
      <c r="U499">
        <v>274.2</v>
      </c>
      <c r="V499">
        <f t="shared" si="51"/>
        <v>4</v>
      </c>
      <c r="W499" t="s">
        <v>1086</v>
      </c>
      <c r="X499" t="s">
        <v>1091</v>
      </c>
      <c r="Y499">
        <f t="shared" si="52"/>
        <v>274.2</v>
      </c>
      <c r="Z499" t="s">
        <v>1108</v>
      </c>
      <c r="AA499" t="str">
        <f t="shared" si="53"/>
        <v>Low</v>
      </c>
      <c r="AB499" t="s">
        <v>1103</v>
      </c>
      <c r="AC499" t="str">
        <f t="shared" si="54"/>
        <v>Yes</v>
      </c>
      <c r="AD499">
        <v>5</v>
      </c>
      <c r="AE499">
        <v>244236</v>
      </c>
      <c r="AF499">
        <v>97694.400000000009</v>
      </c>
      <c r="AG499">
        <f t="shared" si="55"/>
        <v>146267.39999999997</v>
      </c>
    </row>
    <row r="500" spans="1:33" x14ac:dyDescent="0.25">
      <c r="A500">
        <v>1499</v>
      </c>
      <c r="B500" s="1">
        <v>45793</v>
      </c>
      <c r="C500" s="1">
        <v>45796</v>
      </c>
      <c r="D500" s="1">
        <v>45800</v>
      </c>
      <c r="E500" t="s">
        <v>1065</v>
      </c>
      <c r="F500" t="s">
        <v>528</v>
      </c>
      <c r="G500" t="s">
        <v>1067</v>
      </c>
      <c r="H500" t="str">
        <f t="shared" si="49"/>
        <v>Clothing</v>
      </c>
      <c r="I500">
        <v>3</v>
      </c>
      <c r="J500" t="str">
        <f>VLOOKUP(K500,$AJ$2:$AK$7,2,FALSE)</f>
        <v>S005</v>
      </c>
      <c r="K500" t="s">
        <v>1101</v>
      </c>
      <c r="L500">
        <v>3.8</v>
      </c>
      <c r="M500" t="str">
        <f>IFERROR(VLOOKUP(TRIM(N500),$AP$2:$AQ$12,2,FALSE),"W001")</f>
        <v>W008</v>
      </c>
      <c r="N500" t="s">
        <v>1061</v>
      </c>
      <c r="O500" t="s">
        <v>1049</v>
      </c>
      <c r="P500" t="str">
        <f>VLOOKUP(O500,$AL$2:$AM$12,2,FALSE)</f>
        <v>North</v>
      </c>
      <c r="Q500" t="s">
        <v>1080</v>
      </c>
      <c r="R500">
        <v>210</v>
      </c>
      <c r="S500" t="s">
        <v>1066</v>
      </c>
      <c r="T500">
        <f t="shared" si="50"/>
        <v>3</v>
      </c>
      <c r="U500">
        <v>31.5</v>
      </c>
      <c r="V500">
        <f t="shared" si="51"/>
        <v>4</v>
      </c>
      <c r="W500" t="s">
        <v>1088</v>
      </c>
      <c r="X500" t="s">
        <v>1091</v>
      </c>
      <c r="Y500">
        <f t="shared" si="52"/>
        <v>0</v>
      </c>
      <c r="Z500" t="s">
        <v>1108</v>
      </c>
      <c r="AA500" t="str">
        <f t="shared" si="53"/>
        <v>Low</v>
      </c>
      <c r="AB500" t="s">
        <v>1103</v>
      </c>
      <c r="AC500" t="str">
        <f t="shared" si="54"/>
        <v>Yes</v>
      </c>
      <c r="AD500">
        <v>4</v>
      </c>
      <c r="AE500">
        <v>4101</v>
      </c>
      <c r="AF500">
        <v>1640.4</v>
      </c>
      <c r="AG500">
        <f t="shared" si="55"/>
        <v>2429.1</v>
      </c>
    </row>
    <row r="501" spans="1:33" x14ac:dyDescent="0.25">
      <c r="A501">
        <v>1500</v>
      </c>
      <c r="B501" s="1">
        <v>44827</v>
      </c>
      <c r="C501" s="1">
        <v>44828</v>
      </c>
      <c r="D501" s="1">
        <v>44833</v>
      </c>
      <c r="E501" t="s">
        <v>1066</v>
      </c>
      <c r="F501" t="s">
        <v>529</v>
      </c>
      <c r="G501" t="s">
        <v>1072</v>
      </c>
      <c r="H501" t="str">
        <f t="shared" si="49"/>
        <v>Electronics</v>
      </c>
      <c r="I501">
        <v>9</v>
      </c>
      <c r="J501" t="str">
        <f>VLOOKUP(K501,$AJ$2:$AK$7,2,FALSE)</f>
        <v>S003</v>
      </c>
      <c r="K501" t="s">
        <v>1099</v>
      </c>
      <c r="L501">
        <v>3.1</v>
      </c>
      <c r="M501" t="str">
        <f>IFERROR(VLOOKUP(TRIM(N501),$AP$2:$AQ$12,2,FALSE),"W001")</f>
        <v>W008</v>
      </c>
      <c r="N501" t="s">
        <v>1061</v>
      </c>
      <c r="O501" t="s">
        <v>1062</v>
      </c>
      <c r="P501" t="str">
        <f>VLOOKUP(O501,$AL$2:$AM$12,2,FALSE)</f>
        <v>North</v>
      </c>
      <c r="Q501" t="s">
        <v>1084</v>
      </c>
      <c r="R501">
        <v>627</v>
      </c>
      <c r="S501" t="s">
        <v>1066</v>
      </c>
      <c r="T501">
        <f t="shared" si="50"/>
        <v>3</v>
      </c>
      <c r="U501">
        <v>188.1</v>
      </c>
      <c r="V501">
        <f t="shared" si="51"/>
        <v>6</v>
      </c>
      <c r="W501" t="s">
        <v>1087</v>
      </c>
      <c r="X501" t="s">
        <v>1091</v>
      </c>
      <c r="Y501">
        <f t="shared" si="52"/>
        <v>0</v>
      </c>
      <c r="Z501" t="s">
        <v>1108</v>
      </c>
      <c r="AA501" t="str">
        <f t="shared" si="53"/>
        <v>Low</v>
      </c>
      <c r="AB501" t="s">
        <v>1103</v>
      </c>
      <c r="AC501" t="str">
        <f t="shared" si="54"/>
        <v>Yes</v>
      </c>
      <c r="AD501">
        <v>5</v>
      </c>
      <c r="AE501">
        <v>101043</v>
      </c>
      <c r="AF501">
        <v>40417.200000000004</v>
      </c>
      <c r="AG501">
        <f t="shared" si="55"/>
        <v>60437.7</v>
      </c>
    </row>
    <row r="502" spans="1:33" x14ac:dyDescent="0.25">
      <c r="A502">
        <v>1501</v>
      </c>
      <c r="B502" s="1">
        <v>46322</v>
      </c>
      <c r="C502" s="1">
        <v>46324</v>
      </c>
      <c r="D502" s="1">
        <v>46331</v>
      </c>
      <c r="E502" t="s">
        <v>1066</v>
      </c>
      <c r="F502" t="s">
        <v>530</v>
      </c>
      <c r="G502" t="s">
        <v>1068</v>
      </c>
      <c r="H502" t="str">
        <f t="shared" si="49"/>
        <v>Electronics</v>
      </c>
      <c r="I502">
        <v>3</v>
      </c>
      <c r="J502" t="str">
        <f>VLOOKUP(K502,$AJ$2:$AK$7,2,FALSE)</f>
        <v>S003</v>
      </c>
      <c r="K502" t="s">
        <v>1099</v>
      </c>
      <c r="L502">
        <v>3.4</v>
      </c>
      <c r="M502" t="str">
        <f>IFERROR(VLOOKUP(TRIM(N502),$AP$2:$AQ$12,2,FALSE),"W001")</f>
        <v>W009</v>
      </c>
      <c r="N502" t="s">
        <v>1060</v>
      </c>
      <c r="O502" t="s">
        <v>1049</v>
      </c>
      <c r="P502" t="str">
        <f>VLOOKUP(O502,$AL$2:$AM$12,2,FALSE)</f>
        <v>North</v>
      </c>
      <c r="Q502" t="s">
        <v>1085</v>
      </c>
      <c r="R502">
        <v>750</v>
      </c>
      <c r="S502" t="s">
        <v>1066</v>
      </c>
      <c r="T502">
        <f t="shared" si="50"/>
        <v>7</v>
      </c>
      <c r="U502">
        <v>75</v>
      </c>
      <c r="V502">
        <f t="shared" si="51"/>
        <v>3</v>
      </c>
      <c r="W502" t="s">
        <v>1087</v>
      </c>
      <c r="X502" t="s">
        <v>1089</v>
      </c>
      <c r="Y502">
        <f t="shared" si="52"/>
        <v>0</v>
      </c>
      <c r="Z502" t="s">
        <v>1108</v>
      </c>
      <c r="AA502" t="str">
        <f t="shared" si="53"/>
        <v>Low</v>
      </c>
      <c r="AB502" t="s">
        <v>1103</v>
      </c>
      <c r="AC502" t="str">
        <f t="shared" si="54"/>
        <v>Yes</v>
      </c>
      <c r="AD502">
        <v>5</v>
      </c>
      <c r="AE502">
        <v>127710</v>
      </c>
      <c r="AF502">
        <v>51084</v>
      </c>
      <c r="AG502">
        <f t="shared" si="55"/>
        <v>76551</v>
      </c>
    </row>
    <row r="503" spans="1:33" x14ac:dyDescent="0.25">
      <c r="A503">
        <v>1502</v>
      </c>
      <c r="B503" s="1">
        <v>45442</v>
      </c>
      <c r="C503" s="1">
        <v>45445</v>
      </c>
      <c r="D503" s="1">
        <v>45448</v>
      </c>
      <c r="E503" t="s">
        <v>1065</v>
      </c>
      <c r="F503" t="s">
        <v>531</v>
      </c>
      <c r="G503" t="s">
        <v>1069</v>
      </c>
      <c r="H503" t="str">
        <f t="shared" si="49"/>
        <v>Furniture</v>
      </c>
      <c r="I503">
        <v>1</v>
      </c>
      <c r="J503" t="str">
        <f>VLOOKUP(K503,$AJ$2:$AK$7,2,FALSE)</f>
        <v>S005</v>
      </c>
      <c r="K503" t="s">
        <v>1101</v>
      </c>
      <c r="L503">
        <v>4.3</v>
      </c>
      <c r="M503" t="str">
        <f>IFERROR(VLOOKUP(TRIM(N503),$AP$2:$AQ$12,2,FALSE),"W001")</f>
        <v>W010</v>
      </c>
      <c r="N503" t="s">
        <v>1063</v>
      </c>
      <c r="O503" t="s">
        <v>1049</v>
      </c>
      <c r="P503" t="str">
        <f>VLOOKUP(O503,$AL$2:$AM$12,2,FALSE)</f>
        <v>North</v>
      </c>
      <c r="Q503" t="s">
        <v>1085</v>
      </c>
      <c r="R503">
        <v>1892</v>
      </c>
      <c r="S503" t="s">
        <v>1078</v>
      </c>
      <c r="T503">
        <f t="shared" si="50"/>
        <v>12</v>
      </c>
      <c r="U503">
        <v>189.2</v>
      </c>
      <c r="V503">
        <f t="shared" si="51"/>
        <v>3</v>
      </c>
      <c r="W503" t="s">
        <v>1088</v>
      </c>
      <c r="X503" t="s">
        <v>1091</v>
      </c>
      <c r="Y503">
        <f t="shared" si="52"/>
        <v>0</v>
      </c>
      <c r="Z503" t="s">
        <v>1108</v>
      </c>
      <c r="AA503" t="str">
        <f t="shared" si="53"/>
        <v>Low</v>
      </c>
      <c r="AB503" t="s">
        <v>1103</v>
      </c>
      <c r="AC503" t="str">
        <f t="shared" si="54"/>
        <v>Yes</v>
      </c>
      <c r="AD503">
        <v>5</v>
      </c>
      <c r="AE503">
        <v>9004</v>
      </c>
      <c r="AF503">
        <v>3601.6000000000004</v>
      </c>
      <c r="AG503">
        <f t="shared" si="55"/>
        <v>5213.2</v>
      </c>
    </row>
    <row r="504" spans="1:33" x14ac:dyDescent="0.25">
      <c r="A504">
        <v>1503</v>
      </c>
      <c r="B504" s="1">
        <v>44260</v>
      </c>
      <c r="C504" s="1">
        <v>44263</v>
      </c>
      <c r="D504" s="1">
        <v>44267</v>
      </c>
      <c r="E504" t="s">
        <v>1065</v>
      </c>
      <c r="F504" t="s">
        <v>532</v>
      </c>
      <c r="G504" t="s">
        <v>1070</v>
      </c>
      <c r="H504" t="str">
        <f t="shared" si="49"/>
        <v>Furniture</v>
      </c>
      <c r="I504">
        <v>4</v>
      </c>
      <c r="J504" t="str">
        <f>VLOOKUP(K504,$AJ$2:$AK$7,2,FALSE)</f>
        <v>S004</v>
      </c>
      <c r="K504" t="s">
        <v>1100</v>
      </c>
      <c r="L504">
        <v>4.0999999999999996</v>
      </c>
      <c r="M504" t="str">
        <f>IFERROR(VLOOKUP(TRIM(N504),$AP$2:$AQ$12,2,FALSE),"W001")</f>
        <v>W004</v>
      </c>
      <c r="N504" t="s">
        <v>1053</v>
      </c>
      <c r="O504" t="s">
        <v>1062</v>
      </c>
      <c r="P504" t="str">
        <f>VLOOKUP(O504,$AL$2:$AM$12,2,FALSE)</f>
        <v>North</v>
      </c>
      <c r="Q504" t="s">
        <v>1083</v>
      </c>
      <c r="R504">
        <v>1379</v>
      </c>
      <c r="S504" t="s">
        <v>1078</v>
      </c>
      <c r="T504">
        <f t="shared" si="50"/>
        <v>3</v>
      </c>
      <c r="U504">
        <v>689.5</v>
      </c>
      <c r="V504">
        <f t="shared" si="51"/>
        <v>10</v>
      </c>
      <c r="W504" t="s">
        <v>1088</v>
      </c>
      <c r="X504" t="s">
        <v>1091</v>
      </c>
      <c r="Y504">
        <f t="shared" si="52"/>
        <v>0</v>
      </c>
      <c r="Z504" t="s">
        <v>1108</v>
      </c>
      <c r="AA504" t="str">
        <f t="shared" si="53"/>
        <v>Medium</v>
      </c>
      <c r="AB504" t="s">
        <v>1103</v>
      </c>
      <c r="AC504" t="str">
        <f t="shared" si="54"/>
        <v>Yes</v>
      </c>
      <c r="AD504">
        <v>4</v>
      </c>
      <c r="AE504">
        <v>28288</v>
      </c>
      <c r="AF504">
        <v>11315.2</v>
      </c>
      <c r="AG504">
        <f t="shared" si="55"/>
        <v>16283.3</v>
      </c>
    </row>
    <row r="505" spans="1:33" x14ac:dyDescent="0.25">
      <c r="A505">
        <v>1504</v>
      </c>
      <c r="B505" s="1">
        <v>46299</v>
      </c>
      <c r="C505" s="1">
        <v>46301</v>
      </c>
      <c r="D505" s="1">
        <v>46306</v>
      </c>
      <c r="E505" t="s">
        <v>1066</v>
      </c>
      <c r="F505" t="s">
        <v>533</v>
      </c>
      <c r="G505" t="s">
        <v>1072</v>
      </c>
      <c r="H505" t="str">
        <f t="shared" si="49"/>
        <v>Electronics</v>
      </c>
      <c r="I505">
        <v>9</v>
      </c>
      <c r="J505" t="str">
        <f>VLOOKUP(K505,$AJ$2:$AK$7,2,FALSE)</f>
        <v>S005</v>
      </c>
      <c r="K505" t="s">
        <v>1101</v>
      </c>
      <c r="L505">
        <v>3.6</v>
      </c>
      <c r="M505" t="str">
        <f>IFERROR(VLOOKUP(TRIM(N505),$AP$2:$AQ$12,2,FALSE),"W001")</f>
        <v>W003</v>
      </c>
      <c r="N505" t="s">
        <v>1051</v>
      </c>
      <c r="O505" t="s">
        <v>1047</v>
      </c>
      <c r="P505" t="str">
        <f>VLOOKUP(O505,$AL$2:$AM$12,2,FALSE)</f>
        <v>West</v>
      </c>
      <c r="Q505" t="s">
        <v>1084</v>
      </c>
      <c r="R505">
        <v>507</v>
      </c>
      <c r="S505" t="s">
        <v>1066</v>
      </c>
      <c r="T505">
        <f t="shared" si="50"/>
        <v>2</v>
      </c>
      <c r="U505">
        <v>152.1</v>
      </c>
      <c r="V505">
        <f t="shared" si="51"/>
        <v>6</v>
      </c>
      <c r="W505" t="s">
        <v>1088</v>
      </c>
      <c r="X505" t="s">
        <v>1090</v>
      </c>
      <c r="Y505">
        <f t="shared" si="52"/>
        <v>0</v>
      </c>
      <c r="Z505" t="s">
        <v>1108</v>
      </c>
      <c r="AA505" t="str">
        <f t="shared" si="53"/>
        <v>Low</v>
      </c>
      <c r="AB505" t="s">
        <v>1103</v>
      </c>
      <c r="AC505" t="str">
        <f t="shared" si="54"/>
        <v>Yes</v>
      </c>
      <c r="AD505">
        <v>5</v>
      </c>
      <c r="AE505">
        <v>177561</v>
      </c>
      <c r="AF505">
        <v>71024.400000000009</v>
      </c>
      <c r="AG505">
        <f t="shared" si="55"/>
        <v>106384.49999999999</v>
      </c>
    </row>
    <row r="506" spans="1:33" x14ac:dyDescent="0.25">
      <c r="A506">
        <v>1505</v>
      </c>
      <c r="B506" s="1">
        <v>46284</v>
      </c>
      <c r="C506" s="1">
        <v>46287</v>
      </c>
      <c r="D506" s="1">
        <v>46290</v>
      </c>
      <c r="E506" t="s">
        <v>1064</v>
      </c>
      <c r="F506" t="s">
        <v>534</v>
      </c>
      <c r="G506" t="s">
        <v>1068</v>
      </c>
      <c r="H506" t="str">
        <f t="shared" si="49"/>
        <v>Electronics</v>
      </c>
      <c r="I506">
        <v>4</v>
      </c>
      <c r="J506" t="str">
        <f>VLOOKUP(K506,$AJ$2:$AK$7,2,FALSE)</f>
        <v>S006</v>
      </c>
      <c r="K506" t="s">
        <v>1102</v>
      </c>
      <c r="L506">
        <v>3.9</v>
      </c>
      <c r="M506" t="str">
        <f>IFERROR(VLOOKUP(TRIM(N506),$AP$2:$AQ$12,2,FALSE),"W001")</f>
        <v>W008</v>
      </c>
      <c r="N506" t="s">
        <v>1061</v>
      </c>
      <c r="O506" t="s">
        <v>1060</v>
      </c>
      <c r="P506" t="str">
        <f>VLOOKUP(O506,$AL$2:$AM$12,2,FALSE)</f>
        <v>North</v>
      </c>
      <c r="Q506" t="s">
        <v>1080</v>
      </c>
      <c r="R506">
        <v>867</v>
      </c>
      <c r="S506" t="s">
        <v>1078</v>
      </c>
      <c r="T506">
        <f t="shared" si="50"/>
        <v>5</v>
      </c>
      <c r="U506">
        <v>130.05000000000001</v>
      </c>
      <c r="V506">
        <f t="shared" si="51"/>
        <v>4</v>
      </c>
      <c r="W506" t="s">
        <v>1086</v>
      </c>
      <c r="X506" t="s">
        <v>1091</v>
      </c>
      <c r="Y506">
        <f t="shared" si="52"/>
        <v>130.05000000000001</v>
      </c>
      <c r="Z506" t="s">
        <v>1108</v>
      </c>
      <c r="AA506" t="str">
        <f t="shared" si="53"/>
        <v>Low</v>
      </c>
      <c r="AB506" t="s">
        <v>1103</v>
      </c>
      <c r="AC506" t="str">
        <f t="shared" si="54"/>
        <v>Yes</v>
      </c>
      <c r="AD506">
        <v>5</v>
      </c>
      <c r="AE506">
        <v>242676</v>
      </c>
      <c r="AF506">
        <v>97070.400000000009</v>
      </c>
      <c r="AG506">
        <f t="shared" si="55"/>
        <v>145475.54999999999</v>
      </c>
    </row>
    <row r="507" spans="1:33" x14ac:dyDescent="0.25">
      <c r="A507">
        <v>1506</v>
      </c>
      <c r="B507" s="1">
        <v>44804</v>
      </c>
      <c r="C507" s="1">
        <v>44806</v>
      </c>
      <c r="D507" s="1">
        <v>44812</v>
      </c>
      <c r="E507" t="s">
        <v>1065</v>
      </c>
      <c r="F507" t="s">
        <v>535</v>
      </c>
      <c r="G507" t="s">
        <v>1070</v>
      </c>
      <c r="H507" t="str">
        <f t="shared" si="49"/>
        <v>Furniture</v>
      </c>
      <c r="I507">
        <v>5</v>
      </c>
      <c r="J507" t="str">
        <f>VLOOKUP(K507,$AJ$2:$AK$7,2,FALSE)</f>
        <v>S001</v>
      </c>
      <c r="K507" t="s">
        <v>1097</v>
      </c>
      <c r="L507">
        <v>3.1</v>
      </c>
      <c r="M507" t="str">
        <f>IFERROR(VLOOKUP(TRIM(N507),$AP$2:$AQ$12,2,FALSE),"W001")</f>
        <v>W006</v>
      </c>
      <c r="N507" t="s">
        <v>1057</v>
      </c>
      <c r="O507" t="s">
        <v>1059</v>
      </c>
      <c r="P507" t="str">
        <f>VLOOKUP(O507,$AL$2:$AM$12,2,FALSE)</f>
        <v>North</v>
      </c>
      <c r="Q507" t="s">
        <v>1084</v>
      </c>
      <c r="R507">
        <v>1586</v>
      </c>
      <c r="S507" t="s">
        <v>1078</v>
      </c>
      <c r="T507">
        <f t="shared" si="50"/>
        <v>6</v>
      </c>
      <c r="U507">
        <v>475.8</v>
      </c>
      <c r="V507">
        <f t="shared" si="51"/>
        <v>6</v>
      </c>
      <c r="W507" t="s">
        <v>1086</v>
      </c>
      <c r="X507" t="s">
        <v>1089</v>
      </c>
      <c r="Y507">
        <f t="shared" si="52"/>
        <v>475.8</v>
      </c>
      <c r="Z507" t="s">
        <v>1109</v>
      </c>
      <c r="AA507" t="str">
        <f t="shared" si="53"/>
        <v>High</v>
      </c>
      <c r="AB507" t="s">
        <v>1103</v>
      </c>
      <c r="AC507" t="str">
        <f t="shared" si="54"/>
        <v>No</v>
      </c>
      <c r="AD507">
        <v>3</v>
      </c>
      <c r="AE507">
        <v>30995</v>
      </c>
      <c r="AF507">
        <v>12398</v>
      </c>
      <c r="AG507">
        <f t="shared" si="55"/>
        <v>18121.2</v>
      </c>
    </row>
    <row r="508" spans="1:33" x14ac:dyDescent="0.25">
      <c r="A508">
        <v>1507</v>
      </c>
      <c r="B508" s="1">
        <v>45490</v>
      </c>
      <c r="C508" s="1">
        <v>45491</v>
      </c>
      <c r="D508" s="1">
        <v>45494</v>
      </c>
      <c r="E508" t="s">
        <v>1066</v>
      </c>
      <c r="F508" t="s">
        <v>536</v>
      </c>
      <c r="G508" t="s">
        <v>1067</v>
      </c>
      <c r="H508" t="str">
        <f t="shared" si="49"/>
        <v>Clothing</v>
      </c>
      <c r="I508">
        <v>3</v>
      </c>
      <c r="J508" t="str">
        <f>VLOOKUP(K508,$AJ$2:$AK$7,2,FALSE)</f>
        <v>S005</v>
      </c>
      <c r="K508" t="s">
        <v>1101</v>
      </c>
      <c r="L508">
        <v>3.1</v>
      </c>
      <c r="M508" t="str">
        <f>IFERROR(VLOOKUP(TRIM(N508),$AP$2:$AQ$12,2,FALSE),"W001")</f>
        <v>W009</v>
      </c>
      <c r="N508" t="s">
        <v>1060</v>
      </c>
      <c r="O508" t="s">
        <v>1061</v>
      </c>
      <c r="P508" t="str">
        <f>VLOOKUP(O508,$AL$2:$AM$12,2,FALSE)</f>
        <v>West</v>
      </c>
      <c r="Q508" t="s">
        <v>1085</v>
      </c>
      <c r="R508">
        <v>1812</v>
      </c>
      <c r="S508" t="s">
        <v>1078</v>
      </c>
      <c r="T508">
        <f t="shared" si="50"/>
        <v>12</v>
      </c>
      <c r="U508">
        <v>181.2</v>
      </c>
      <c r="V508">
        <f t="shared" si="51"/>
        <v>3</v>
      </c>
      <c r="W508" t="s">
        <v>1087</v>
      </c>
      <c r="X508" t="s">
        <v>1089</v>
      </c>
      <c r="Y508">
        <f t="shared" si="52"/>
        <v>0</v>
      </c>
      <c r="Z508" t="s">
        <v>1108</v>
      </c>
      <c r="AA508" t="str">
        <f t="shared" si="53"/>
        <v>Low</v>
      </c>
      <c r="AB508" t="s">
        <v>1103</v>
      </c>
      <c r="AC508" t="str">
        <f t="shared" si="54"/>
        <v>Yes</v>
      </c>
      <c r="AD508">
        <v>5</v>
      </c>
      <c r="AE508">
        <v>3132</v>
      </c>
      <c r="AF508">
        <v>1252.8000000000002</v>
      </c>
      <c r="AG508">
        <f t="shared" si="55"/>
        <v>1697.9999999999998</v>
      </c>
    </row>
    <row r="509" spans="1:33" x14ac:dyDescent="0.25">
      <c r="A509">
        <v>1508</v>
      </c>
      <c r="B509" s="1">
        <v>44791</v>
      </c>
      <c r="C509" s="1">
        <v>44794</v>
      </c>
      <c r="D509" s="1">
        <v>44801</v>
      </c>
      <c r="E509" t="s">
        <v>1065</v>
      </c>
      <c r="F509" t="s">
        <v>537</v>
      </c>
      <c r="G509" t="s">
        <v>1070</v>
      </c>
      <c r="H509" t="str">
        <f t="shared" si="49"/>
        <v>Furniture</v>
      </c>
      <c r="I509">
        <v>10</v>
      </c>
      <c r="J509" t="str">
        <f>VLOOKUP(K509,$AJ$2:$AK$7,2,FALSE)</f>
        <v>S001</v>
      </c>
      <c r="K509" t="s">
        <v>1097</v>
      </c>
      <c r="L509">
        <v>3.4</v>
      </c>
      <c r="M509" t="str">
        <f>IFERROR(VLOOKUP(TRIM(N509),$AP$2:$AQ$12,2,FALSE),"W001")</f>
        <v>W002</v>
      </c>
      <c r="N509" t="s">
        <v>1049</v>
      </c>
      <c r="O509" t="s">
        <v>1047</v>
      </c>
      <c r="P509" t="str">
        <f>VLOOKUP(O509,$AL$2:$AM$12,2,FALSE)</f>
        <v>West</v>
      </c>
      <c r="Q509" t="s">
        <v>1080</v>
      </c>
      <c r="R509">
        <v>1030</v>
      </c>
      <c r="S509" t="s">
        <v>1078</v>
      </c>
      <c r="T509">
        <f t="shared" si="50"/>
        <v>5</v>
      </c>
      <c r="U509">
        <v>154.5</v>
      </c>
      <c r="V509">
        <f t="shared" si="51"/>
        <v>4</v>
      </c>
      <c r="W509" t="s">
        <v>1087</v>
      </c>
      <c r="X509" t="s">
        <v>1091</v>
      </c>
      <c r="Y509">
        <f t="shared" si="52"/>
        <v>0</v>
      </c>
      <c r="Z509" t="s">
        <v>1108</v>
      </c>
      <c r="AA509" t="str">
        <f t="shared" si="53"/>
        <v>Low</v>
      </c>
      <c r="AB509" t="s">
        <v>1103</v>
      </c>
      <c r="AC509" t="str">
        <f t="shared" si="54"/>
        <v>Yes</v>
      </c>
      <c r="AD509">
        <v>5</v>
      </c>
      <c r="AE509">
        <v>38930</v>
      </c>
      <c r="AF509">
        <v>15572</v>
      </c>
      <c r="AG509">
        <f t="shared" si="55"/>
        <v>23203.5</v>
      </c>
    </row>
    <row r="510" spans="1:33" x14ac:dyDescent="0.25">
      <c r="A510">
        <v>1509</v>
      </c>
      <c r="B510" s="1">
        <v>46240</v>
      </c>
      <c r="C510" s="1">
        <v>46243</v>
      </c>
      <c r="D510" s="1">
        <v>46248</v>
      </c>
      <c r="E510" t="s">
        <v>1064</v>
      </c>
      <c r="F510" t="s">
        <v>538</v>
      </c>
      <c r="G510" t="s">
        <v>1071</v>
      </c>
      <c r="H510" t="str">
        <f t="shared" si="49"/>
        <v>Clothing</v>
      </c>
      <c r="I510">
        <v>8</v>
      </c>
      <c r="J510" t="str">
        <f>VLOOKUP(K510,$AJ$2:$AK$7,2,FALSE)</f>
        <v>S003</v>
      </c>
      <c r="K510" t="s">
        <v>1099</v>
      </c>
      <c r="L510">
        <v>3.3</v>
      </c>
      <c r="M510" t="str">
        <f>IFERROR(VLOOKUP(TRIM(N510),$AP$2:$AQ$12,2,FALSE),"W001")</f>
        <v>W007</v>
      </c>
      <c r="N510" t="s">
        <v>1062</v>
      </c>
      <c r="O510" t="s">
        <v>1055</v>
      </c>
      <c r="P510" t="str">
        <f>VLOOKUP(O510,$AL$2:$AM$12,2,FALSE)</f>
        <v>South</v>
      </c>
      <c r="Q510" t="s">
        <v>1084</v>
      </c>
      <c r="R510">
        <v>752</v>
      </c>
      <c r="S510" t="s">
        <v>1066</v>
      </c>
      <c r="T510">
        <f t="shared" si="50"/>
        <v>3</v>
      </c>
      <c r="U510">
        <v>225.6</v>
      </c>
      <c r="V510">
        <f t="shared" si="51"/>
        <v>6</v>
      </c>
      <c r="W510" t="s">
        <v>1086</v>
      </c>
      <c r="X510" t="s">
        <v>1091</v>
      </c>
      <c r="Y510">
        <f t="shared" si="52"/>
        <v>225.6</v>
      </c>
      <c r="Z510" t="s">
        <v>1108</v>
      </c>
      <c r="AA510" t="str">
        <f t="shared" si="53"/>
        <v>Low</v>
      </c>
      <c r="AB510" t="s">
        <v>1103</v>
      </c>
      <c r="AC510" t="str">
        <f t="shared" si="54"/>
        <v>Yes</v>
      </c>
      <c r="AD510">
        <v>5</v>
      </c>
      <c r="AE510">
        <v>17712</v>
      </c>
      <c r="AF510">
        <v>7084.8</v>
      </c>
      <c r="AG510">
        <f t="shared" si="55"/>
        <v>10401.6</v>
      </c>
    </row>
    <row r="511" spans="1:33" x14ac:dyDescent="0.25">
      <c r="A511">
        <v>1510</v>
      </c>
      <c r="B511" s="1">
        <v>45239</v>
      </c>
      <c r="C511" s="1">
        <v>45241</v>
      </c>
      <c r="D511" s="1">
        <v>45246</v>
      </c>
      <c r="E511" t="s">
        <v>1065</v>
      </c>
      <c r="F511" t="s">
        <v>539</v>
      </c>
      <c r="G511" t="s">
        <v>1069</v>
      </c>
      <c r="H511" t="str">
        <f t="shared" si="49"/>
        <v>Furniture</v>
      </c>
      <c r="I511">
        <v>6</v>
      </c>
      <c r="J511" t="str">
        <f>VLOOKUP(K511,$AJ$2:$AK$7,2,FALSE)</f>
        <v>S004</v>
      </c>
      <c r="K511" t="s">
        <v>1100</v>
      </c>
      <c r="L511">
        <v>5</v>
      </c>
      <c r="M511" t="str">
        <f>IFERROR(VLOOKUP(TRIM(N511),$AP$2:$AQ$12,2,FALSE),"W001")</f>
        <v>W007</v>
      </c>
      <c r="N511" t="s">
        <v>1062</v>
      </c>
      <c r="O511" t="s">
        <v>1062</v>
      </c>
      <c r="P511" t="str">
        <f>VLOOKUP(O511,$AL$2:$AM$12,2,FALSE)</f>
        <v>North</v>
      </c>
      <c r="Q511" t="s">
        <v>1081</v>
      </c>
      <c r="R511">
        <v>29</v>
      </c>
      <c r="S511" t="s">
        <v>1079</v>
      </c>
      <c r="T511">
        <f t="shared" si="50"/>
        <v>1</v>
      </c>
      <c r="U511">
        <v>5.8</v>
      </c>
      <c r="V511">
        <f t="shared" si="51"/>
        <v>5</v>
      </c>
      <c r="W511" t="s">
        <v>1088</v>
      </c>
      <c r="X511" t="s">
        <v>1091</v>
      </c>
      <c r="Y511">
        <f t="shared" si="52"/>
        <v>0</v>
      </c>
      <c r="Z511" t="s">
        <v>1108</v>
      </c>
      <c r="AA511" t="str">
        <f t="shared" si="53"/>
        <v>Low</v>
      </c>
      <c r="AB511" t="s">
        <v>1103</v>
      </c>
      <c r="AC511" t="str">
        <f t="shared" si="54"/>
        <v>Yes</v>
      </c>
      <c r="AD511">
        <v>4</v>
      </c>
      <c r="AE511">
        <v>64608</v>
      </c>
      <c r="AF511">
        <v>25843.200000000001</v>
      </c>
      <c r="AG511">
        <f t="shared" si="55"/>
        <v>38759</v>
      </c>
    </row>
    <row r="512" spans="1:33" x14ac:dyDescent="0.25">
      <c r="A512">
        <v>1511</v>
      </c>
      <c r="B512" s="1">
        <v>46360</v>
      </c>
      <c r="C512" s="1">
        <v>46362</v>
      </c>
      <c r="D512" s="1">
        <v>46367</v>
      </c>
      <c r="E512" t="s">
        <v>1065</v>
      </c>
      <c r="F512" t="s">
        <v>540</v>
      </c>
      <c r="G512" t="s">
        <v>1067</v>
      </c>
      <c r="H512" t="str">
        <f t="shared" si="49"/>
        <v>Clothing</v>
      </c>
      <c r="I512">
        <v>2</v>
      </c>
      <c r="J512" t="str">
        <f>VLOOKUP(K512,$AJ$2:$AK$7,2,FALSE)</f>
        <v>S006</v>
      </c>
      <c r="K512" t="s">
        <v>1102</v>
      </c>
      <c r="L512">
        <v>3.3</v>
      </c>
      <c r="M512" t="str">
        <f>IFERROR(VLOOKUP(TRIM(N512),$AP$2:$AQ$12,2,FALSE),"W001")</f>
        <v>W001</v>
      </c>
      <c r="N512" t="s">
        <v>1047</v>
      </c>
      <c r="O512" t="s">
        <v>1060</v>
      </c>
      <c r="P512" t="str">
        <f>VLOOKUP(O512,$AL$2:$AM$12,2,FALSE)</f>
        <v>North</v>
      </c>
      <c r="Q512" t="s">
        <v>1080</v>
      </c>
      <c r="R512">
        <v>1872</v>
      </c>
      <c r="S512" t="s">
        <v>1078</v>
      </c>
      <c r="T512">
        <f t="shared" si="50"/>
        <v>8</v>
      </c>
      <c r="U512">
        <v>280.8</v>
      </c>
      <c r="V512">
        <f t="shared" si="51"/>
        <v>4</v>
      </c>
      <c r="W512" t="s">
        <v>1087</v>
      </c>
      <c r="X512" t="s">
        <v>1091</v>
      </c>
      <c r="Y512">
        <f t="shared" si="52"/>
        <v>0</v>
      </c>
      <c r="Z512" t="s">
        <v>1108</v>
      </c>
      <c r="AA512" t="str">
        <f t="shared" si="53"/>
        <v>Low</v>
      </c>
      <c r="AB512" t="s">
        <v>1103</v>
      </c>
      <c r="AC512" t="str">
        <f t="shared" si="54"/>
        <v>Yes</v>
      </c>
      <c r="AD512">
        <v>5</v>
      </c>
      <c r="AE512">
        <v>2484</v>
      </c>
      <c r="AF512">
        <v>993.6</v>
      </c>
      <c r="AG512">
        <f t="shared" si="55"/>
        <v>1209.6000000000001</v>
      </c>
    </row>
    <row r="513" spans="1:33" x14ac:dyDescent="0.25">
      <c r="A513">
        <v>1512</v>
      </c>
      <c r="B513" s="1">
        <v>44932</v>
      </c>
      <c r="C513" s="1">
        <v>44933</v>
      </c>
      <c r="D513" s="1">
        <v>44936</v>
      </c>
      <c r="E513" t="s">
        <v>1064</v>
      </c>
      <c r="F513" t="s">
        <v>541</v>
      </c>
      <c r="G513" t="s">
        <v>1069</v>
      </c>
      <c r="H513" t="str">
        <f t="shared" si="49"/>
        <v>Furniture</v>
      </c>
      <c r="I513">
        <v>2</v>
      </c>
      <c r="J513" t="str">
        <f>VLOOKUP(K513,$AJ$2:$AK$7,2,FALSE)</f>
        <v>S006</v>
      </c>
      <c r="K513" t="s">
        <v>1102</v>
      </c>
      <c r="L513">
        <v>3.7</v>
      </c>
      <c r="M513" t="str">
        <f>IFERROR(VLOOKUP(TRIM(N513),$AP$2:$AQ$12,2,FALSE),"W001")</f>
        <v>W004</v>
      </c>
      <c r="N513" t="s">
        <v>1053</v>
      </c>
      <c r="O513" t="s">
        <v>1062</v>
      </c>
      <c r="P513" t="str">
        <f>VLOOKUP(O513,$AL$2:$AM$12,2,FALSE)</f>
        <v>North</v>
      </c>
      <c r="Q513" t="s">
        <v>1080</v>
      </c>
      <c r="R513">
        <v>1149</v>
      </c>
      <c r="S513" t="s">
        <v>1078</v>
      </c>
      <c r="T513">
        <f t="shared" si="50"/>
        <v>6</v>
      </c>
      <c r="U513">
        <v>172.35</v>
      </c>
      <c r="V513">
        <f t="shared" si="51"/>
        <v>4</v>
      </c>
      <c r="W513" t="s">
        <v>1087</v>
      </c>
      <c r="X513" t="s">
        <v>1091</v>
      </c>
      <c r="Y513">
        <f t="shared" si="52"/>
        <v>0</v>
      </c>
      <c r="Z513" t="s">
        <v>1108</v>
      </c>
      <c r="AA513" t="str">
        <f t="shared" si="53"/>
        <v>Low</v>
      </c>
      <c r="AB513" t="s">
        <v>1103</v>
      </c>
      <c r="AC513" t="str">
        <f t="shared" si="54"/>
        <v>Yes</v>
      </c>
      <c r="AD513">
        <v>5</v>
      </c>
      <c r="AE513">
        <v>26042</v>
      </c>
      <c r="AF513">
        <v>10416.800000000001</v>
      </c>
      <c r="AG513">
        <f t="shared" si="55"/>
        <v>15452.849999999999</v>
      </c>
    </row>
    <row r="514" spans="1:33" x14ac:dyDescent="0.25">
      <c r="A514">
        <v>1513</v>
      </c>
      <c r="B514" s="1">
        <v>45706</v>
      </c>
      <c r="C514" s="1">
        <v>45708</v>
      </c>
      <c r="D514" s="1">
        <v>45713</v>
      </c>
      <c r="E514" t="s">
        <v>1065</v>
      </c>
      <c r="F514" t="s">
        <v>542</v>
      </c>
      <c r="G514" t="s">
        <v>1071</v>
      </c>
      <c r="H514" t="str">
        <f t="shared" si="49"/>
        <v>Clothing</v>
      </c>
      <c r="I514">
        <v>8</v>
      </c>
      <c r="J514" t="str">
        <f>VLOOKUP(K514,$AJ$2:$AK$7,2,FALSE)</f>
        <v>S005</v>
      </c>
      <c r="K514" t="s">
        <v>1101</v>
      </c>
      <c r="L514">
        <v>4.9000000000000004</v>
      </c>
      <c r="M514" t="str">
        <f>IFERROR(VLOOKUP(TRIM(N514),$AP$2:$AQ$12,2,FALSE),"W001")</f>
        <v>W006</v>
      </c>
      <c r="N514" t="s">
        <v>1057</v>
      </c>
      <c r="O514" t="s">
        <v>1061</v>
      </c>
      <c r="P514" t="str">
        <f>VLOOKUP(O514,$AL$2:$AM$12,2,FALSE)</f>
        <v>West</v>
      </c>
      <c r="Q514" t="s">
        <v>1084</v>
      </c>
      <c r="R514">
        <v>1274</v>
      </c>
      <c r="S514" t="s">
        <v>1078</v>
      </c>
      <c r="T514">
        <f t="shared" si="50"/>
        <v>5</v>
      </c>
      <c r="U514">
        <v>382.2</v>
      </c>
      <c r="V514">
        <f t="shared" si="51"/>
        <v>6</v>
      </c>
      <c r="W514" t="s">
        <v>1087</v>
      </c>
      <c r="X514" t="s">
        <v>1091</v>
      </c>
      <c r="Y514">
        <f t="shared" si="52"/>
        <v>0</v>
      </c>
      <c r="Z514" t="s">
        <v>1108</v>
      </c>
      <c r="AA514" t="str">
        <f t="shared" si="53"/>
        <v>Low</v>
      </c>
      <c r="AB514" t="s">
        <v>1103</v>
      </c>
      <c r="AC514" t="str">
        <f t="shared" si="54"/>
        <v>Yes</v>
      </c>
      <c r="AD514">
        <v>4</v>
      </c>
      <c r="AE514">
        <v>10600</v>
      </c>
      <c r="AF514">
        <v>4240</v>
      </c>
      <c r="AG514">
        <f t="shared" si="55"/>
        <v>5977.8</v>
      </c>
    </row>
    <row r="515" spans="1:33" x14ac:dyDescent="0.25">
      <c r="A515">
        <v>1514</v>
      </c>
      <c r="B515" s="1">
        <v>45111</v>
      </c>
      <c r="C515" s="1">
        <v>45112</v>
      </c>
      <c r="D515" s="1">
        <v>45116</v>
      </c>
      <c r="E515" t="s">
        <v>1064</v>
      </c>
      <c r="F515" t="s">
        <v>543</v>
      </c>
      <c r="G515" t="s">
        <v>1070</v>
      </c>
      <c r="H515" t="str">
        <f t="shared" ref="H515:H578" si="56">IF(OR(G515="Laptop",G515="Mobile"),"Electronics",
IF(OR(G515="T-Shirt",G515="Jeans"),"Clothing",
IF(OR(G515="Table",G515="Chair"),"Furniture","")))</f>
        <v>Furniture</v>
      </c>
      <c r="I515">
        <v>4</v>
      </c>
      <c r="J515" t="str">
        <f>VLOOKUP(K515,$AJ$2:$AK$7,2,FALSE)</f>
        <v>S001</v>
      </c>
      <c r="K515" t="s">
        <v>1097</v>
      </c>
      <c r="L515">
        <v>4.7</v>
      </c>
      <c r="M515" t="str">
        <f>IFERROR(VLOOKUP(TRIM(N515),$AP$2:$AQ$12,2,FALSE),"W001")</f>
        <v>W011</v>
      </c>
      <c r="N515" t="s">
        <v>1059</v>
      </c>
      <c r="O515" t="s">
        <v>1051</v>
      </c>
      <c r="P515" t="str">
        <f>VLOOKUP(O515,$AL$2:$AM$12,2,FALSE)</f>
        <v>West</v>
      </c>
      <c r="Q515" t="s">
        <v>1082</v>
      </c>
      <c r="R515">
        <v>1560</v>
      </c>
      <c r="S515" t="s">
        <v>1078</v>
      </c>
      <c r="T515">
        <f t="shared" ref="T515:T578" si="57">IF(Q515="Air",ROUND(R515/700,0)+1,
IF(Q515="Express",ROUND(R515/500,0)+1,
IF(Q515="Courier",ROUND(R515/350,0)+1,
IF(Q515="Road",ROUND(R515/250,0)+1,
IF(Q515="Rail",ROUND(R515/300,0)+2,
IF(Q515="Ship",ROUND(R515/200,0)+3,""))))))</f>
        <v>4</v>
      </c>
      <c r="U515">
        <v>624</v>
      </c>
      <c r="V515">
        <f t="shared" ref="V515:V578" si="58">IF(Q515="Road",5,
IF(Q515="Rail",4,
IF(Q515="Air",10,
IF(Q515="Ship",3,
IF(Q515="Courier",6,
IF(Q515="Express",8))))))</f>
        <v>8</v>
      </c>
      <c r="W515" t="s">
        <v>1086</v>
      </c>
      <c r="X515" t="s">
        <v>1090</v>
      </c>
      <c r="Y515">
        <f t="shared" ref="Y515:Y578" si="59">IF(W515="COD",U515,0)</f>
        <v>624</v>
      </c>
      <c r="Z515" t="s">
        <v>1109</v>
      </c>
      <c r="AA515" t="str">
        <f t="shared" ref="AA515:AA578" si="60">IF(Z515="Delayed","High",
IF(OR(Q515="Air",Q515="Express"),"Medium","Low"))</f>
        <v>High</v>
      </c>
      <c r="AB515" t="s">
        <v>1104</v>
      </c>
      <c r="AC515" t="str">
        <f t="shared" ref="AC515:AC578" si="61">IF(Z515="Delayed","No","Yes")</f>
        <v>No</v>
      </c>
      <c r="AD515">
        <v>2</v>
      </c>
      <c r="AE515">
        <v>21664</v>
      </c>
      <c r="AF515">
        <v>8665.6</v>
      </c>
      <c r="AG515">
        <f t="shared" ref="AG515:AG578" si="62">AE515 - AF515-U515</f>
        <v>12374.4</v>
      </c>
    </row>
    <row r="516" spans="1:33" x14ac:dyDescent="0.25">
      <c r="A516">
        <v>1515</v>
      </c>
      <c r="B516" s="1">
        <v>44371</v>
      </c>
      <c r="C516" s="1">
        <v>44372</v>
      </c>
      <c r="D516" s="1">
        <v>44377</v>
      </c>
      <c r="E516" t="s">
        <v>1064</v>
      </c>
      <c r="F516" t="s">
        <v>544</v>
      </c>
      <c r="G516" t="s">
        <v>1067</v>
      </c>
      <c r="H516" t="str">
        <f t="shared" si="56"/>
        <v>Clothing</v>
      </c>
      <c r="I516">
        <v>3</v>
      </c>
      <c r="J516" t="str">
        <f>VLOOKUP(K516,$AJ$2:$AK$7,2,FALSE)</f>
        <v>S006</v>
      </c>
      <c r="K516" t="s">
        <v>1102</v>
      </c>
      <c r="L516">
        <v>3.6</v>
      </c>
      <c r="M516" t="str">
        <f>IFERROR(VLOOKUP(TRIM(N516),$AP$2:$AQ$12,2,FALSE),"W001")</f>
        <v>W008</v>
      </c>
      <c r="N516" t="s">
        <v>1061</v>
      </c>
      <c r="O516" t="s">
        <v>1063</v>
      </c>
      <c r="P516" t="str">
        <f>VLOOKUP(O516,$AL$2:$AM$12,2,FALSE)</f>
        <v>South</v>
      </c>
      <c r="Q516" t="s">
        <v>1083</v>
      </c>
      <c r="R516">
        <v>1811</v>
      </c>
      <c r="S516" t="s">
        <v>1078</v>
      </c>
      <c r="T516">
        <f t="shared" si="57"/>
        <v>4</v>
      </c>
      <c r="U516">
        <v>905.5</v>
      </c>
      <c r="V516">
        <f t="shared" si="58"/>
        <v>10</v>
      </c>
      <c r="W516" t="s">
        <v>1086</v>
      </c>
      <c r="X516" t="s">
        <v>1090</v>
      </c>
      <c r="Y516">
        <f t="shared" si="59"/>
        <v>905.5</v>
      </c>
      <c r="Z516" t="s">
        <v>1109</v>
      </c>
      <c r="AA516" t="str">
        <f t="shared" si="60"/>
        <v>High</v>
      </c>
      <c r="AB516" t="s">
        <v>1104</v>
      </c>
      <c r="AC516" t="str">
        <f t="shared" si="61"/>
        <v>No</v>
      </c>
      <c r="AD516">
        <v>2</v>
      </c>
      <c r="AE516">
        <v>2436</v>
      </c>
      <c r="AF516">
        <v>974.40000000000009</v>
      </c>
      <c r="AG516">
        <f t="shared" si="62"/>
        <v>556.09999999999991</v>
      </c>
    </row>
    <row r="517" spans="1:33" x14ac:dyDescent="0.25">
      <c r="A517">
        <v>1516</v>
      </c>
      <c r="B517" s="1">
        <v>46050</v>
      </c>
      <c r="C517" s="1">
        <v>46053</v>
      </c>
      <c r="D517" s="1">
        <v>46055</v>
      </c>
      <c r="E517" t="s">
        <v>1064</v>
      </c>
      <c r="F517" t="s">
        <v>545</v>
      </c>
      <c r="G517" t="s">
        <v>1068</v>
      </c>
      <c r="H517" t="str">
        <f t="shared" si="56"/>
        <v>Electronics</v>
      </c>
      <c r="I517">
        <v>5</v>
      </c>
      <c r="J517" t="str">
        <f>VLOOKUP(K517,$AJ$2:$AK$7,2,FALSE)</f>
        <v>S006</v>
      </c>
      <c r="K517" t="s">
        <v>1102</v>
      </c>
      <c r="L517">
        <v>3.8</v>
      </c>
      <c r="M517" t="str">
        <f>IFERROR(VLOOKUP(TRIM(N517),$AP$2:$AQ$12,2,FALSE),"W001")</f>
        <v>W009</v>
      </c>
      <c r="N517" t="s">
        <v>1060</v>
      </c>
      <c r="O517" t="s">
        <v>1063</v>
      </c>
      <c r="P517" t="str">
        <f>VLOOKUP(O517,$AL$2:$AM$12,2,FALSE)</f>
        <v>South</v>
      </c>
      <c r="Q517" t="s">
        <v>1084</v>
      </c>
      <c r="R517">
        <v>890</v>
      </c>
      <c r="S517" t="s">
        <v>1078</v>
      </c>
      <c r="T517">
        <f t="shared" si="57"/>
        <v>4</v>
      </c>
      <c r="U517">
        <v>267</v>
      </c>
      <c r="V517">
        <f t="shared" si="58"/>
        <v>6</v>
      </c>
      <c r="W517" t="s">
        <v>1086</v>
      </c>
      <c r="X517" t="s">
        <v>1089</v>
      </c>
      <c r="Y517">
        <f t="shared" si="59"/>
        <v>267</v>
      </c>
      <c r="Z517" t="s">
        <v>1108</v>
      </c>
      <c r="AA517" t="str">
        <f t="shared" si="60"/>
        <v>Low</v>
      </c>
      <c r="AB517" t="s">
        <v>1103</v>
      </c>
      <c r="AC517" t="str">
        <f t="shared" si="61"/>
        <v>Yes</v>
      </c>
      <c r="AD517">
        <v>4</v>
      </c>
      <c r="AE517">
        <v>317520</v>
      </c>
      <c r="AF517">
        <v>127008</v>
      </c>
      <c r="AG517">
        <f t="shared" si="62"/>
        <v>190245</v>
      </c>
    </row>
    <row r="518" spans="1:33" x14ac:dyDescent="0.25">
      <c r="A518">
        <v>1517</v>
      </c>
      <c r="B518" s="1">
        <v>44315</v>
      </c>
      <c r="C518" s="1">
        <v>44318</v>
      </c>
      <c r="D518" s="1">
        <v>44325</v>
      </c>
      <c r="E518" t="s">
        <v>1065</v>
      </c>
      <c r="F518" t="s">
        <v>546</v>
      </c>
      <c r="G518" t="s">
        <v>1071</v>
      </c>
      <c r="H518" t="str">
        <f t="shared" si="56"/>
        <v>Clothing</v>
      </c>
      <c r="I518">
        <v>5</v>
      </c>
      <c r="J518" t="str">
        <f>VLOOKUP(K518,$AJ$2:$AK$7,2,FALSE)</f>
        <v>S002</v>
      </c>
      <c r="K518" t="s">
        <v>1098</v>
      </c>
      <c r="L518">
        <v>4.5999999999999996</v>
      </c>
      <c r="M518" t="str">
        <f>IFERROR(VLOOKUP(TRIM(N518),$AP$2:$AQ$12,2,FALSE),"W001")</f>
        <v>W002</v>
      </c>
      <c r="N518" t="s">
        <v>1049</v>
      </c>
      <c r="O518" t="s">
        <v>1055</v>
      </c>
      <c r="P518" t="str">
        <f>VLOOKUP(O518,$AL$2:$AM$12,2,FALSE)</f>
        <v>South</v>
      </c>
      <c r="Q518" t="s">
        <v>1080</v>
      </c>
      <c r="R518">
        <v>1329</v>
      </c>
      <c r="S518" t="s">
        <v>1078</v>
      </c>
      <c r="T518">
        <f t="shared" si="57"/>
        <v>6</v>
      </c>
      <c r="U518">
        <v>199.35</v>
      </c>
      <c r="V518">
        <f t="shared" si="58"/>
        <v>4</v>
      </c>
      <c r="W518" t="s">
        <v>1088</v>
      </c>
      <c r="X518" t="s">
        <v>1089</v>
      </c>
      <c r="Y518">
        <f t="shared" si="59"/>
        <v>0</v>
      </c>
      <c r="Z518" t="s">
        <v>1108</v>
      </c>
      <c r="AA518" t="str">
        <f t="shared" si="60"/>
        <v>Low</v>
      </c>
      <c r="AB518" t="s">
        <v>1103</v>
      </c>
      <c r="AC518" t="str">
        <f t="shared" si="61"/>
        <v>Yes</v>
      </c>
      <c r="AD518">
        <v>5</v>
      </c>
      <c r="AE518">
        <v>14915</v>
      </c>
      <c r="AF518">
        <v>5966</v>
      </c>
      <c r="AG518">
        <f t="shared" si="62"/>
        <v>8749.65</v>
      </c>
    </row>
    <row r="519" spans="1:33" x14ac:dyDescent="0.25">
      <c r="A519">
        <v>1518</v>
      </c>
      <c r="B519" s="1">
        <v>44289</v>
      </c>
      <c r="C519" s="1">
        <v>44292</v>
      </c>
      <c r="D519" s="1">
        <v>44298</v>
      </c>
      <c r="E519" t="s">
        <v>1064</v>
      </c>
      <c r="F519" t="s">
        <v>547</v>
      </c>
      <c r="G519" t="s">
        <v>1069</v>
      </c>
      <c r="H519" t="str">
        <f t="shared" si="56"/>
        <v>Furniture</v>
      </c>
      <c r="I519">
        <v>2</v>
      </c>
      <c r="J519" t="str">
        <f>VLOOKUP(K519,$AJ$2:$AK$7,2,FALSE)</f>
        <v>S002</v>
      </c>
      <c r="K519" t="s">
        <v>1098</v>
      </c>
      <c r="L519">
        <v>3.1</v>
      </c>
      <c r="M519" t="str">
        <f>IFERROR(VLOOKUP(TRIM(N519),$AP$2:$AQ$12,2,FALSE),"W001")</f>
        <v>W011</v>
      </c>
      <c r="N519" t="s">
        <v>1059</v>
      </c>
      <c r="O519" t="s">
        <v>1061</v>
      </c>
      <c r="P519" t="str">
        <f>VLOOKUP(O519,$AL$2:$AM$12,2,FALSE)</f>
        <v>West</v>
      </c>
      <c r="Q519" t="s">
        <v>1080</v>
      </c>
      <c r="R519">
        <v>190</v>
      </c>
      <c r="S519" t="s">
        <v>1079</v>
      </c>
      <c r="T519">
        <f t="shared" si="57"/>
        <v>3</v>
      </c>
      <c r="U519">
        <v>28.5</v>
      </c>
      <c r="V519">
        <f t="shared" si="58"/>
        <v>4</v>
      </c>
      <c r="W519" t="s">
        <v>1086</v>
      </c>
      <c r="X519" t="s">
        <v>1091</v>
      </c>
      <c r="Y519">
        <f t="shared" si="59"/>
        <v>28.5</v>
      </c>
      <c r="Z519" t="s">
        <v>1108</v>
      </c>
      <c r="AA519" t="str">
        <f t="shared" si="60"/>
        <v>Low</v>
      </c>
      <c r="AB519" t="s">
        <v>1103</v>
      </c>
      <c r="AC519" t="str">
        <f t="shared" si="61"/>
        <v>Yes</v>
      </c>
      <c r="AD519">
        <v>5</v>
      </c>
      <c r="AE519">
        <v>11820</v>
      </c>
      <c r="AF519">
        <v>4728</v>
      </c>
      <c r="AG519">
        <f t="shared" si="62"/>
        <v>7063.5</v>
      </c>
    </row>
    <row r="520" spans="1:33" x14ac:dyDescent="0.25">
      <c r="A520">
        <v>1519</v>
      </c>
      <c r="B520" s="1">
        <v>44650</v>
      </c>
      <c r="C520" s="1">
        <v>44651</v>
      </c>
      <c r="D520" s="1">
        <v>44654</v>
      </c>
      <c r="E520" t="s">
        <v>1064</v>
      </c>
      <c r="F520" t="s">
        <v>548</v>
      </c>
      <c r="G520" t="s">
        <v>1071</v>
      </c>
      <c r="H520" t="str">
        <f t="shared" si="56"/>
        <v>Clothing</v>
      </c>
      <c r="I520">
        <v>9</v>
      </c>
      <c r="J520" t="str">
        <f>VLOOKUP(K520,$AJ$2:$AK$7,2,FALSE)</f>
        <v>S001</v>
      </c>
      <c r="K520" t="s">
        <v>1097</v>
      </c>
      <c r="L520">
        <v>3.2</v>
      </c>
      <c r="M520" t="str">
        <f>IFERROR(VLOOKUP(TRIM(N520),$AP$2:$AQ$12,2,FALSE),"W001")</f>
        <v>W001</v>
      </c>
      <c r="N520" t="s">
        <v>1047</v>
      </c>
      <c r="O520" t="s">
        <v>1063</v>
      </c>
      <c r="P520" t="str">
        <f>VLOOKUP(O520,$AL$2:$AM$12,2,FALSE)</f>
        <v>South</v>
      </c>
      <c r="Q520" t="s">
        <v>1084</v>
      </c>
      <c r="R520">
        <v>1111</v>
      </c>
      <c r="S520" t="s">
        <v>1078</v>
      </c>
      <c r="T520">
        <f t="shared" si="57"/>
        <v>4</v>
      </c>
      <c r="U520">
        <v>333.3</v>
      </c>
      <c r="V520">
        <f t="shared" si="58"/>
        <v>6</v>
      </c>
      <c r="W520" t="s">
        <v>1087</v>
      </c>
      <c r="X520" t="s">
        <v>1091</v>
      </c>
      <c r="Y520">
        <f t="shared" si="59"/>
        <v>0</v>
      </c>
      <c r="Z520" t="s">
        <v>1108</v>
      </c>
      <c r="AA520" t="str">
        <f t="shared" si="60"/>
        <v>Low</v>
      </c>
      <c r="AB520" t="s">
        <v>1103</v>
      </c>
      <c r="AC520" t="str">
        <f t="shared" si="61"/>
        <v>Yes</v>
      </c>
      <c r="AD520">
        <v>5</v>
      </c>
      <c r="AE520">
        <v>22428</v>
      </c>
      <c r="AF520">
        <v>8971.2000000000007</v>
      </c>
      <c r="AG520">
        <f t="shared" si="62"/>
        <v>13123.5</v>
      </c>
    </row>
    <row r="521" spans="1:33" x14ac:dyDescent="0.25">
      <c r="A521">
        <v>1520</v>
      </c>
      <c r="B521" s="1">
        <v>44672</v>
      </c>
      <c r="C521" s="1">
        <v>44675</v>
      </c>
      <c r="D521" s="1">
        <v>44680</v>
      </c>
      <c r="E521" t="s">
        <v>1064</v>
      </c>
      <c r="F521" t="s">
        <v>549</v>
      </c>
      <c r="G521" t="s">
        <v>1070</v>
      </c>
      <c r="H521" t="str">
        <f t="shared" si="56"/>
        <v>Furniture</v>
      </c>
      <c r="I521">
        <v>8</v>
      </c>
      <c r="J521" t="str">
        <f>VLOOKUP(K521,$AJ$2:$AK$7,2,FALSE)</f>
        <v>S001</v>
      </c>
      <c r="K521" t="s">
        <v>1097</v>
      </c>
      <c r="L521">
        <v>3.9</v>
      </c>
      <c r="M521" t="str">
        <f>IFERROR(VLOOKUP(TRIM(N521),$AP$2:$AQ$12,2,FALSE),"W001")</f>
        <v>W009</v>
      </c>
      <c r="N521" t="s">
        <v>1060</v>
      </c>
      <c r="O521" t="s">
        <v>1063</v>
      </c>
      <c r="P521" t="str">
        <f>VLOOKUP(O521,$AL$2:$AM$12,2,FALSE)</f>
        <v>South</v>
      </c>
      <c r="Q521" t="s">
        <v>1085</v>
      </c>
      <c r="R521">
        <v>789</v>
      </c>
      <c r="S521" t="s">
        <v>1066</v>
      </c>
      <c r="T521">
        <f t="shared" si="57"/>
        <v>7</v>
      </c>
      <c r="U521">
        <v>78.900000000000006</v>
      </c>
      <c r="V521">
        <f t="shared" si="58"/>
        <v>3</v>
      </c>
      <c r="W521" t="s">
        <v>1086</v>
      </c>
      <c r="X521" t="s">
        <v>1091</v>
      </c>
      <c r="Y521">
        <f t="shared" si="59"/>
        <v>78.900000000000006</v>
      </c>
      <c r="Z521" t="s">
        <v>1108</v>
      </c>
      <c r="AA521" t="str">
        <f t="shared" si="60"/>
        <v>Low</v>
      </c>
      <c r="AB521" t="s">
        <v>1103</v>
      </c>
      <c r="AC521" t="str">
        <f t="shared" si="61"/>
        <v>Yes</v>
      </c>
      <c r="AD521">
        <v>5</v>
      </c>
      <c r="AE521">
        <v>63664</v>
      </c>
      <c r="AF521">
        <v>25465.600000000002</v>
      </c>
      <c r="AG521">
        <f t="shared" si="62"/>
        <v>38119.499999999993</v>
      </c>
    </row>
    <row r="522" spans="1:33" x14ac:dyDescent="0.25">
      <c r="A522">
        <v>1521</v>
      </c>
      <c r="B522" s="1">
        <v>46370</v>
      </c>
      <c r="C522" s="1">
        <v>46372</v>
      </c>
      <c r="D522" s="1">
        <v>46375</v>
      </c>
      <c r="E522" t="s">
        <v>1065</v>
      </c>
      <c r="F522" t="s">
        <v>550</v>
      </c>
      <c r="G522" t="s">
        <v>1071</v>
      </c>
      <c r="H522" t="str">
        <f t="shared" si="56"/>
        <v>Clothing</v>
      </c>
      <c r="I522">
        <v>2</v>
      </c>
      <c r="J522" t="str">
        <f>VLOOKUP(K522,$AJ$2:$AK$7,2,FALSE)</f>
        <v>S001</v>
      </c>
      <c r="K522" t="s">
        <v>1097</v>
      </c>
      <c r="L522">
        <v>3.1</v>
      </c>
      <c r="M522" t="str">
        <f>IFERROR(VLOOKUP(TRIM(N522),$AP$2:$AQ$12,2,FALSE),"W001")</f>
        <v>W007</v>
      </c>
      <c r="N522" t="s">
        <v>1062</v>
      </c>
      <c r="O522" t="s">
        <v>1060</v>
      </c>
      <c r="P522" t="str">
        <f>VLOOKUP(O522,$AL$2:$AM$12,2,FALSE)</f>
        <v>North</v>
      </c>
      <c r="Q522" t="s">
        <v>1083</v>
      </c>
      <c r="R522">
        <v>728</v>
      </c>
      <c r="S522" t="s">
        <v>1066</v>
      </c>
      <c r="T522">
        <f t="shared" si="57"/>
        <v>2</v>
      </c>
      <c r="U522">
        <v>364</v>
      </c>
      <c r="V522">
        <f t="shared" si="58"/>
        <v>10</v>
      </c>
      <c r="W522" t="s">
        <v>1087</v>
      </c>
      <c r="X522" t="s">
        <v>1091</v>
      </c>
      <c r="Y522">
        <f t="shared" si="59"/>
        <v>0</v>
      </c>
      <c r="Z522" t="s">
        <v>1108</v>
      </c>
      <c r="AA522" t="str">
        <f t="shared" si="60"/>
        <v>Medium</v>
      </c>
      <c r="AB522" t="s">
        <v>1104</v>
      </c>
      <c r="AC522" t="str">
        <f t="shared" si="61"/>
        <v>Yes</v>
      </c>
      <c r="AD522">
        <v>1</v>
      </c>
      <c r="AE522">
        <v>4228</v>
      </c>
      <c r="AF522">
        <v>1691.2</v>
      </c>
      <c r="AG522">
        <f t="shared" si="62"/>
        <v>2172.8000000000002</v>
      </c>
    </row>
    <row r="523" spans="1:33" x14ac:dyDescent="0.25">
      <c r="A523">
        <v>1522</v>
      </c>
      <c r="B523" s="1">
        <v>46032</v>
      </c>
      <c r="C523" s="1">
        <v>46033</v>
      </c>
      <c r="D523" s="1">
        <v>46037</v>
      </c>
      <c r="E523" t="s">
        <v>1066</v>
      </c>
      <c r="F523" t="s">
        <v>551</v>
      </c>
      <c r="G523" t="s">
        <v>1072</v>
      </c>
      <c r="H523" t="str">
        <f t="shared" si="56"/>
        <v>Electronics</v>
      </c>
      <c r="I523">
        <v>1</v>
      </c>
      <c r="J523" t="str">
        <f>VLOOKUP(K523,$AJ$2:$AK$7,2,FALSE)</f>
        <v>S003</v>
      </c>
      <c r="K523" t="s">
        <v>1099</v>
      </c>
      <c r="L523">
        <v>4.9000000000000004</v>
      </c>
      <c r="M523" t="str">
        <f>IFERROR(VLOOKUP(TRIM(N523),$AP$2:$AQ$12,2,FALSE),"W001")</f>
        <v>W009</v>
      </c>
      <c r="N523" t="s">
        <v>1060</v>
      </c>
      <c r="O523" t="s">
        <v>1055</v>
      </c>
      <c r="P523" t="str">
        <f>VLOOKUP(O523,$AL$2:$AM$12,2,FALSE)</f>
        <v>South</v>
      </c>
      <c r="Q523" t="s">
        <v>1081</v>
      </c>
      <c r="R523">
        <v>996</v>
      </c>
      <c r="S523" t="s">
        <v>1078</v>
      </c>
      <c r="T523">
        <f t="shared" si="57"/>
        <v>5</v>
      </c>
      <c r="U523">
        <v>199.2</v>
      </c>
      <c r="V523">
        <f t="shared" si="58"/>
        <v>5</v>
      </c>
      <c r="W523" t="s">
        <v>1088</v>
      </c>
      <c r="X523" t="s">
        <v>1091</v>
      </c>
      <c r="Y523">
        <f t="shared" si="59"/>
        <v>0</v>
      </c>
      <c r="Z523" t="s">
        <v>1108</v>
      </c>
      <c r="AA523" t="str">
        <f t="shared" si="60"/>
        <v>Low</v>
      </c>
      <c r="AB523" t="s">
        <v>1103</v>
      </c>
      <c r="AC523" t="str">
        <f t="shared" si="61"/>
        <v>Yes</v>
      </c>
      <c r="AD523">
        <v>5</v>
      </c>
      <c r="AE523">
        <v>27643</v>
      </c>
      <c r="AF523">
        <v>11057.2</v>
      </c>
      <c r="AG523">
        <f t="shared" si="62"/>
        <v>16386.599999999999</v>
      </c>
    </row>
    <row r="524" spans="1:33" x14ac:dyDescent="0.25">
      <c r="A524">
        <v>1523</v>
      </c>
      <c r="B524" s="1">
        <v>45402</v>
      </c>
      <c r="C524" s="1">
        <v>45404</v>
      </c>
      <c r="D524" s="1">
        <v>45407</v>
      </c>
      <c r="E524" t="s">
        <v>1066</v>
      </c>
      <c r="F524" t="s">
        <v>552</v>
      </c>
      <c r="G524" t="s">
        <v>1072</v>
      </c>
      <c r="H524" t="str">
        <f t="shared" si="56"/>
        <v>Electronics</v>
      </c>
      <c r="I524">
        <v>8</v>
      </c>
      <c r="J524" t="str">
        <f>VLOOKUP(K524,$AJ$2:$AK$7,2,FALSE)</f>
        <v>S006</v>
      </c>
      <c r="K524" t="s">
        <v>1102</v>
      </c>
      <c r="L524">
        <v>4.4000000000000004</v>
      </c>
      <c r="M524" t="str">
        <f>IFERROR(VLOOKUP(TRIM(N524),$AP$2:$AQ$12,2,FALSE),"W001")</f>
        <v>W003</v>
      </c>
      <c r="N524" t="s">
        <v>1051</v>
      </c>
      <c r="O524" t="s">
        <v>1051</v>
      </c>
      <c r="P524" t="str">
        <f>VLOOKUP(O524,$AL$2:$AM$12,2,FALSE)</f>
        <v>West</v>
      </c>
      <c r="Q524" t="s">
        <v>1083</v>
      </c>
      <c r="R524">
        <v>17</v>
      </c>
      <c r="S524" t="s">
        <v>1079</v>
      </c>
      <c r="T524">
        <f t="shared" si="57"/>
        <v>1</v>
      </c>
      <c r="U524">
        <v>8.5</v>
      </c>
      <c r="V524">
        <f t="shared" si="58"/>
        <v>10</v>
      </c>
      <c r="W524" t="s">
        <v>1088</v>
      </c>
      <c r="X524" t="s">
        <v>1089</v>
      </c>
      <c r="Y524">
        <f t="shared" si="59"/>
        <v>0</v>
      </c>
      <c r="Z524" t="s">
        <v>1108</v>
      </c>
      <c r="AA524" t="str">
        <f t="shared" si="60"/>
        <v>Medium</v>
      </c>
      <c r="AB524" t="s">
        <v>1104</v>
      </c>
      <c r="AC524" t="str">
        <f t="shared" si="61"/>
        <v>Yes</v>
      </c>
      <c r="AD524">
        <v>2</v>
      </c>
      <c r="AE524">
        <v>169672</v>
      </c>
      <c r="AF524">
        <v>67868.800000000003</v>
      </c>
      <c r="AG524">
        <f t="shared" si="62"/>
        <v>101794.7</v>
      </c>
    </row>
    <row r="525" spans="1:33" x14ac:dyDescent="0.25">
      <c r="A525">
        <v>1524</v>
      </c>
      <c r="B525" s="1">
        <v>46353</v>
      </c>
      <c r="C525" s="1">
        <v>46355</v>
      </c>
      <c r="D525" s="1">
        <v>46357</v>
      </c>
      <c r="E525" t="s">
        <v>1064</v>
      </c>
      <c r="F525" t="s">
        <v>553</v>
      </c>
      <c r="G525" t="s">
        <v>1068</v>
      </c>
      <c r="H525" t="str">
        <f t="shared" si="56"/>
        <v>Electronics</v>
      </c>
      <c r="I525">
        <v>9</v>
      </c>
      <c r="J525" t="str">
        <f>VLOOKUP(K525,$AJ$2:$AK$7,2,FALSE)</f>
        <v>S001</v>
      </c>
      <c r="K525" t="s">
        <v>1097</v>
      </c>
      <c r="L525">
        <v>3.5</v>
      </c>
      <c r="M525" t="str">
        <f>IFERROR(VLOOKUP(TRIM(N525),$AP$2:$AQ$12,2,FALSE),"W001")</f>
        <v>W002</v>
      </c>
      <c r="N525" t="s">
        <v>1049</v>
      </c>
      <c r="O525" t="s">
        <v>1051</v>
      </c>
      <c r="P525" t="str">
        <f>VLOOKUP(O525,$AL$2:$AM$12,2,FALSE)</f>
        <v>West</v>
      </c>
      <c r="Q525" t="s">
        <v>1083</v>
      </c>
      <c r="R525">
        <v>1966</v>
      </c>
      <c r="S525" t="s">
        <v>1078</v>
      </c>
      <c r="T525">
        <f t="shared" si="57"/>
        <v>4</v>
      </c>
      <c r="U525">
        <v>983</v>
      </c>
      <c r="V525">
        <f t="shared" si="58"/>
        <v>10</v>
      </c>
      <c r="W525" t="s">
        <v>1086</v>
      </c>
      <c r="X525" t="s">
        <v>1091</v>
      </c>
      <c r="Y525">
        <f t="shared" si="59"/>
        <v>983</v>
      </c>
      <c r="Z525" t="s">
        <v>1109</v>
      </c>
      <c r="AA525" t="str">
        <f t="shared" si="60"/>
        <v>High</v>
      </c>
      <c r="AB525" t="s">
        <v>1104</v>
      </c>
      <c r="AC525" t="str">
        <f t="shared" si="61"/>
        <v>No</v>
      </c>
      <c r="AD525">
        <v>1</v>
      </c>
      <c r="AE525">
        <v>458919</v>
      </c>
      <c r="AF525">
        <v>183567.6</v>
      </c>
      <c r="AG525">
        <f t="shared" si="62"/>
        <v>274368.40000000002</v>
      </c>
    </row>
    <row r="526" spans="1:33" x14ac:dyDescent="0.25">
      <c r="A526">
        <v>1525</v>
      </c>
      <c r="B526" s="1">
        <v>45284</v>
      </c>
      <c r="C526" s="1">
        <v>45287</v>
      </c>
      <c r="D526" s="1">
        <v>45294</v>
      </c>
      <c r="E526" t="s">
        <v>1064</v>
      </c>
      <c r="F526" t="s">
        <v>554</v>
      </c>
      <c r="G526" t="s">
        <v>1070</v>
      </c>
      <c r="H526" t="str">
        <f t="shared" si="56"/>
        <v>Furniture</v>
      </c>
      <c r="I526">
        <v>9</v>
      </c>
      <c r="J526" t="str">
        <f>VLOOKUP(K526,$AJ$2:$AK$7,2,FALSE)</f>
        <v>S004</v>
      </c>
      <c r="K526" t="s">
        <v>1100</v>
      </c>
      <c r="L526">
        <v>3.6</v>
      </c>
      <c r="M526" t="str">
        <f>IFERROR(VLOOKUP(TRIM(N526),$AP$2:$AQ$12,2,FALSE),"W001")</f>
        <v>W005</v>
      </c>
      <c r="N526" t="s">
        <v>1055</v>
      </c>
      <c r="O526" t="s">
        <v>1060</v>
      </c>
      <c r="P526" t="str">
        <f>VLOOKUP(O526,$AL$2:$AM$12,2,FALSE)</f>
        <v>North</v>
      </c>
      <c r="Q526" t="s">
        <v>1083</v>
      </c>
      <c r="R526">
        <v>1395</v>
      </c>
      <c r="S526" t="s">
        <v>1078</v>
      </c>
      <c r="T526">
        <f t="shared" si="57"/>
        <v>3</v>
      </c>
      <c r="U526">
        <v>697.5</v>
      </c>
      <c r="V526">
        <f t="shared" si="58"/>
        <v>10</v>
      </c>
      <c r="W526" t="s">
        <v>1086</v>
      </c>
      <c r="X526" t="s">
        <v>1090</v>
      </c>
      <c r="Y526">
        <f t="shared" si="59"/>
        <v>697.5</v>
      </c>
      <c r="Z526" t="s">
        <v>1108</v>
      </c>
      <c r="AA526" t="str">
        <f t="shared" si="60"/>
        <v>Medium</v>
      </c>
      <c r="AB526" t="s">
        <v>1104</v>
      </c>
      <c r="AC526" t="str">
        <f t="shared" si="61"/>
        <v>Yes</v>
      </c>
      <c r="AD526">
        <v>2</v>
      </c>
      <c r="AE526">
        <v>65637</v>
      </c>
      <c r="AF526">
        <v>26254.800000000003</v>
      </c>
      <c r="AG526">
        <f t="shared" si="62"/>
        <v>38684.699999999997</v>
      </c>
    </row>
    <row r="527" spans="1:33" x14ac:dyDescent="0.25">
      <c r="A527">
        <v>1526</v>
      </c>
      <c r="B527" s="1">
        <v>45078</v>
      </c>
      <c r="C527" s="1">
        <v>45080</v>
      </c>
      <c r="D527" s="1">
        <v>45087</v>
      </c>
      <c r="E527" t="s">
        <v>1064</v>
      </c>
      <c r="F527" t="s">
        <v>555</v>
      </c>
      <c r="G527" t="s">
        <v>1067</v>
      </c>
      <c r="H527" t="str">
        <f t="shared" si="56"/>
        <v>Clothing</v>
      </c>
      <c r="I527">
        <v>2</v>
      </c>
      <c r="J527" t="str">
        <f>VLOOKUP(K527,$AJ$2:$AK$7,2,FALSE)</f>
        <v>S002</v>
      </c>
      <c r="K527" t="s">
        <v>1098</v>
      </c>
      <c r="L527">
        <v>3.5</v>
      </c>
      <c r="M527" t="str">
        <f>IFERROR(VLOOKUP(TRIM(N527),$AP$2:$AQ$12,2,FALSE),"W001")</f>
        <v>W009</v>
      </c>
      <c r="N527" t="s">
        <v>1060</v>
      </c>
      <c r="O527" t="s">
        <v>1063</v>
      </c>
      <c r="P527" t="str">
        <f>VLOOKUP(O527,$AL$2:$AM$12,2,FALSE)</f>
        <v>South</v>
      </c>
      <c r="Q527" t="s">
        <v>1083</v>
      </c>
      <c r="R527">
        <v>197</v>
      </c>
      <c r="S527" t="s">
        <v>1079</v>
      </c>
      <c r="T527">
        <f t="shared" si="57"/>
        <v>1</v>
      </c>
      <c r="U527">
        <v>98.5</v>
      </c>
      <c r="V527">
        <f t="shared" si="58"/>
        <v>10</v>
      </c>
      <c r="W527" t="s">
        <v>1087</v>
      </c>
      <c r="X527" t="s">
        <v>1091</v>
      </c>
      <c r="Y527">
        <f t="shared" si="59"/>
        <v>0</v>
      </c>
      <c r="Z527" t="s">
        <v>1108</v>
      </c>
      <c r="AA527" t="str">
        <f t="shared" si="60"/>
        <v>Medium</v>
      </c>
      <c r="AB527" t="s">
        <v>1104</v>
      </c>
      <c r="AC527" t="str">
        <f t="shared" si="61"/>
        <v>Yes</v>
      </c>
      <c r="AD527">
        <v>1</v>
      </c>
      <c r="AE527">
        <v>1500</v>
      </c>
      <c r="AF527">
        <v>600</v>
      </c>
      <c r="AG527">
        <f t="shared" si="62"/>
        <v>801.5</v>
      </c>
    </row>
    <row r="528" spans="1:33" x14ac:dyDescent="0.25">
      <c r="A528">
        <v>1527</v>
      </c>
      <c r="B528" s="1">
        <v>45698</v>
      </c>
      <c r="C528" s="1">
        <v>45701</v>
      </c>
      <c r="D528" s="1">
        <v>45703</v>
      </c>
      <c r="E528" t="s">
        <v>1064</v>
      </c>
      <c r="F528" t="s">
        <v>556</v>
      </c>
      <c r="G528" t="s">
        <v>1071</v>
      </c>
      <c r="H528" t="str">
        <f t="shared" si="56"/>
        <v>Clothing</v>
      </c>
      <c r="I528">
        <v>4</v>
      </c>
      <c r="J528" t="str">
        <f>VLOOKUP(K528,$AJ$2:$AK$7,2,FALSE)</f>
        <v>S002</v>
      </c>
      <c r="K528" t="s">
        <v>1098</v>
      </c>
      <c r="L528">
        <v>4.8</v>
      </c>
      <c r="M528" t="str">
        <f>IFERROR(VLOOKUP(TRIM(N528),$AP$2:$AQ$12,2,FALSE),"W001")</f>
        <v>W003</v>
      </c>
      <c r="N528" t="s">
        <v>1051</v>
      </c>
      <c r="O528" t="s">
        <v>1057</v>
      </c>
      <c r="P528" t="str">
        <f>VLOOKUP(O528,$AL$2:$AM$12,2,FALSE)</f>
        <v>South</v>
      </c>
      <c r="Q528" t="s">
        <v>1080</v>
      </c>
      <c r="R528">
        <v>1471</v>
      </c>
      <c r="S528" t="s">
        <v>1078</v>
      </c>
      <c r="T528">
        <f t="shared" si="57"/>
        <v>7</v>
      </c>
      <c r="U528">
        <v>220.65</v>
      </c>
      <c r="V528">
        <f t="shared" si="58"/>
        <v>4</v>
      </c>
      <c r="W528" t="s">
        <v>1086</v>
      </c>
      <c r="X528" t="s">
        <v>1091</v>
      </c>
      <c r="Y528">
        <f t="shared" si="59"/>
        <v>220.65</v>
      </c>
      <c r="Z528" t="s">
        <v>1108</v>
      </c>
      <c r="AA528" t="str">
        <f t="shared" si="60"/>
        <v>Low</v>
      </c>
      <c r="AB528" t="s">
        <v>1103</v>
      </c>
      <c r="AC528" t="str">
        <f t="shared" si="61"/>
        <v>Yes</v>
      </c>
      <c r="AD528">
        <v>5</v>
      </c>
      <c r="AE528">
        <v>6668</v>
      </c>
      <c r="AF528">
        <v>2667.2000000000003</v>
      </c>
      <c r="AG528">
        <f t="shared" si="62"/>
        <v>3780.1499999999996</v>
      </c>
    </row>
    <row r="529" spans="1:33" x14ac:dyDescent="0.25">
      <c r="A529">
        <v>1528</v>
      </c>
      <c r="B529" s="1">
        <v>44228</v>
      </c>
      <c r="C529" s="1">
        <v>44230</v>
      </c>
      <c r="D529" s="1">
        <v>44236</v>
      </c>
      <c r="E529" t="s">
        <v>1064</v>
      </c>
      <c r="F529" t="s">
        <v>557</v>
      </c>
      <c r="G529" t="s">
        <v>1070</v>
      </c>
      <c r="H529" t="str">
        <f t="shared" si="56"/>
        <v>Furniture</v>
      </c>
      <c r="I529">
        <v>9</v>
      </c>
      <c r="J529" t="str">
        <f>VLOOKUP(K529,$AJ$2:$AK$7,2,FALSE)</f>
        <v>S001</v>
      </c>
      <c r="K529" t="s">
        <v>1097</v>
      </c>
      <c r="L529">
        <v>4.3</v>
      </c>
      <c r="M529" t="str">
        <f>IFERROR(VLOOKUP(TRIM(N529),$AP$2:$AQ$12,2,FALSE),"W001")</f>
        <v>W005</v>
      </c>
      <c r="N529" t="s">
        <v>1055</v>
      </c>
      <c r="O529" t="s">
        <v>1053</v>
      </c>
      <c r="P529" t="str">
        <f>VLOOKUP(O529,$AL$2:$AM$12,2,FALSE)</f>
        <v>South</v>
      </c>
      <c r="Q529" t="s">
        <v>1080</v>
      </c>
      <c r="R529">
        <v>297</v>
      </c>
      <c r="S529" t="s">
        <v>1066</v>
      </c>
      <c r="T529">
        <f t="shared" si="57"/>
        <v>3</v>
      </c>
      <c r="U529">
        <v>44.55</v>
      </c>
      <c r="V529">
        <f t="shared" si="58"/>
        <v>4</v>
      </c>
      <c r="W529" t="s">
        <v>1086</v>
      </c>
      <c r="X529" t="s">
        <v>1089</v>
      </c>
      <c r="Y529">
        <f t="shared" si="59"/>
        <v>44.55</v>
      </c>
      <c r="Z529" t="s">
        <v>1108</v>
      </c>
      <c r="AA529" t="str">
        <f t="shared" si="60"/>
        <v>Low</v>
      </c>
      <c r="AB529" t="s">
        <v>1103</v>
      </c>
      <c r="AC529" t="str">
        <f t="shared" si="61"/>
        <v>Yes</v>
      </c>
      <c r="AD529">
        <v>4</v>
      </c>
      <c r="AE529">
        <v>53478</v>
      </c>
      <c r="AF529">
        <v>21391.200000000001</v>
      </c>
      <c r="AG529">
        <f t="shared" si="62"/>
        <v>32042.25</v>
      </c>
    </row>
    <row r="530" spans="1:33" x14ac:dyDescent="0.25">
      <c r="A530">
        <v>1529</v>
      </c>
      <c r="B530" s="1">
        <v>45778</v>
      </c>
      <c r="C530" s="1">
        <v>45781</v>
      </c>
      <c r="D530" s="1">
        <v>45788</v>
      </c>
      <c r="E530" t="s">
        <v>1065</v>
      </c>
      <c r="F530" t="s">
        <v>558</v>
      </c>
      <c r="G530" t="s">
        <v>1068</v>
      </c>
      <c r="H530" t="str">
        <f t="shared" si="56"/>
        <v>Electronics</v>
      </c>
      <c r="I530">
        <v>5</v>
      </c>
      <c r="J530" t="str">
        <f>VLOOKUP(K530,$AJ$2:$AK$7,2,FALSE)</f>
        <v>S005</v>
      </c>
      <c r="K530" t="s">
        <v>1101</v>
      </c>
      <c r="L530">
        <v>4.2</v>
      </c>
      <c r="M530" t="str">
        <f>IFERROR(VLOOKUP(TRIM(N530),$AP$2:$AQ$12,2,FALSE),"W001")</f>
        <v>W010</v>
      </c>
      <c r="N530" t="s">
        <v>1063</v>
      </c>
      <c r="O530" t="s">
        <v>1060</v>
      </c>
      <c r="P530" t="str">
        <f>VLOOKUP(O530,$AL$2:$AM$12,2,FALSE)</f>
        <v>North</v>
      </c>
      <c r="Q530" t="s">
        <v>1085</v>
      </c>
      <c r="R530">
        <v>1679</v>
      </c>
      <c r="S530" t="s">
        <v>1078</v>
      </c>
      <c r="T530">
        <f t="shared" si="57"/>
        <v>11</v>
      </c>
      <c r="U530">
        <v>167.9</v>
      </c>
      <c r="V530">
        <f t="shared" si="58"/>
        <v>3</v>
      </c>
      <c r="W530" t="s">
        <v>1088</v>
      </c>
      <c r="X530" t="s">
        <v>1091</v>
      </c>
      <c r="Y530">
        <f t="shared" si="59"/>
        <v>0</v>
      </c>
      <c r="Z530" t="s">
        <v>1108</v>
      </c>
      <c r="AA530" t="str">
        <f t="shared" si="60"/>
        <v>Low</v>
      </c>
      <c r="AB530" t="s">
        <v>1103</v>
      </c>
      <c r="AC530" t="str">
        <f t="shared" si="61"/>
        <v>Yes</v>
      </c>
      <c r="AD530">
        <v>5</v>
      </c>
      <c r="AE530">
        <v>250670</v>
      </c>
      <c r="AF530">
        <v>100268</v>
      </c>
      <c r="AG530">
        <f t="shared" si="62"/>
        <v>150234.1</v>
      </c>
    </row>
    <row r="531" spans="1:33" x14ac:dyDescent="0.25">
      <c r="A531">
        <v>1530</v>
      </c>
      <c r="B531" s="1">
        <v>45755</v>
      </c>
      <c r="C531" s="1">
        <v>45758</v>
      </c>
      <c r="D531" s="1">
        <v>45762</v>
      </c>
      <c r="E531" t="s">
        <v>1066</v>
      </c>
      <c r="F531" t="s">
        <v>559</v>
      </c>
      <c r="G531" t="s">
        <v>1068</v>
      </c>
      <c r="H531" t="str">
        <f t="shared" si="56"/>
        <v>Electronics</v>
      </c>
      <c r="I531">
        <v>1</v>
      </c>
      <c r="J531" t="str">
        <f>VLOOKUP(K531,$AJ$2:$AK$7,2,FALSE)</f>
        <v>S002</v>
      </c>
      <c r="K531" t="s">
        <v>1098</v>
      </c>
      <c r="L531">
        <v>4.8</v>
      </c>
      <c r="M531" t="str">
        <f>IFERROR(VLOOKUP(TRIM(N531),$AP$2:$AQ$12,2,FALSE),"W001")</f>
        <v>W007</v>
      </c>
      <c r="N531" t="s">
        <v>1062</v>
      </c>
      <c r="O531" t="s">
        <v>1055</v>
      </c>
      <c r="P531" t="str">
        <f>VLOOKUP(O531,$AL$2:$AM$12,2,FALSE)</f>
        <v>South</v>
      </c>
      <c r="Q531" t="s">
        <v>1083</v>
      </c>
      <c r="R531">
        <v>1596</v>
      </c>
      <c r="S531" t="s">
        <v>1078</v>
      </c>
      <c r="T531">
        <f t="shared" si="57"/>
        <v>3</v>
      </c>
      <c r="U531">
        <v>798</v>
      </c>
      <c r="V531">
        <f t="shared" si="58"/>
        <v>10</v>
      </c>
      <c r="W531" t="s">
        <v>1087</v>
      </c>
      <c r="X531" t="s">
        <v>1091</v>
      </c>
      <c r="Y531">
        <f t="shared" si="59"/>
        <v>0</v>
      </c>
      <c r="Z531" t="s">
        <v>1108</v>
      </c>
      <c r="AA531" t="str">
        <f t="shared" si="60"/>
        <v>Medium</v>
      </c>
      <c r="AB531" t="s">
        <v>1103</v>
      </c>
      <c r="AC531" t="str">
        <f t="shared" si="61"/>
        <v>Yes</v>
      </c>
      <c r="AD531">
        <v>4</v>
      </c>
      <c r="AE531">
        <v>41951</v>
      </c>
      <c r="AF531">
        <v>16780.400000000001</v>
      </c>
      <c r="AG531">
        <f t="shared" si="62"/>
        <v>24372.6</v>
      </c>
    </row>
    <row r="532" spans="1:33" x14ac:dyDescent="0.25">
      <c r="A532">
        <v>1531</v>
      </c>
      <c r="B532" s="1">
        <v>44548</v>
      </c>
      <c r="C532" s="1">
        <v>44549</v>
      </c>
      <c r="D532" s="1">
        <v>44555</v>
      </c>
      <c r="E532" t="s">
        <v>1064</v>
      </c>
      <c r="F532" t="s">
        <v>560</v>
      </c>
      <c r="G532" t="s">
        <v>1071</v>
      </c>
      <c r="H532" t="str">
        <f t="shared" si="56"/>
        <v>Clothing</v>
      </c>
      <c r="I532">
        <v>1</v>
      </c>
      <c r="J532" t="str">
        <f>VLOOKUP(K532,$AJ$2:$AK$7,2,FALSE)</f>
        <v>S006</v>
      </c>
      <c r="K532" t="s">
        <v>1102</v>
      </c>
      <c r="L532">
        <v>3.9</v>
      </c>
      <c r="M532" t="str">
        <f>IFERROR(VLOOKUP(TRIM(N532),$AP$2:$AQ$12,2,FALSE),"W001")</f>
        <v>W011</v>
      </c>
      <c r="N532" t="s">
        <v>1059</v>
      </c>
      <c r="O532" t="s">
        <v>1060</v>
      </c>
      <c r="P532" t="str">
        <f>VLOOKUP(O532,$AL$2:$AM$12,2,FALSE)</f>
        <v>North</v>
      </c>
      <c r="Q532" t="s">
        <v>1083</v>
      </c>
      <c r="R532">
        <v>1713</v>
      </c>
      <c r="S532" t="s">
        <v>1078</v>
      </c>
      <c r="T532">
        <f t="shared" si="57"/>
        <v>3</v>
      </c>
      <c r="U532">
        <v>856.5</v>
      </c>
      <c r="V532">
        <f t="shared" si="58"/>
        <v>10</v>
      </c>
      <c r="W532" t="s">
        <v>1088</v>
      </c>
      <c r="X532" t="s">
        <v>1091</v>
      </c>
      <c r="Y532">
        <f t="shared" si="59"/>
        <v>0</v>
      </c>
      <c r="Z532" t="s">
        <v>1108</v>
      </c>
      <c r="AA532" t="str">
        <f t="shared" si="60"/>
        <v>Medium</v>
      </c>
      <c r="AB532" t="s">
        <v>1103</v>
      </c>
      <c r="AC532" t="str">
        <f t="shared" si="61"/>
        <v>Yes</v>
      </c>
      <c r="AD532">
        <v>4</v>
      </c>
      <c r="AE532">
        <v>2418</v>
      </c>
      <c r="AF532">
        <v>967.2</v>
      </c>
      <c r="AG532">
        <f t="shared" si="62"/>
        <v>594.29999999999995</v>
      </c>
    </row>
    <row r="533" spans="1:33" x14ac:dyDescent="0.25">
      <c r="A533">
        <v>1532</v>
      </c>
      <c r="B533" s="1">
        <v>45312</v>
      </c>
      <c r="C533" s="1">
        <v>45315</v>
      </c>
      <c r="D533" s="1">
        <v>45322</v>
      </c>
      <c r="E533" t="s">
        <v>1065</v>
      </c>
      <c r="F533" t="s">
        <v>561</v>
      </c>
      <c r="G533" t="s">
        <v>1071</v>
      </c>
      <c r="H533" t="str">
        <f t="shared" si="56"/>
        <v>Clothing</v>
      </c>
      <c r="I533">
        <v>9</v>
      </c>
      <c r="J533" t="str">
        <f>VLOOKUP(K533,$AJ$2:$AK$7,2,FALSE)</f>
        <v>S005</v>
      </c>
      <c r="K533" t="s">
        <v>1101</v>
      </c>
      <c r="L533">
        <v>3.8</v>
      </c>
      <c r="M533" t="str">
        <f>IFERROR(VLOOKUP(TRIM(N533),$AP$2:$AQ$12,2,FALSE),"W001")</f>
        <v>W005</v>
      </c>
      <c r="N533" t="s">
        <v>1055</v>
      </c>
      <c r="O533" t="s">
        <v>1061</v>
      </c>
      <c r="P533" t="str">
        <f>VLOOKUP(O533,$AL$2:$AM$12,2,FALSE)</f>
        <v>West</v>
      </c>
      <c r="Q533" t="s">
        <v>1085</v>
      </c>
      <c r="R533">
        <v>271</v>
      </c>
      <c r="S533" t="s">
        <v>1066</v>
      </c>
      <c r="T533">
        <f t="shared" si="57"/>
        <v>4</v>
      </c>
      <c r="U533">
        <v>27.1</v>
      </c>
      <c r="V533">
        <f t="shared" si="58"/>
        <v>3</v>
      </c>
      <c r="W533" t="s">
        <v>1087</v>
      </c>
      <c r="X533" t="s">
        <v>1089</v>
      </c>
      <c r="Y533">
        <f t="shared" si="59"/>
        <v>0</v>
      </c>
      <c r="Z533" t="s">
        <v>1108</v>
      </c>
      <c r="AA533" t="str">
        <f t="shared" si="60"/>
        <v>Low</v>
      </c>
      <c r="AB533" t="s">
        <v>1103</v>
      </c>
      <c r="AC533" t="str">
        <f t="shared" si="61"/>
        <v>Yes</v>
      </c>
      <c r="AD533">
        <v>5</v>
      </c>
      <c r="AE533">
        <v>22518</v>
      </c>
      <c r="AF533">
        <v>9007.2000000000007</v>
      </c>
      <c r="AG533">
        <f t="shared" si="62"/>
        <v>13483.699999999999</v>
      </c>
    </row>
    <row r="534" spans="1:33" x14ac:dyDescent="0.25">
      <c r="A534">
        <v>1533</v>
      </c>
      <c r="B534" s="1">
        <v>44726</v>
      </c>
      <c r="C534" s="1">
        <v>44729</v>
      </c>
      <c r="D534" s="1">
        <v>44736</v>
      </c>
      <c r="E534" t="s">
        <v>1065</v>
      </c>
      <c r="F534" t="s">
        <v>562</v>
      </c>
      <c r="G534" t="s">
        <v>1068</v>
      </c>
      <c r="H534" t="str">
        <f t="shared" si="56"/>
        <v>Electronics</v>
      </c>
      <c r="I534">
        <v>9</v>
      </c>
      <c r="J534" t="str">
        <f>VLOOKUP(K534,$AJ$2:$AK$7,2,FALSE)</f>
        <v>S006</v>
      </c>
      <c r="K534" t="s">
        <v>1102</v>
      </c>
      <c r="L534">
        <v>5</v>
      </c>
      <c r="M534" t="str">
        <f>IFERROR(VLOOKUP(TRIM(N534),$AP$2:$AQ$12,2,FALSE),"W001")</f>
        <v>W006</v>
      </c>
      <c r="N534" t="s">
        <v>1057</v>
      </c>
      <c r="O534" t="s">
        <v>1053</v>
      </c>
      <c r="P534" t="str">
        <f>VLOOKUP(O534,$AL$2:$AM$12,2,FALSE)</f>
        <v>South</v>
      </c>
      <c r="Q534" t="s">
        <v>1084</v>
      </c>
      <c r="R534">
        <v>1886</v>
      </c>
      <c r="S534" t="s">
        <v>1078</v>
      </c>
      <c r="T534">
        <f t="shared" si="57"/>
        <v>6</v>
      </c>
      <c r="U534">
        <v>565.79999999999995</v>
      </c>
      <c r="V534">
        <f t="shared" si="58"/>
        <v>6</v>
      </c>
      <c r="W534" t="s">
        <v>1086</v>
      </c>
      <c r="X534" t="s">
        <v>1091</v>
      </c>
      <c r="Y534">
        <f t="shared" si="59"/>
        <v>565.79999999999995</v>
      </c>
      <c r="Z534" t="s">
        <v>1109</v>
      </c>
      <c r="AA534" t="str">
        <f t="shared" si="60"/>
        <v>High</v>
      </c>
      <c r="AB534" t="s">
        <v>1103</v>
      </c>
      <c r="AC534" t="str">
        <f t="shared" si="61"/>
        <v>No</v>
      </c>
      <c r="AD534">
        <v>3</v>
      </c>
      <c r="AE534">
        <v>361575</v>
      </c>
      <c r="AF534">
        <v>144630</v>
      </c>
      <c r="AG534">
        <f t="shared" si="62"/>
        <v>216379.2</v>
      </c>
    </row>
    <row r="535" spans="1:33" x14ac:dyDescent="0.25">
      <c r="A535">
        <v>1534</v>
      </c>
      <c r="B535" s="1">
        <v>46134</v>
      </c>
      <c r="C535" s="1">
        <v>46136</v>
      </c>
      <c r="D535" s="1">
        <v>46138</v>
      </c>
      <c r="E535" t="s">
        <v>1066</v>
      </c>
      <c r="F535" t="s">
        <v>563</v>
      </c>
      <c r="G535" t="s">
        <v>1072</v>
      </c>
      <c r="H535" t="str">
        <f t="shared" si="56"/>
        <v>Electronics</v>
      </c>
      <c r="I535">
        <v>7</v>
      </c>
      <c r="J535" t="str">
        <f>VLOOKUP(K535,$AJ$2:$AK$7,2,FALSE)</f>
        <v>S001</v>
      </c>
      <c r="K535" t="s">
        <v>1097</v>
      </c>
      <c r="L535">
        <v>3.3</v>
      </c>
      <c r="M535" t="str">
        <f>IFERROR(VLOOKUP(TRIM(N535),$AP$2:$AQ$12,2,FALSE),"W001")</f>
        <v>W007</v>
      </c>
      <c r="N535" t="s">
        <v>1062</v>
      </c>
      <c r="O535" t="s">
        <v>1060</v>
      </c>
      <c r="P535" t="str">
        <f>VLOOKUP(O535,$AL$2:$AM$12,2,FALSE)</f>
        <v>North</v>
      </c>
      <c r="Q535" t="s">
        <v>1084</v>
      </c>
      <c r="R535">
        <v>1386</v>
      </c>
      <c r="S535" t="s">
        <v>1078</v>
      </c>
      <c r="T535">
        <f t="shared" si="57"/>
        <v>5</v>
      </c>
      <c r="U535">
        <v>415.8</v>
      </c>
      <c r="V535">
        <f t="shared" si="58"/>
        <v>6</v>
      </c>
      <c r="W535" t="s">
        <v>1087</v>
      </c>
      <c r="X535" t="s">
        <v>1091</v>
      </c>
      <c r="Y535">
        <f t="shared" si="59"/>
        <v>0</v>
      </c>
      <c r="Z535" t="s">
        <v>1108</v>
      </c>
      <c r="AA535" t="str">
        <f t="shared" si="60"/>
        <v>Low</v>
      </c>
      <c r="AB535" t="s">
        <v>1103</v>
      </c>
      <c r="AC535" t="str">
        <f t="shared" si="61"/>
        <v>Yes</v>
      </c>
      <c r="AD535">
        <v>4</v>
      </c>
      <c r="AE535">
        <v>107373</v>
      </c>
      <c r="AF535">
        <v>42949.200000000004</v>
      </c>
      <c r="AG535">
        <f t="shared" si="62"/>
        <v>64007.999999999993</v>
      </c>
    </row>
    <row r="536" spans="1:33" x14ac:dyDescent="0.25">
      <c r="A536">
        <v>1535</v>
      </c>
      <c r="B536" s="1">
        <v>45575</v>
      </c>
      <c r="C536" s="1">
        <v>45578</v>
      </c>
      <c r="D536" s="1">
        <v>45581</v>
      </c>
      <c r="E536" t="s">
        <v>1064</v>
      </c>
      <c r="F536" t="s">
        <v>564</v>
      </c>
      <c r="G536" t="s">
        <v>1067</v>
      </c>
      <c r="H536" t="str">
        <f t="shared" si="56"/>
        <v>Clothing</v>
      </c>
      <c r="I536">
        <v>10</v>
      </c>
      <c r="J536" t="str">
        <f>VLOOKUP(K536,$AJ$2:$AK$7,2,FALSE)</f>
        <v>S005</v>
      </c>
      <c r="K536" t="s">
        <v>1101</v>
      </c>
      <c r="L536">
        <v>3.4</v>
      </c>
      <c r="M536" t="str">
        <f>IFERROR(VLOOKUP(TRIM(N536),$AP$2:$AQ$12,2,FALSE),"W001")</f>
        <v>W009</v>
      </c>
      <c r="N536" t="s">
        <v>1060</v>
      </c>
      <c r="O536" t="s">
        <v>1062</v>
      </c>
      <c r="P536" t="str">
        <f>VLOOKUP(O536,$AL$2:$AM$12,2,FALSE)</f>
        <v>North</v>
      </c>
      <c r="Q536" t="s">
        <v>1084</v>
      </c>
      <c r="R536">
        <v>310</v>
      </c>
      <c r="S536" t="s">
        <v>1066</v>
      </c>
      <c r="T536">
        <f t="shared" si="57"/>
        <v>2</v>
      </c>
      <c r="U536">
        <v>93</v>
      </c>
      <c r="V536">
        <f t="shared" si="58"/>
        <v>6</v>
      </c>
      <c r="W536" t="s">
        <v>1086</v>
      </c>
      <c r="X536" t="s">
        <v>1091</v>
      </c>
      <c r="Y536">
        <f t="shared" si="59"/>
        <v>93</v>
      </c>
      <c r="Z536" t="s">
        <v>1108</v>
      </c>
      <c r="AA536" t="str">
        <f t="shared" si="60"/>
        <v>Low</v>
      </c>
      <c r="AB536" t="s">
        <v>1103</v>
      </c>
      <c r="AC536" t="str">
        <f t="shared" si="61"/>
        <v>Yes</v>
      </c>
      <c r="AD536">
        <v>4</v>
      </c>
      <c r="AE536">
        <v>7960</v>
      </c>
      <c r="AF536">
        <v>3184</v>
      </c>
      <c r="AG536">
        <f t="shared" si="62"/>
        <v>4683</v>
      </c>
    </row>
    <row r="537" spans="1:33" x14ac:dyDescent="0.25">
      <c r="A537">
        <v>1536</v>
      </c>
      <c r="B537" s="1">
        <v>46263</v>
      </c>
      <c r="C537" s="1">
        <v>46265</v>
      </c>
      <c r="D537" s="1">
        <v>46269</v>
      </c>
      <c r="E537" t="s">
        <v>1066</v>
      </c>
      <c r="F537" t="s">
        <v>565</v>
      </c>
      <c r="G537" t="s">
        <v>1072</v>
      </c>
      <c r="H537" t="str">
        <f t="shared" si="56"/>
        <v>Electronics</v>
      </c>
      <c r="I537">
        <v>7</v>
      </c>
      <c r="J537" t="str">
        <f>VLOOKUP(K537,$AJ$2:$AK$7,2,FALSE)</f>
        <v>S003</v>
      </c>
      <c r="K537" t="s">
        <v>1099</v>
      </c>
      <c r="L537">
        <v>3.6</v>
      </c>
      <c r="M537" t="str">
        <f>IFERROR(VLOOKUP(TRIM(N537),$AP$2:$AQ$12,2,FALSE),"W001")</f>
        <v>W005</v>
      </c>
      <c r="N537" t="s">
        <v>1055</v>
      </c>
      <c r="O537" t="s">
        <v>1047</v>
      </c>
      <c r="P537" t="str">
        <f>VLOOKUP(O537,$AL$2:$AM$12,2,FALSE)</f>
        <v>West</v>
      </c>
      <c r="Q537" t="s">
        <v>1081</v>
      </c>
      <c r="R537">
        <v>743</v>
      </c>
      <c r="S537" t="s">
        <v>1066</v>
      </c>
      <c r="T537">
        <f t="shared" si="57"/>
        <v>4</v>
      </c>
      <c r="U537">
        <v>148.6</v>
      </c>
      <c r="V537">
        <f t="shared" si="58"/>
        <v>5</v>
      </c>
      <c r="W537" t="s">
        <v>1088</v>
      </c>
      <c r="X537" t="s">
        <v>1091</v>
      </c>
      <c r="Y537">
        <f t="shared" si="59"/>
        <v>0</v>
      </c>
      <c r="Z537" t="s">
        <v>1108</v>
      </c>
      <c r="AA537" t="str">
        <f t="shared" si="60"/>
        <v>Low</v>
      </c>
      <c r="AB537" t="s">
        <v>1103</v>
      </c>
      <c r="AC537" t="str">
        <f t="shared" si="61"/>
        <v>Yes</v>
      </c>
      <c r="AD537">
        <v>5</v>
      </c>
      <c r="AE537">
        <v>118020</v>
      </c>
      <c r="AF537">
        <v>47208</v>
      </c>
      <c r="AG537">
        <f t="shared" si="62"/>
        <v>70663.399999999994</v>
      </c>
    </row>
    <row r="538" spans="1:33" x14ac:dyDescent="0.25">
      <c r="A538">
        <v>1537</v>
      </c>
      <c r="B538" s="1">
        <v>45823</v>
      </c>
      <c r="C538" s="1">
        <v>45824</v>
      </c>
      <c r="D538" s="1">
        <v>45831</v>
      </c>
      <c r="E538" t="s">
        <v>1066</v>
      </c>
      <c r="F538" t="s">
        <v>566</v>
      </c>
      <c r="G538" t="s">
        <v>1072</v>
      </c>
      <c r="H538" t="str">
        <f t="shared" si="56"/>
        <v>Electronics</v>
      </c>
      <c r="I538">
        <v>9</v>
      </c>
      <c r="J538" t="str">
        <f>VLOOKUP(K538,$AJ$2:$AK$7,2,FALSE)</f>
        <v>S002</v>
      </c>
      <c r="K538" t="s">
        <v>1098</v>
      </c>
      <c r="L538">
        <v>4.0999999999999996</v>
      </c>
      <c r="M538" t="str">
        <f>IFERROR(VLOOKUP(TRIM(N538),$AP$2:$AQ$12,2,FALSE),"W001")</f>
        <v>W011</v>
      </c>
      <c r="N538" t="s">
        <v>1059</v>
      </c>
      <c r="O538" t="s">
        <v>1062</v>
      </c>
      <c r="P538" t="str">
        <f>VLOOKUP(O538,$AL$2:$AM$12,2,FALSE)</f>
        <v>North</v>
      </c>
      <c r="Q538" t="s">
        <v>1084</v>
      </c>
      <c r="R538">
        <v>1405</v>
      </c>
      <c r="S538" t="s">
        <v>1078</v>
      </c>
      <c r="T538">
        <f t="shared" si="57"/>
        <v>5</v>
      </c>
      <c r="U538">
        <v>421.5</v>
      </c>
      <c r="V538">
        <f t="shared" si="58"/>
        <v>6</v>
      </c>
      <c r="W538" t="s">
        <v>1087</v>
      </c>
      <c r="X538" t="s">
        <v>1091</v>
      </c>
      <c r="Y538">
        <f t="shared" si="59"/>
        <v>0</v>
      </c>
      <c r="Z538" t="s">
        <v>1108</v>
      </c>
      <c r="AA538" t="str">
        <f t="shared" si="60"/>
        <v>Low</v>
      </c>
      <c r="AB538" t="s">
        <v>1103</v>
      </c>
      <c r="AC538" t="str">
        <f t="shared" si="61"/>
        <v>Yes</v>
      </c>
      <c r="AD538">
        <v>5</v>
      </c>
      <c r="AE538">
        <v>103158</v>
      </c>
      <c r="AF538">
        <v>41263.200000000004</v>
      </c>
      <c r="AG538">
        <f t="shared" si="62"/>
        <v>61473.299999999996</v>
      </c>
    </row>
    <row r="539" spans="1:33" x14ac:dyDescent="0.25">
      <c r="A539">
        <v>1538</v>
      </c>
      <c r="B539" s="1">
        <v>45402</v>
      </c>
      <c r="C539" s="1">
        <v>45405</v>
      </c>
      <c r="D539" s="1">
        <v>45409</v>
      </c>
      <c r="E539" t="s">
        <v>1065</v>
      </c>
      <c r="F539" t="s">
        <v>567</v>
      </c>
      <c r="G539" t="s">
        <v>1069</v>
      </c>
      <c r="H539" t="str">
        <f t="shared" si="56"/>
        <v>Furniture</v>
      </c>
      <c r="I539">
        <v>4</v>
      </c>
      <c r="J539" t="str">
        <f>VLOOKUP(K539,$AJ$2:$AK$7,2,FALSE)</f>
        <v>S005</v>
      </c>
      <c r="K539" t="s">
        <v>1101</v>
      </c>
      <c r="L539">
        <v>3.8</v>
      </c>
      <c r="M539" t="str">
        <f>IFERROR(VLOOKUP(TRIM(N539),$AP$2:$AQ$12,2,FALSE),"W001")</f>
        <v>W001</v>
      </c>
      <c r="N539" t="s">
        <v>1047</v>
      </c>
      <c r="O539" t="s">
        <v>1053</v>
      </c>
      <c r="P539" t="str">
        <f>VLOOKUP(O539,$AL$2:$AM$12,2,FALSE)</f>
        <v>South</v>
      </c>
      <c r="Q539" t="s">
        <v>1082</v>
      </c>
      <c r="R539">
        <v>1333</v>
      </c>
      <c r="S539" t="s">
        <v>1078</v>
      </c>
      <c r="T539">
        <f t="shared" si="57"/>
        <v>4</v>
      </c>
      <c r="U539">
        <v>533.20000000000005</v>
      </c>
      <c r="V539">
        <f t="shared" si="58"/>
        <v>8</v>
      </c>
      <c r="W539" t="s">
        <v>1087</v>
      </c>
      <c r="X539" t="s">
        <v>1089</v>
      </c>
      <c r="Y539">
        <f t="shared" si="59"/>
        <v>0</v>
      </c>
      <c r="Z539" t="s">
        <v>1109</v>
      </c>
      <c r="AA539" t="str">
        <f t="shared" si="60"/>
        <v>High</v>
      </c>
      <c r="AB539" t="s">
        <v>1103</v>
      </c>
      <c r="AC539" t="str">
        <f t="shared" si="61"/>
        <v>No</v>
      </c>
      <c r="AD539">
        <v>2</v>
      </c>
      <c r="AE539">
        <v>49996</v>
      </c>
      <c r="AF539">
        <v>19998.400000000001</v>
      </c>
      <c r="AG539">
        <f t="shared" si="62"/>
        <v>29464.399999999998</v>
      </c>
    </row>
    <row r="540" spans="1:33" x14ac:dyDescent="0.25">
      <c r="A540">
        <v>1539</v>
      </c>
      <c r="B540" s="1">
        <v>44437</v>
      </c>
      <c r="C540" s="1">
        <v>44439</v>
      </c>
      <c r="D540" s="1">
        <v>44443</v>
      </c>
      <c r="E540" t="s">
        <v>1066</v>
      </c>
      <c r="F540" t="s">
        <v>568</v>
      </c>
      <c r="G540" t="s">
        <v>1071</v>
      </c>
      <c r="H540" t="str">
        <f t="shared" si="56"/>
        <v>Clothing</v>
      </c>
      <c r="I540">
        <v>4</v>
      </c>
      <c r="J540" t="str">
        <f>VLOOKUP(K540,$AJ$2:$AK$7,2,FALSE)</f>
        <v>S004</v>
      </c>
      <c r="K540" t="s">
        <v>1100</v>
      </c>
      <c r="L540">
        <v>4.9000000000000004</v>
      </c>
      <c r="M540" t="str">
        <f>IFERROR(VLOOKUP(TRIM(N540),$AP$2:$AQ$12,2,FALSE),"W001")</f>
        <v>W008</v>
      </c>
      <c r="N540" t="s">
        <v>1061</v>
      </c>
      <c r="O540" t="s">
        <v>1062</v>
      </c>
      <c r="P540" t="str">
        <f>VLOOKUP(O540,$AL$2:$AM$12,2,FALSE)</f>
        <v>North</v>
      </c>
      <c r="Q540" t="s">
        <v>1082</v>
      </c>
      <c r="R540">
        <v>466</v>
      </c>
      <c r="S540" t="s">
        <v>1066</v>
      </c>
      <c r="T540">
        <f t="shared" si="57"/>
        <v>2</v>
      </c>
      <c r="U540">
        <v>186.4</v>
      </c>
      <c r="V540">
        <f t="shared" si="58"/>
        <v>8</v>
      </c>
      <c r="W540" t="s">
        <v>1086</v>
      </c>
      <c r="X540" t="s">
        <v>1091</v>
      </c>
      <c r="Y540">
        <f t="shared" si="59"/>
        <v>186.4</v>
      </c>
      <c r="Z540" t="s">
        <v>1108</v>
      </c>
      <c r="AA540" t="str">
        <f t="shared" si="60"/>
        <v>Medium</v>
      </c>
      <c r="AB540" t="s">
        <v>1103</v>
      </c>
      <c r="AC540" t="str">
        <f t="shared" si="61"/>
        <v>Yes</v>
      </c>
      <c r="AD540">
        <v>4</v>
      </c>
      <c r="AE540">
        <v>6616</v>
      </c>
      <c r="AF540">
        <v>2646.4</v>
      </c>
      <c r="AG540">
        <f t="shared" si="62"/>
        <v>3783.2</v>
      </c>
    </row>
    <row r="541" spans="1:33" x14ac:dyDescent="0.25">
      <c r="A541">
        <v>1540</v>
      </c>
      <c r="B541" s="1">
        <v>45425</v>
      </c>
      <c r="C541" s="1">
        <v>45426</v>
      </c>
      <c r="D541" s="1">
        <v>45428</v>
      </c>
      <c r="E541" t="s">
        <v>1065</v>
      </c>
      <c r="F541" t="s">
        <v>569</v>
      </c>
      <c r="G541" t="s">
        <v>1070</v>
      </c>
      <c r="H541" t="str">
        <f t="shared" si="56"/>
        <v>Furniture</v>
      </c>
      <c r="I541">
        <v>7</v>
      </c>
      <c r="J541" t="str">
        <f>VLOOKUP(K541,$AJ$2:$AK$7,2,FALSE)</f>
        <v>S004</v>
      </c>
      <c r="K541" t="s">
        <v>1100</v>
      </c>
      <c r="L541">
        <v>4.0999999999999996</v>
      </c>
      <c r="M541" t="str">
        <f>IFERROR(VLOOKUP(TRIM(N541),$AP$2:$AQ$12,2,FALSE),"W001")</f>
        <v>W009</v>
      </c>
      <c r="N541" t="s">
        <v>1060</v>
      </c>
      <c r="O541" t="s">
        <v>1055</v>
      </c>
      <c r="P541" t="str">
        <f>VLOOKUP(O541,$AL$2:$AM$12,2,FALSE)</f>
        <v>South</v>
      </c>
      <c r="Q541" t="s">
        <v>1083</v>
      </c>
      <c r="R541">
        <v>896</v>
      </c>
      <c r="S541" t="s">
        <v>1078</v>
      </c>
      <c r="T541">
        <f t="shared" si="57"/>
        <v>2</v>
      </c>
      <c r="U541">
        <v>448</v>
      </c>
      <c r="V541">
        <f t="shared" si="58"/>
        <v>10</v>
      </c>
      <c r="W541" t="s">
        <v>1086</v>
      </c>
      <c r="X541" t="s">
        <v>1089</v>
      </c>
      <c r="Y541">
        <f t="shared" si="59"/>
        <v>448</v>
      </c>
      <c r="Z541" t="s">
        <v>1108</v>
      </c>
      <c r="AA541" t="str">
        <f t="shared" si="60"/>
        <v>Medium</v>
      </c>
      <c r="AB541" t="s">
        <v>1103</v>
      </c>
      <c r="AC541" t="str">
        <f t="shared" si="61"/>
        <v>Yes</v>
      </c>
      <c r="AD541">
        <v>4</v>
      </c>
      <c r="AE541">
        <v>20734</v>
      </c>
      <c r="AF541">
        <v>8293.6</v>
      </c>
      <c r="AG541">
        <f t="shared" si="62"/>
        <v>11992.4</v>
      </c>
    </row>
    <row r="542" spans="1:33" x14ac:dyDescent="0.25">
      <c r="A542">
        <v>1541</v>
      </c>
      <c r="B542" s="1">
        <v>45595</v>
      </c>
      <c r="C542" s="1">
        <v>45598</v>
      </c>
      <c r="D542" s="1">
        <v>45602</v>
      </c>
      <c r="E542" t="s">
        <v>1066</v>
      </c>
      <c r="F542" t="s">
        <v>570</v>
      </c>
      <c r="G542" t="s">
        <v>1070</v>
      </c>
      <c r="H542" t="str">
        <f t="shared" si="56"/>
        <v>Furniture</v>
      </c>
      <c r="I542">
        <v>10</v>
      </c>
      <c r="J542" t="str">
        <f>VLOOKUP(K542,$AJ$2:$AK$7,2,FALSE)</f>
        <v>S006</v>
      </c>
      <c r="K542" t="s">
        <v>1102</v>
      </c>
      <c r="L542">
        <v>3.1</v>
      </c>
      <c r="M542" t="str">
        <f>IFERROR(VLOOKUP(TRIM(N542),$AP$2:$AQ$12,2,FALSE),"W001")</f>
        <v>W007</v>
      </c>
      <c r="N542" t="s">
        <v>1062</v>
      </c>
      <c r="O542" t="s">
        <v>1060</v>
      </c>
      <c r="P542" t="str">
        <f>VLOOKUP(O542,$AL$2:$AM$12,2,FALSE)</f>
        <v>North</v>
      </c>
      <c r="Q542" t="s">
        <v>1080</v>
      </c>
      <c r="R542">
        <v>202</v>
      </c>
      <c r="S542" t="s">
        <v>1066</v>
      </c>
      <c r="T542">
        <f t="shared" si="57"/>
        <v>3</v>
      </c>
      <c r="U542">
        <v>30.3</v>
      </c>
      <c r="V542">
        <f t="shared" si="58"/>
        <v>4</v>
      </c>
      <c r="W542" t="s">
        <v>1088</v>
      </c>
      <c r="X542" t="s">
        <v>1091</v>
      </c>
      <c r="Y542">
        <f t="shared" si="59"/>
        <v>0</v>
      </c>
      <c r="Z542" t="s">
        <v>1108</v>
      </c>
      <c r="AA542" t="str">
        <f t="shared" si="60"/>
        <v>Low</v>
      </c>
      <c r="AB542" t="s">
        <v>1103</v>
      </c>
      <c r="AC542" t="str">
        <f t="shared" si="61"/>
        <v>Yes</v>
      </c>
      <c r="AD542">
        <v>5</v>
      </c>
      <c r="AE542">
        <v>30110</v>
      </c>
      <c r="AF542">
        <v>12044</v>
      </c>
      <c r="AG542">
        <f t="shared" si="62"/>
        <v>18035.7</v>
      </c>
    </row>
    <row r="543" spans="1:33" x14ac:dyDescent="0.25">
      <c r="A543">
        <v>1542</v>
      </c>
      <c r="B543" s="1">
        <v>45685</v>
      </c>
      <c r="C543" s="1">
        <v>45688</v>
      </c>
      <c r="D543" s="1">
        <v>45691</v>
      </c>
      <c r="E543" t="s">
        <v>1064</v>
      </c>
      <c r="F543" t="s">
        <v>571</v>
      </c>
      <c r="G543" t="s">
        <v>1067</v>
      </c>
      <c r="H543" t="str">
        <f t="shared" si="56"/>
        <v>Clothing</v>
      </c>
      <c r="I543">
        <v>1</v>
      </c>
      <c r="J543" t="str">
        <f>VLOOKUP(K543,$AJ$2:$AK$7,2,FALSE)</f>
        <v>S004</v>
      </c>
      <c r="K543" t="s">
        <v>1100</v>
      </c>
      <c r="L543">
        <v>3.9</v>
      </c>
      <c r="M543" t="str">
        <f>IFERROR(VLOOKUP(TRIM(N543),$AP$2:$AQ$12,2,FALSE),"W001")</f>
        <v>W002</v>
      </c>
      <c r="N543" t="s">
        <v>1049</v>
      </c>
      <c r="O543" t="s">
        <v>1049</v>
      </c>
      <c r="P543" t="str">
        <f>VLOOKUP(O543,$AL$2:$AM$12,2,FALSE)</f>
        <v>North</v>
      </c>
      <c r="Q543" t="s">
        <v>1084</v>
      </c>
      <c r="R543">
        <v>17</v>
      </c>
      <c r="S543" t="s">
        <v>1079</v>
      </c>
      <c r="T543">
        <f t="shared" si="57"/>
        <v>1</v>
      </c>
      <c r="U543">
        <v>5.0999999999999996</v>
      </c>
      <c r="V543">
        <f t="shared" si="58"/>
        <v>6</v>
      </c>
      <c r="W543" t="s">
        <v>1086</v>
      </c>
      <c r="X543" t="s">
        <v>1090</v>
      </c>
      <c r="Y543">
        <f t="shared" si="59"/>
        <v>5.0999999999999996</v>
      </c>
      <c r="Z543" t="s">
        <v>1108</v>
      </c>
      <c r="AA543" t="str">
        <f t="shared" si="60"/>
        <v>Low</v>
      </c>
      <c r="AB543" t="s">
        <v>1103</v>
      </c>
      <c r="AC543" t="str">
        <f t="shared" si="61"/>
        <v>Yes</v>
      </c>
      <c r="AD543">
        <v>5</v>
      </c>
      <c r="AE543">
        <v>1256</v>
      </c>
      <c r="AF543">
        <v>502.40000000000003</v>
      </c>
      <c r="AG543">
        <f t="shared" si="62"/>
        <v>748.49999999999989</v>
      </c>
    </row>
    <row r="544" spans="1:33" x14ac:dyDescent="0.25">
      <c r="A544">
        <v>1543</v>
      </c>
      <c r="B544" s="1">
        <v>45800</v>
      </c>
      <c r="C544" s="1">
        <v>45802</v>
      </c>
      <c r="D544" s="1">
        <v>45805</v>
      </c>
      <c r="E544" t="s">
        <v>1065</v>
      </c>
      <c r="F544" t="s">
        <v>572</v>
      </c>
      <c r="G544" t="s">
        <v>1072</v>
      </c>
      <c r="H544" t="str">
        <f t="shared" si="56"/>
        <v>Electronics</v>
      </c>
      <c r="I544">
        <v>10</v>
      </c>
      <c r="J544" t="str">
        <f>VLOOKUP(K544,$AJ$2:$AK$7,2,FALSE)</f>
        <v>S006</v>
      </c>
      <c r="K544" t="s">
        <v>1102</v>
      </c>
      <c r="L544">
        <v>4.9000000000000004</v>
      </c>
      <c r="M544" t="str">
        <f>IFERROR(VLOOKUP(TRIM(N544),$AP$2:$AQ$12,2,FALSE),"W001")</f>
        <v>W008</v>
      </c>
      <c r="N544" t="s">
        <v>1061</v>
      </c>
      <c r="O544" t="s">
        <v>1053</v>
      </c>
      <c r="P544" t="str">
        <f>VLOOKUP(O544,$AL$2:$AM$12,2,FALSE)</f>
        <v>South</v>
      </c>
      <c r="Q544" t="s">
        <v>1081</v>
      </c>
      <c r="R544">
        <v>582</v>
      </c>
      <c r="S544" t="s">
        <v>1066</v>
      </c>
      <c r="T544">
        <f t="shared" si="57"/>
        <v>3</v>
      </c>
      <c r="U544">
        <v>116.4</v>
      </c>
      <c r="V544">
        <f t="shared" si="58"/>
        <v>5</v>
      </c>
      <c r="W544" t="s">
        <v>1088</v>
      </c>
      <c r="X544" t="s">
        <v>1090</v>
      </c>
      <c r="Y544">
        <f t="shared" si="59"/>
        <v>0</v>
      </c>
      <c r="Z544" t="s">
        <v>1108</v>
      </c>
      <c r="AA544" t="str">
        <f t="shared" si="60"/>
        <v>Low</v>
      </c>
      <c r="AB544" t="s">
        <v>1103</v>
      </c>
      <c r="AC544" t="str">
        <f t="shared" si="61"/>
        <v>Yes</v>
      </c>
      <c r="AD544">
        <v>4</v>
      </c>
      <c r="AE544">
        <v>245080</v>
      </c>
      <c r="AF544">
        <v>98032</v>
      </c>
      <c r="AG544">
        <f t="shared" si="62"/>
        <v>146931.6</v>
      </c>
    </row>
    <row r="545" spans="1:33" x14ac:dyDescent="0.25">
      <c r="A545">
        <v>1544</v>
      </c>
      <c r="B545" s="1">
        <v>46260</v>
      </c>
      <c r="C545" s="1">
        <v>46262</v>
      </c>
      <c r="D545" s="1">
        <v>46269</v>
      </c>
      <c r="E545" t="s">
        <v>1065</v>
      </c>
      <c r="F545" t="s">
        <v>573</v>
      </c>
      <c r="G545" t="s">
        <v>1069</v>
      </c>
      <c r="H545" t="str">
        <f t="shared" si="56"/>
        <v>Furniture</v>
      </c>
      <c r="I545">
        <v>9</v>
      </c>
      <c r="J545" t="str">
        <f>VLOOKUP(K545,$AJ$2:$AK$7,2,FALSE)</f>
        <v>S005</v>
      </c>
      <c r="K545" t="s">
        <v>1101</v>
      </c>
      <c r="L545">
        <v>5</v>
      </c>
      <c r="M545" t="str">
        <f>IFERROR(VLOOKUP(TRIM(N545),$AP$2:$AQ$12,2,FALSE),"W001")</f>
        <v>W002</v>
      </c>
      <c r="N545" t="s">
        <v>1049</v>
      </c>
      <c r="O545" t="s">
        <v>1047</v>
      </c>
      <c r="P545" t="str">
        <f>VLOOKUP(O545,$AL$2:$AM$12,2,FALSE)</f>
        <v>West</v>
      </c>
      <c r="Q545" t="s">
        <v>1082</v>
      </c>
      <c r="R545">
        <v>1409</v>
      </c>
      <c r="S545" t="s">
        <v>1078</v>
      </c>
      <c r="T545">
        <f t="shared" si="57"/>
        <v>4</v>
      </c>
      <c r="U545">
        <v>563.6</v>
      </c>
      <c r="V545">
        <f t="shared" si="58"/>
        <v>8</v>
      </c>
      <c r="W545" t="s">
        <v>1087</v>
      </c>
      <c r="X545" t="s">
        <v>1091</v>
      </c>
      <c r="Y545">
        <f t="shared" si="59"/>
        <v>0</v>
      </c>
      <c r="Z545" t="s">
        <v>1109</v>
      </c>
      <c r="AA545" t="str">
        <f t="shared" si="60"/>
        <v>High</v>
      </c>
      <c r="AB545" t="s">
        <v>1103</v>
      </c>
      <c r="AC545" t="str">
        <f t="shared" si="61"/>
        <v>No</v>
      </c>
      <c r="AD545">
        <v>2</v>
      </c>
      <c r="AE545">
        <v>69462</v>
      </c>
      <c r="AF545">
        <v>27784.800000000003</v>
      </c>
      <c r="AG545">
        <f t="shared" si="62"/>
        <v>41113.599999999999</v>
      </c>
    </row>
    <row r="546" spans="1:33" x14ac:dyDescent="0.25">
      <c r="A546">
        <v>1545</v>
      </c>
      <c r="B546" s="1">
        <v>46340</v>
      </c>
      <c r="C546" s="1">
        <v>46343</v>
      </c>
      <c r="D546" s="1">
        <v>46347</v>
      </c>
      <c r="E546" t="s">
        <v>1066</v>
      </c>
      <c r="F546" t="s">
        <v>574</v>
      </c>
      <c r="G546" t="s">
        <v>1069</v>
      </c>
      <c r="H546" t="str">
        <f t="shared" si="56"/>
        <v>Furniture</v>
      </c>
      <c r="I546">
        <v>9</v>
      </c>
      <c r="J546" t="str">
        <f>VLOOKUP(K546,$AJ$2:$AK$7,2,FALSE)</f>
        <v>S002</v>
      </c>
      <c r="K546" t="s">
        <v>1098</v>
      </c>
      <c r="L546">
        <v>4.4000000000000004</v>
      </c>
      <c r="M546" t="str">
        <f>IFERROR(VLOOKUP(TRIM(N546),$AP$2:$AQ$12,2,FALSE),"W001")</f>
        <v>W011</v>
      </c>
      <c r="N546" t="s">
        <v>1059</v>
      </c>
      <c r="O546" t="s">
        <v>1051</v>
      </c>
      <c r="P546" t="str">
        <f>VLOOKUP(O546,$AL$2:$AM$12,2,FALSE)</f>
        <v>West</v>
      </c>
      <c r="Q546" t="s">
        <v>1081</v>
      </c>
      <c r="R546">
        <v>336</v>
      </c>
      <c r="S546" t="s">
        <v>1066</v>
      </c>
      <c r="T546">
        <f t="shared" si="57"/>
        <v>2</v>
      </c>
      <c r="U546">
        <v>67.2</v>
      </c>
      <c r="V546">
        <f t="shared" si="58"/>
        <v>5</v>
      </c>
      <c r="W546" t="s">
        <v>1087</v>
      </c>
      <c r="X546" t="s">
        <v>1091</v>
      </c>
      <c r="Y546">
        <f t="shared" si="59"/>
        <v>0</v>
      </c>
      <c r="Z546" t="s">
        <v>1108</v>
      </c>
      <c r="AA546" t="str">
        <f t="shared" si="60"/>
        <v>Low</v>
      </c>
      <c r="AB546" t="s">
        <v>1103</v>
      </c>
      <c r="AC546" t="str">
        <f t="shared" si="61"/>
        <v>Yes</v>
      </c>
      <c r="AD546">
        <v>4</v>
      </c>
      <c r="AE546">
        <v>132273</v>
      </c>
      <c r="AF546">
        <v>52909.200000000004</v>
      </c>
      <c r="AG546">
        <f t="shared" si="62"/>
        <v>79296.599999999991</v>
      </c>
    </row>
    <row r="547" spans="1:33" x14ac:dyDescent="0.25">
      <c r="A547">
        <v>1546</v>
      </c>
      <c r="B547" s="1">
        <v>45208</v>
      </c>
      <c r="C547" s="1">
        <v>45209</v>
      </c>
      <c r="D547" s="1">
        <v>45216</v>
      </c>
      <c r="E547" t="s">
        <v>1065</v>
      </c>
      <c r="F547" t="s">
        <v>575</v>
      </c>
      <c r="G547" t="s">
        <v>1072</v>
      </c>
      <c r="H547" t="str">
        <f t="shared" si="56"/>
        <v>Electronics</v>
      </c>
      <c r="I547">
        <v>9</v>
      </c>
      <c r="J547" t="str">
        <f>VLOOKUP(K547,$AJ$2:$AK$7,2,FALSE)</f>
        <v>S005</v>
      </c>
      <c r="K547" t="s">
        <v>1101</v>
      </c>
      <c r="L547">
        <v>3</v>
      </c>
      <c r="M547" t="str">
        <f>IFERROR(VLOOKUP(TRIM(N547),$AP$2:$AQ$12,2,FALSE),"W001")</f>
        <v>W004</v>
      </c>
      <c r="N547" t="s">
        <v>1053</v>
      </c>
      <c r="O547" t="s">
        <v>1055</v>
      </c>
      <c r="P547" t="str">
        <f>VLOOKUP(O547,$AL$2:$AM$12,2,FALSE)</f>
        <v>South</v>
      </c>
      <c r="Q547" t="s">
        <v>1083</v>
      </c>
      <c r="R547">
        <v>768</v>
      </c>
      <c r="S547" t="s">
        <v>1066</v>
      </c>
      <c r="T547">
        <f t="shared" si="57"/>
        <v>2</v>
      </c>
      <c r="U547">
        <v>384</v>
      </c>
      <c r="V547">
        <f t="shared" si="58"/>
        <v>10</v>
      </c>
      <c r="W547" t="s">
        <v>1088</v>
      </c>
      <c r="X547" t="s">
        <v>1091</v>
      </c>
      <c r="Y547">
        <f t="shared" si="59"/>
        <v>0</v>
      </c>
      <c r="Z547" t="s">
        <v>1108</v>
      </c>
      <c r="AA547" t="str">
        <f t="shared" si="60"/>
        <v>Medium</v>
      </c>
      <c r="AB547" t="s">
        <v>1103</v>
      </c>
      <c r="AC547" t="str">
        <f t="shared" si="61"/>
        <v>Yes</v>
      </c>
      <c r="AD547">
        <v>4</v>
      </c>
      <c r="AE547">
        <v>245484</v>
      </c>
      <c r="AF547">
        <v>98193.600000000006</v>
      </c>
      <c r="AG547">
        <f t="shared" si="62"/>
        <v>146906.4</v>
      </c>
    </row>
    <row r="548" spans="1:33" x14ac:dyDescent="0.25">
      <c r="A548">
        <v>1547</v>
      </c>
      <c r="B548" s="1">
        <v>45777</v>
      </c>
      <c r="C548" s="1">
        <v>45780</v>
      </c>
      <c r="D548" s="1">
        <v>45784</v>
      </c>
      <c r="E548" t="s">
        <v>1066</v>
      </c>
      <c r="F548" t="s">
        <v>576</v>
      </c>
      <c r="G548" t="s">
        <v>1069</v>
      </c>
      <c r="H548" t="str">
        <f t="shared" si="56"/>
        <v>Furniture</v>
      </c>
      <c r="I548">
        <v>3</v>
      </c>
      <c r="J548" t="str">
        <f>VLOOKUP(K548,$AJ$2:$AK$7,2,FALSE)</f>
        <v>S005</v>
      </c>
      <c r="K548" t="s">
        <v>1101</v>
      </c>
      <c r="L548">
        <v>3.3</v>
      </c>
      <c r="M548" t="str">
        <f>IFERROR(VLOOKUP(TRIM(N548),$AP$2:$AQ$12,2,FALSE),"W001")</f>
        <v>W007</v>
      </c>
      <c r="N548" t="s">
        <v>1062</v>
      </c>
      <c r="O548" t="s">
        <v>1055</v>
      </c>
      <c r="P548" t="str">
        <f>VLOOKUP(O548,$AL$2:$AM$12,2,FALSE)</f>
        <v>South</v>
      </c>
      <c r="Q548" t="s">
        <v>1084</v>
      </c>
      <c r="R548">
        <v>1288</v>
      </c>
      <c r="S548" t="s">
        <v>1078</v>
      </c>
      <c r="T548">
        <f t="shared" si="57"/>
        <v>5</v>
      </c>
      <c r="U548">
        <v>386.4</v>
      </c>
      <c r="V548">
        <f t="shared" si="58"/>
        <v>6</v>
      </c>
      <c r="W548" t="s">
        <v>1088</v>
      </c>
      <c r="X548" t="s">
        <v>1091</v>
      </c>
      <c r="Y548">
        <f t="shared" si="59"/>
        <v>0</v>
      </c>
      <c r="Z548" t="s">
        <v>1108</v>
      </c>
      <c r="AA548" t="str">
        <f t="shared" si="60"/>
        <v>Low</v>
      </c>
      <c r="AB548" t="s">
        <v>1103</v>
      </c>
      <c r="AC548" t="str">
        <f t="shared" si="61"/>
        <v>Yes</v>
      </c>
      <c r="AD548">
        <v>5</v>
      </c>
      <c r="AE548">
        <v>25338</v>
      </c>
      <c r="AF548">
        <v>10135.200000000001</v>
      </c>
      <c r="AG548">
        <f t="shared" si="62"/>
        <v>14816.4</v>
      </c>
    </row>
    <row r="549" spans="1:33" x14ac:dyDescent="0.25">
      <c r="A549">
        <v>1548</v>
      </c>
      <c r="B549" s="1">
        <v>44246</v>
      </c>
      <c r="C549" s="1">
        <v>44247</v>
      </c>
      <c r="D549" s="1">
        <v>44252</v>
      </c>
      <c r="E549" t="s">
        <v>1066</v>
      </c>
      <c r="F549" t="s">
        <v>577</v>
      </c>
      <c r="G549" t="s">
        <v>1068</v>
      </c>
      <c r="H549" t="str">
        <f t="shared" si="56"/>
        <v>Electronics</v>
      </c>
      <c r="I549">
        <v>3</v>
      </c>
      <c r="J549" t="str">
        <f>VLOOKUP(K549,$AJ$2:$AK$7,2,FALSE)</f>
        <v>S002</v>
      </c>
      <c r="K549" t="s">
        <v>1098</v>
      </c>
      <c r="L549">
        <v>3.5</v>
      </c>
      <c r="M549" t="str">
        <f>IFERROR(VLOOKUP(TRIM(N549),$AP$2:$AQ$12,2,FALSE),"W001")</f>
        <v>W001</v>
      </c>
      <c r="N549" t="s">
        <v>1047</v>
      </c>
      <c r="O549" t="s">
        <v>1057</v>
      </c>
      <c r="P549" t="str">
        <f>VLOOKUP(O549,$AL$2:$AM$12,2,FALSE)</f>
        <v>South</v>
      </c>
      <c r="Q549" t="s">
        <v>1083</v>
      </c>
      <c r="R549">
        <v>1593</v>
      </c>
      <c r="S549" t="s">
        <v>1078</v>
      </c>
      <c r="T549">
        <f t="shared" si="57"/>
        <v>3</v>
      </c>
      <c r="U549">
        <v>796.5</v>
      </c>
      <c r="V549">
        <f t="shared" si="58"/>
        <v>10</v>
      </c>
      <c r="W549" t="s">
        <v>1087</v>
      </c>
      <c r="X549" t="s">
        <v>1091</v>
      </c>
      <c r="Y549">
        <f t="shared" si="59"/>
        <v>0</v>
      </c>
      <c r="Z549" t="s">
        <v>1108</v>
      </c>
      <c r="AA549" t="str">
        <f t="shared" si="60"/>
        <v>Medium</v>
      </c>
      <c r="AB549" t="s">
        <v>1103</v>
      </c>
      <c r="AC549" t="str">
        <f t="shared" si="61"/>
        <v>Yes</v>
      </c>
      <c r="AD549">
        <v>5</v>
      </c>
      <c r="AE549">
        <v>195042</v>
      </c>
      <c r="AF549">
        <v>78016.800000000003</v>
      </c>
      <c r="AG549">
        <f t="shared" si="62"/>
        <v>116228.7</v>
      </c>
    </row>
    <row r="550" spans="1:33" x14ac:dyDescent="0.25">
      <c r="A550">
        <v>1549</v>
      </c>
      <c r="B550" s="1">
        <v>44875</v>
      </c>
      <c r="C550" s="1">
        <v>44876</v>
      </c>
      <c r="D550" s="1">
        <v>44883</v>
      </c>
      <c r="E550" t="s">
        <v>1064</v>
      </c>
      <c r="F550" t="s">
        <v>578</v>
      </c>
      <c r="G550" t="s">
        <v>1069</v>
      </c>
      <c r="H550" t="str">
        <f t="shared" si="56"/>
        <v>Furniture</v>
      </c>
      <c r="I550">
        <v>4</v>
      </c>
      <c r="J550" t="str">
        <f>VLOOKUP(K550,$AJ$2:$AK$7,2,FALSE)</f>
        <v>S006</v>
      </c>
      <c r="K550" t="s">
        <v>1102</v>
      </c>
      <c r="L550">
        <v>4.2</v>
      </c>
      <c r="M550" t="str">
        <f>IFERROR(VLOOKUP(TRIM(N550),$AP$2:$AQ$12,2,FALSE),"W001")</f>
        <v>W008</v>
      </c>
      <c r="N550" t="s">
        <v>1061</v>
      </c>
      <c r="O550" t="s">
        <v>1055</v>
      </c>
      <c r="P550" t="str">
        <f>VLOOKUP(O550,$AL$2:$AM$12,2,FALSE)</f>
        <v>South</v>
      </c>
      <c r="Q550" t="s">
        <v>1084</v>
      </c>
      <c r="R550">
        <v>468</v>
      </c>
      <c r="S550" t="s">
        <v>1066</v>
      </c>
      <c r="T550">
        <f t="shared" si="57"/>
        <v>2</v>
      </c>
      <c r="U550">
        <v>140.4</v>
      </c>
      <c r="V550">
        <f t="shared" si="58"/>
        <v>6</v>
      </c>
      <c r="W550" t="s">
        <v>1088</v>
      </c>
      <c r="X550" t="s">
        <v>1089</v>
      </c>
      <c r="Y550">
        <f t="shared" si="59"/>
        <v>0</v>
      </c>
      <c r="Z550" t="s">
        <v>1108</v>
      </c>
      <c r="AA550" t="str">
        <f t="shared" si="60"/>
        <v>Low</v>
      </c>
      <c r="AB550" t="s">
        <v>1103</v>
      </c>
      <c r="AC550" t="str">
        <f t="shared" si="61"/>
        <v>Yes</v>
      </c>
      <c r="AD550">
        <v>4</v>
      </c>
      <c r="AE550">
        <v>33840</v>
      </c>
      <c r="AF550">
        <v>13536</v>
      </c>
      <c r="AG550">
        <f t="shared" si="62"/>
        <v>20163.599999999999</v>
      </c>
    </row>
    <row r="551" spans="1:33" x14ac:dyDescent="0.25">
      <c r="A551">
        <v>1550</v>
      </c>
      <c r="B551" s="1">
        <v>45461</v>
      </c>
      <c r="C551" s="1">
        <v>45462</v>
      </c>
      <c r="D551" s="1">
        <v>45466</v>
      </c>
      <c r="E551" t="s">
        <v>1066</v>
      </c>
      <c r="F551" t="s">
        <v>579</v>
      </c>
      <c r="G551" t="s">
        <v>1070</v>
      </c>
      <c r="H551" t="str">
        <f t="shared" si="56"/>
        <v>Furniture</v>
      </c>
      <c r="I551">
        <v>9</v>
      </c>
      <c r="J551" t="str">
        <f>VLOOKUP(K551,$AJ$2:$AK$7,2,FALSE)</f>
        <v>S003</v>
      </c>
      <c r="K551" t="s">
        <v>1099</v>
      </c>
      <c r="L551">
        <v>4</v>
      </c>
      <c r="M551" t="str">
        <f>IFERROR(VLOOKUP(TRIM(N551),$AP$2:$AQ$12,2,FALSE),"W001")</f>
        <v>W005</v>
      </c>
      <c r="N551" t="s">
        <v>1055</v>
      </c>
      <c r="O551" t="s">
        <v>1051</v>
      </c>
      <c r="P551" t="str">
        <f>VLOOKUP(O551,$AL$2:$AM$12,2,FALSE)</f>
        <v>West</v>
      </c>
      <c r="Q551" t="s">
        <v>1082</v>
      </c>
      <c r="R551">
        <v>1246</v>
      </c>
      <c r="S551" t="s">
        <v>1078</v>
      </c>
      <c r="T551">
        <f t="shared" si="57"/>
        <v>3</v>
      </c>
      <c r="U551">
        <v>498.4</v>
      </c>
      <c r="V551">
        <f t="shared" si="58"/>
        <v>8</v>
      </c>
      <c r="W551" t="s">
        <v>1088</v>
      </c>
      <c r="X551" t="s">
        <v>1090</v>
      </c>
      <c r="Y551">
        <f t="shared" si="59"/>
        <v>0</v>
      </c>
      <c r="Z551" t="s">
        <v>1109</v>
      </c>
      <c r="AA551" t="str">
        <f t="shared" si="60"/>
        <v>High</v>
      </c>
      <c r="AB551" t="s">
        <v>1103</v>
      </c>
      <c r="AC551" t="str">
        <f t="shared" si="61"/>
        <v>No</v>
      </c>
      <c r="AD551">
        <v>2</v>
      </c>
      <c r="AE551">
        <v>24075</v>
      </c>
      <c r="AF551">
        <v>9630</v>
      </c>
      <c r="AG551">
        <f t="shared" si="62"/>
        <v>13946.6</v>
      </c>
    </row>
    <row r="552" spans="1:33" x14ac:dyDescent="0.25">
      <c r="A552">
        <v>1551</v>
      </c>
      <c r="B552" s="1">
        <v>46243</v>
      </c>
      <c r="C552" s="1">
        <v>46245</v>
      </c>
      <c r="D552" s="1">
        <v>46252</v>
      </c>
      <c r="E552" t="s">
        <v>1064</v>
      </c>
      <c r="F552" t="s">
        <v>580</v>
      </c>
      <c r="G552" t="s">
        <v>1070</v>
      </c>
      <c r="H552" t="str">
        <f t="shared" si="56"/>
        <v>Furniture</v>
      </c>
      <c r="I552">
        <v>5</v>
      </c>
      <c r="J552" t="str">
        <f>VLOOKUP(K552,$AJ$2:$AK$7,2,FALSE)</f>
        <v>S001</v>
      </c>
      <c r="K552" t="s">
        <v>1097</v>
      </c>
      <c r="L552">
        <v>4.0999999999999996</v>
      </c>
      <c r="M552" t="str">
        <f>IFERROR(VLOOKUP(TRIM(N552),$AP$2:$AQ$12,2,FALSE),"W001")</f>
        <v>W001</v>
      </c>
      <c r="N552" t="s">
        <v>1047</v>
      </c>
      <c r="O552" t="s">
        <v>1053</v>
      </c>
      <c r="P552" t="str">
        <f>VLOOKUP(O552,$AL$2:$AM$12,2,FALSE)</f>
        <v>South</v>
      </c>
      <c r="Q552" t="s">
        <v>1080</v>
      </c>
      <c r="R552">
        <v>250</v>
      </c>
      <c r="S552" t="s">
        <v>1066</v>
      </c>
      <c r="T552">
        <f t="shared" si="57"/>
        <v>3</v>
      </c>
      <c r="U552">
        <v>37.5</v>
      </c>
      <c r="V552">
        <f t="shared" si="58"/>
        <v>4</v>
      </c>
      <c r="W552" t="s">
        <v>1088</v>
      </c>
      <c r="X552" t="s">
        <v>1091</v>
      </c>
      <c r="Y552">
        <f t="shared" si="59"/>
        <v>0</v>
      </c>
      <c r="Z552" t="s">
        <v>1108</v>
      </c>
      <c r="AA552" t="str">
        <f t="shared" si="60"/>
        <v>Low</v>
      </c>
      <c r="AB552" t="s">
        <v>1103</v>
      </c>
      <c r="AC552" t="str">
        <f t="shared" si="61"/>
        <v>Yes</v>
      </c>
      <c r="AD552">
        <v>5</v>
      </c>
      <c r="AE552">
        <v>36970</v>
      </c>
      <c r="AF552">
        <v>14788</v>
      </c>
      <c r="AG552">
        <f t="shared" si="62"/>
        <v>22144.5</v>
      </c>
    </row>
    <row r="553" spans="1:33" x14ac:dyDescent="0.25">
      <c r="A553">
        <v>1552</v>
      </c>
      <c r="B553" s="1">
        <v>45440</v>
      </c>
      <c r="C553" s="1">
        <v>45442</v>
      </c>
      <c r="D553" s="1">
        <v>45449</v>
      </c>
      <c r="E553" t="s">
        <v>1064</v>
      </c>
      <c r="F553" t="s">
        <v>581</v>
      </c>
      <c r="G553" t="s">
        <v>1067</v>
      </c>
      <c r="H553" t="str">
        <f t="shared" si="56"/>
        <v>Clothing</v>
      </c>
      <c r="I553">
        <v>10</v>
      </c>
      <c r="J553" t="str">
        <f>VLOOKUP(K553,$AJ$2:$AK$7,2,FALSE)</f>
        <v>S001</v>
      </c>
      <c r="K553" t="s">
        <v>1097</v>
      </c>
      <c r="L553">
        <v>3.1</v>
      </c>
      <c r="M553" t="str">
        <f>IFERROR(VLOOKUP(TRIM(N553),$AP$2:$AQ$12,2,FALSE),"W001")</f>
        <v>W001</v>
      </c>
      <c r="N553" t="s">
        <v>1047</v>
      </c>
      <c r="O553" t="s">
        <v>1049</v>
      </c>
      <c r="P553" t="str">
        <f>VLOOKUP(O553,$AL$2:$AM$12,2,FALSE)</f>
        <v>North</v>
      </c>
      <c r="Q553" t="s">
        <v>1080</v>
      </c>
      <c r="R553">
        <v>1962</v>
      </c>
      <c r="S553" t="s">
        <v>1078</v>
      </c>
      <c r="T553">
        <f t="shared" si="57"/>
        <v>9</v>
      </c>
      <c r="U553">
        <v>294.3</v>
      </c>
      <c r="V553">
        <f t="shared" si="58"/>
        <v>4</v>
      </c>
      <c r="W553" t="s">
        <v>1088</v>
      </c>
      <c r="X553" t="s">
        <v>1091</v>
      </c>
      <c r="Y553">
        <f t="shared" si="59"/>
        <v>0</v>
      </c>
      <c r="Z553" t="s">
        <v>1109</v>
      </c>
      <c r="AA553" t="str">
        <f t="shared" si="60"/>
        <v>High</v>
      </c>
      <c r="AB553" t="s">
        <v>1104</v>
      </c>
      <c r="AC553" t="str">
        <f t="shared" si="61"/>
        <v>No</v>
      </c>
      <c r="AD553">
        <v>1</v>
      </c>
      <c r="AE553">
        <v>12680</v>
      </c>
      <c r="AF553">
        <v>5072</v>
      </c>
      <c r="AG553">
        <f t="shared" si="62"/>
        <v>7313.7</v>
      </c>
    </row>
    <row r="554" spans="1:33" x14ac:dyDescent="0.25">
      <c r="A554">
        <v>1553</v>
      </c>
      <c r="B554" s="1">
        <v>44555</v>
      </c>
      <c r="C554" s="1">
        <v>44558</v>
      </c>
      <c r="D554" s="1">
        <v>44562</v>
      </c>
      <c r="E554" t="s">
        <v>1065</v>
      </c>
      <c r="F554" t="s">
        <v>582</v>
      </c>
      <c r="G554" t="s">
        <v>1069</v>
      </c>
      <c r="H554" t="str">
        <f t="shared" si="56"/>
        <v>Furniture</v>
      </c>
      <c r="I554">
        <v>7</v>
      </c>
      <c r="J554" t="str">
        <f>VLOOKUP(K554,$AJ$2:$AK$7,2,FALSE)</f>
        <v>S004</v>
      </c>
      <c r="K554" t="s">
        <v>1100</v>
      </c>
      <c r="L554">
        <v>3.6</v>
      </c>
      <c r="M554" t="str">
        <f>IFERROR(VLOOKUP(TRIM(N554),$AP$2:$AQ$12,2,FALSE),"W001")</f>
        <v>W005</v>
      </c>
      <c r="N554" t="s">
        <v>1055</v>
      </c>
      <c r="O554" t="s">
        <v>1051</v>
      </c>
      <c r="P554" t="str">
        <f>VLOOKUP(O554,$AL$2:$AM$12,2,FALSE)</f>
        <v>West</v>
      </c>
      <c r="Q554" t="s">
        <v>1083</v>
      </c>
      <c r="R554">
        <v>910</v>
      </c>
      <c r="S554" t="s">
        <v>1078</v>
      </c>
      <c r="T554">
        <f t="shared" si="57"/>
        <v>2</v>
      </c>
      <c r="U554">
        <v>455</v>
      </c>
      <c r="V554">
        <f t="shared" si="58"/>
        <v>10</v>
      </c>
      <c r="W554" t="s">
        <v>1087</v>
      </c>
      <c r="X554" t="s">
        <v>1091</v>
      </c>
      <c r="Y554">
        <f t="shared" si="59"/>
        <v>0</v>
      </c>
      <c r="Z554" t="s">
        <v>1108</v>
      </c>
      <c r="AA554" t="str">
        <f t="shared" si="60"/>
        <v>Medium</v>
      </c>
      <c r="AB554" t="s">
        <v>1103</v>
      </c>
      <c r="AC554" t="str">
        <f t="shared" si="61"/>
        <v>Yes</v>
      </c>
      <c r="AD554">
        <v>5</v>
      </c>
      <c r="AE554">
        <v>78736</v>
      </c>
      <c r="AF554">
        <v>31494.400000000001</v>
      </c>
      <c r="AG554">
        <f t="shared" si="62"/>
        <v>46786.6</v>
      </c>
    </row>
    <row r="555" spans="1:33" x14ac:dyDescent="0.25">
      <c r="A555">
        <v>1554</v>
      </c>
      <c r="B555" s="1">
        <v>45224</v>
      </c>
      <c r="C555" s="1">
        <v>45227</v>
      </c>
      <c r="D555" s="1">
        <v>45234</v>
      </c>
      <c r="E555" t="s">
        <v>1065</v>
      </c>
      <c r="F555" t="s">
        <v>583</v>
      </c>
      <c r="G555" t="s">
        <v>1068</v>
      </c>
      <c r="H555" t="str">
        <f t="shared" si="56"/>
        <v>Electronics</v>
      </c>
      <c r="I555">
        <v>4</v>
      </c>
      <c r="J555" t="str">
        <f>VLOOKUP(K555,$AJ$2:$AK$7,2,FALSE)</f>
        <v>S006</v>
      </c>
      <c r="K555" t="s">
        <v>1102</v>
      </c>
      <c r="L555">
        <v>4.3</v>
      </c>
      <c r="M555" t="str">
        <f>IFERROR(VLOOKUP(TRIM(N555),$AP$2:$AQ$12,2,FALSE),"W001")</f>
        <v>W007</v>
      </c>
      <c r="N555" t="s">
        <v>1062</v>
      </c>
      <c r="O555" t="s">
        <v>1055</v>
      </c>
      <c r="P555" t="str">
        <f>VLOOKUP(O555,$AL$2:$AM$12,2,FALSE)</f>
        <v>South</v>
      </c>
      <c r="Q555" t="s">
        <v>1080</v>
      </c>
      <c r="R555">
        <v>456</v>
      </c>
      <c r="S555" t="s">
        <v>1066</v>
      </c>
      <c r="T555">
        <f t="shared" si="57"/>
        <v>4</v>
      </c>
      <c r="U555">
        <v>68.400000000000006</v>
      </c>
      <c r="V555">
        <f t="shared" si="58"/>
        <v>4</v>
      </c>
      <c r="W555" t="s">
        <v>1088</v>
      </c>
      <c r="X555" t="s">
        <v>1091</v>
      </c>
      <c r="Y555">
        <f t="shared" si="59"/>
        <v>0</v>
      </c>
      <c r="Z555" t="s">
        <v>1108</v>
      </c>
      <c r="AA555" t="str">
        <f t="shared" si="60"/>
        <v>Low</v>
      </c>
      <c r="AB555" t="s">
        <v>1103</v>
      </c>
      <c r="AC555" t="str">
        <f t="shared" si="61"/>
        <v>Yes</v>
      </c>
      <c r="AD555">
        <v>5</v>
      </c>
      <c r="AE555">
        <v>182916</v>
      </c>
      <c r="AF555">
        <v>73166.400000000009</v>
      </c>
      <c r="AG555">
        <f t="shared" si="62"/>
        <v>109681.2</v>
      </c>
    </row>
    <row r="556" spans="1:33" x14ac:dyDescent="0.25">
      <c r="A556">
        <v>1555</v>
      </c>
      <c r="B556" s="1">
        <v>44456</v>
      </c>
      <c r="C556" s="1">
        <v>44458</v>
      </c>
      <c r="D556" s="1">
        <v>44463</v>
      </c>
      <c r="E556" t="s">
        <v>1066</v>
      </c>
      <c r="F556" t="s">
        <v>584</v>
      </c>
      <c r="G556" t="s">
        <v>1067</v>
      </c>
      <c r="H556" t="str">
        <f t="shared" si="56"/>
        <v>Clothing</v>
      </c>
      <c r="I556">
        <v>4</v>
      </c>
      <c r="J556" t="str">
        <f>VLOOKUP(K556,$AJ$2:$AK$7,2,FALSE)</f>
        <v>S001</v>
      </c>
      <c r="K556" t="s">
        <v>1097</v>
      </c>
      <c r="L556">
        <v>3.8</v>
      </c>
      <c r="M556" t="str">
        <f>IFERROR(VLOOKUP(TRIM(N556),$AP$2:$AQ$12,2,FALSE),"W001")</f>
        <v>W001</v>
      </c>
      <c r="N556" t="s">
        <v>1047</v>
      </c>
      <c r="O556" t="s">
        <v>1047</v>
      </c>
      <c r="P556" t="str">
        <f>VLOOKUP(O556,$AL$2:$AM$12,2,FALSE)</f>
        <v>West</v>
      </c>
      <c r="Q556" t="s">
        <v>1080</v>
      </c>
      <c r="R556">
        <v>25</v>
      </c>
      <c r="S556" t="s">
        <v>1079</v>
      </c>
      <c r="T556">
        <f t="shared" si="57"/>
        <v>2</v>
      </c>
      <c r="U556">
        <v>3.75</v>
      </c>
      <c r="V556">
        <f t="shared" si="58"/>
        <v>4</v>
      </c>
      <c r="W556" t="s">
        <v>1086</v>
      </c>
      <c r="X556" t="s">
        <v>1090</v>
      </c>
      <c r="Y556">
        <f t="shared" si="59"/>
        <v>3.75</v>
      </c>
      <c r="Z556" t="s">
        <v>1108</v>
      </c>
      <c r="AA556" t="str">
        <f t="shared" si="60"/>
        <v>Low</v>
      </c>
      <c r="AB556" t="s">
        <v>1103</v>
      </c>
      <c r="AC556" t="str">
        <f t="shared" si="61"/>
        <v>Yes</v>
      </c>
      <c r="AD556">
        <v>5</v>
      </c>
      <c r="AE556">
        <v>4956</v>
      </c>
      <c r="AF556">
        <v>1982.4</v>
      </c>
      <c r="AG556">
        <f t="shared" si="62"/>
        <v>2969.85</v>
      </c>
    </row>
    <row r="557" spans="1:33" x14ac:dyDescent="0.25">
      <c r="A557">
        <v>1556</v>
      </c>
      <c r="B557" s="1">
        <v>45334</v>
      </c>
      <c r="C557" s="1">
        <v>45337</v>
      </c>
      <c r="D557" s="1">
        <v>45343</v>
      </c>
      <c r="E557" t="s">
        <v>1066</v>
      </c>
      <c r="F557" t="s">
        <v>585</v>
      </c>
      <c r="G557" t="s">
        <v>1069</v>
      </c>
      <c r="H557" t="str">
        <f t="shared" si="56"/>
        <v>Furniture</v>
      </c>
      <c r="I557">
        <v>7</v>
      </c>
      <c r="J557" t="str">
        <f>VLOOKUP(K557,$AJ$2:$AK$7,2,FALSE)</f>
        <v>S006</v>
      </c>
      <c r="K557" t="s">
        <v>1102</v>
      </c>
      <c r="L557">
        <v>3.6</v>
      </c>
      <c r="M557" t="str">
        <f>IFERROR(VLOOKUP(TRIM(N557),$AP$2:$AQ$12,2,FALSE),"W001")</f>
        <v>W006</v>
      </c>
      <c r="N557" t="s">
        <v>1057</v>
      </c>
      <c r="O557" t="s">
        <v>1055</v>
      </c>
      <c r="P557" t="str">
        <f>VLOOKUP(O557,$AL$2:$AM$12,2,FALSE)</f>
        <v>South</v>
      </c>
      <c r="Q557" t="s">
        <v>1080</v>
      </c>
      <c r="R557">
        <v>408</v>
      </c>
      <c r="S557" t="s">
        <v>1066</v>
      </c>
      <c r="T557">
        <f t="shared" si="57"/>
        <v>3</v>
      </c>
      <c r="U557">
        <v>61.2</v>
      </c>
      <c r="V557">
        <f t="shared" si="58"/>
        <v>4</v>
      </c>
      <c r="W557" t="s">
        <v>1087</v>
      </c>
      <c r="X557" t="s">
        <v>1089</v>
      </c>
      <c r="Y557">
        <f t="shared" si="59"/>
        <v>0</v>
      </c>
      <c r="Z557" t="s">
        <v>1108</v>
      </c>
      <c r="AA557" t="str">
        <f t="shared" si="60"/>
        <v>Low</v>
      </c>
      <c r="AB557" t="s">
        <v>1103</v>
      </c>
      <c r="AC557" t="str">
        <f t="shared" si="61"/>
        <v>Yes</v>
      </c>
      <c r="AD557">
        <v>4</v>
      </c>
      <c r="AE557">
        <v>49000</v>
      </c>
      <c r="AF557">
        <v>19600</v>
      </c>
      <c r="AG557">
        <f t="shared" si="62"/>
        <v>29338.799999999999</v>
      </c>
    </row>
    <row r="558" spans="1:33" x14ac:dyDescent="0.25">
      <c r="A558">
        <v>1557</v>
      </c>
      <c r="B558" s="1">
        <v>46353</v>
      </c>
      <c r="C558" s="1">
        <v>46354</v>
      </c>
      <c r="D558" s="1">
        <v>46360</v>
      </c>
      <c r="E558" t="s">
        <v>1066</v>
      </c>
      <c r="F558" t="s">
        <v>586</v>
      </c>
      <c r="G558" t="s">
        <v>1067</v>
      </c>
      <c r="H558" t="str">
        <f t="shared" si="56"/>
        <v>Clothing</v>
      </c>
      <c r="I558">
        <v>8</v>
      </c>
      <c r="J558" t="str">
        <f>VLOOKUP(K558,$AJ$2:$AK$7,2,FALSE)</f>
        <v>S003</v>
      </c>
      <c r="K558" t="s">
        <v>1099</v>
      </c>
      <c r="L558">
        <v>4.8</v>
      </c>
      <c r="M558" t="str">
        <f>IFERROR(VLOOKUP(TRIM(N558),$AP$2:$AQ$12,2,FALSE),"W001")</f>
        <v>W007</v>
      </c>
      <c r="N558" t="s">
        <v>1062</v>
      </c>
      <c r="O558" t="s">
        <v>1063</v>
      </c>
      <c r="P558" t="str">
        <f>VLOOKUP(O558,$AL$2:$AM$12,2,FALSE)</f>
        <v>South</v>
      </c>
      <c r="Q558" t="s">
        <v>1084</v>
      </c>
      <c r="R558">
        <v>613</v>
      </c>
      <c r="S558" t="s">
        <v>1066</v>
      </c>
      <c r="T558">
        <f t="shared" si="57"/>
        <v>3</v>
      </c>
      <c r="U558">
        <v>183.9</v>
      </c>
      <c r="V558">
        <f t="shared" si="58"/>
        <v>6</v>
      </c>
      <c r="W558" t="s">
        <v>1088</v>
      </c>
      <c r="X558" t="s">
        <v>1091</v>
      </c>
      <c r="Y558">
        <f t="shared" si="59"/>
        <v>0</v>
      </c>
      <c r="Z558" t="s">
        <v>1108</v>
      </c>
      <c r="AA558" t="str">
        <f t="shared" si="60"/>
        <v>Low</v>
      </c>
      <c r="AB558" t="s">
        <v>1103</v>
      </c>
      <c r="AC558" t="str">
        <f t="shared" si="61"/>
        <v>Yes</v>
      </c>
      <c r="AD558">
        <v>4</v>
      </c>
      <c r="AE558">
        <v>10456</v>
      </c>
      <c r="AF558">
        <v>4182.4000000000005</v>
      </c>
      <c r="AG558">
        <f t="shared" si="62"/>
        <v>6089.7</v>
      </c>
    </row>
    <row r="559" spans="1:33" x14ac:dyDescent="0.25">
      <c r="A559">
        <v>1558</v>
      </c>
      <c r="B559" s="1">
        <v>45417</v>
      </c>
      <c r="C559" s="1">
        <v>45419</v>
      </c>
      <c r="D559" s="1">
        <v>45422</v>
      </c>
      <c r="E559" t="s">
        <v>1066</v>
      </c>
      <c r="F559" t="s">
        <v>587</v>
      </c>
      <c r="G559" t="s">
        <v>1072</v>
      </c>
      <c r="H559" t="str">
        <f t="shared" si="56"/>
        <v>Electronics</v>
      </c>
      <c r="I559">
        <v>3</v>
      </c>
      <c r="J559" t="str">
        <f>VLOOKUP(K559,$AJ$2:$AK$7,2,FALSE)</f>
        <v>S001</v>
      </c>
      <c r="K559" t="s">
        <v>1097</v>
      </c>
      <c r="L559">
        <v>3.6</v>
      </c>
      <c r="M559" t="str">
        <f>IFERROR(VLOOKUP(TRIM(N559),$AP$2:$AQ$12,2,FALSE),"W001")</f>
        <v>W010</v>
      </c>
      <c r="N559" t="s">
        <v>1063</v>
      </c>
      <c r="O559" t="s">
        <v>1049</v>
      </c>
      <c r="P559" t="str">
        <f>VLOOKUP(O559,$AL$2:$AM$12,2,FALSE)</f>
        <v>North</v>
      </c>
      <c r="Q559" t="s">
        <v>1084</v>
      </c>
      <c r="R559">
        <v>1950</v>
      </c>
      <c r="S559" t="s">
        <v>1078</v>
      </c>
      <c r="T559">
        <f t="shared" si="57"/>
        <v>7</v>
      </c>
      <c r="U559">
        <v>585</v>
      </c>
      <c r="V559">
        <f t="shared" si="58"/>
        <v>6</v>
      </c>
      <c r="W559" t="s">
        <v>1087</v>
      </c>
      <c r="X559" t="s">
        <v>1089</v>
      </c>
      <c r="Y559">
        <f t="shared" si="59"/>
        <v>0</v>
      </c>
      <c r="Z559" t="s">
        <v>1109</v>
      </c>
      <c r="AA559" t="str">
        <f t="shared" si="60"/>
        <v>High</v>
      </c>
      <c r="AB559" t="s">
        <v>1103</v>
      </c>
      <c r="AC559" t="str">
        <f t="shared" si="61"/>
        <v>No</v>
      </c>
      <c r="AD559">
        <v>2</v>
      </c>
      <c r="AE559">
        <v>80454</v>
      </c>
      <c r="AF559">
        <v>32181.600000000002</v>
      </c>
      <c r="AG559">
        <f t="shared" si="62"/>
        <v>47687.399999999994</v>
      </c>
    </row>
    <row r="560" spans="1:33" x14ac:dyDescent="0.25">
      <c r="A560">
        <v>1559</v>
      </c>
      <c r="B560" s="1">
        <v>45460</v>
      </c>
      <c r="C560" s="1">
        <v>45461</v>
      </c>
      <c r="D560" s="1">
        <v>45464</v>
      </c>
      <c r="E560" t="s">
        <v>1065</v>
      </c>
      <c r="F560" t="s">
        <v>588</v>
      </c>
      <c r="G560" t="s">
        <v>1069</v>
      </c>
      <c r="H560" t="str">
        <f t="shared" si="56"/>
        <v>Furniture</v>
      </c>
      <c r="I560">
        <v>4</v>
      </c>
      <c r="J560" t="str">
        <f>VLOOKUP(K560,$AJ$2:$AK$7,2,FALSE)</f>
        <v>S002</v>
      </c>
      <c r="K560" t="s">
        <v>1098</v>
      </c>
      <c r="L560">
        <v>4.5</v>
      </c>
      <c r="M560" t="str">
        <f>IFERROR(VLOOKUP(TRIM(N560),$AP$2:$AQ$12,2,FALSE),"W001")</f>
        <v>W002</v>
      </c>
      <c r="N560" t="s">
        <v>1049</v>
      </c>
      <c r="O560" t="s">
        <v>1055</v>
      </c>
      <c r="P560" t="str">
        <f>VLOOKUP(O560,$AL$2:$AM$12,2,FALSE)</f>
        <v>South</v>
      </c>
      <c r="Q560" t="s">
        <v>1082</v>
      </c>
      <c r="R560">
        <v>214</v>
      </c>
      <c r="S560" t="s">
        <v>1066</v>
      </c>
      <c r="T560">
        <f t="shared" si="57"/>
        <v>1</v>
      </c>
      <c r="U560">
        <v>85.6</v>
      </c>
      <c r="V560">
        <f t="shared" si="58"/>
        <v>8</v>
      </c>
      <c r="W560" t="s">
        <v>1087</v>
      </c>
      <c r="X560" t="s">
        <v>1091</v>
      </c>
      <c r="Y560">
        <f t="shared" si="59"/>
        <v>0</v>
      </c>
      <c r="Z560" t="s">
        <v>1108</v>
      </c>
      <c r="AA560" t="str">
        <f t="shared" si="60"/>
        <v>Medium</v>
      </c>
      <c r="AB560" t="s">
        <v>1104</v>
      </c>
      <c r="AC560" t="str">
        <f t="shared" si="61"/>
        <v>Yes</v>
      </c>
      <c r="AD560">
        <v>2</v>
      </c>
      <c r="AE560">
        <v>47640</v>
      </c>
      <c r="AF560">
        <v>19056</v>
      </c>
      <c r="AG560">
        <f t="shared" si="62"/>
        <v>28498.400000000001</v>
      </c>
    </row>
    <row r="561" spans="1:33" x14ac:dyDescent="0.25">
      <c r="A561">
        <v>1560</v>
      </c>
      <c r="B561" s="1">
        <v>45075</v>
      </c>
      <c r="C561" s="1">
        <v>45076</v>
      </c>
      <c r="D561" s="1">
        <v>45083</v>
      </c>
      <c r="E561" t="s">
        <v>1064</v>
      </c>
      <c r="F561" t="s">
        <v>589</v>
      </c>
      <c r="G561" t="s">
        <v>1067</v>
      </c>
      <c r="H561" t="str">
        <f t="shared" si="56"/>
        <v>Clothing</v>
      </c>
      <c r="I561">
        <v>7</v>
      </c>
      <c r="J561" t="str">
        <f>VLOOKUP(K561,$AJ$2:$AK$7,2,FALSE)</f>
        <v>S001</v>
      </c>
      <c r="K561" t="s">
        <v>1097</v>
      </c>
      <c r="L561">
        <v>3.4</v>
      </c>
      <c r="M561" t="str">
        <f>IFERROR(VLOOKUP(TRIM(N561),$AP$2:$AQ$12,2,FALSE),"W001")</f>
        <v>W010</v>
      </c>
      <c r="N561" t="s">
        <v>1063</v>
      </c>
      <c r="O561" t="s">
        <v>1062</v>
      </c>
      <c r="P561" t="str">
        <f>VLOOKUP(O561,$AL$2:$AM$12,2,FALSE)</f>
        <v>North</v>
      </c>
      <c r="Q561" t="s">
        <v>1085</v>
      </c>
      <c r="R561">
        <v>1135</v>
      </c>
      <c r="S561" t="s">
        <v>1078</v>
      </c>
      <c r="T561">
        <f t="shared" si="57"/>
        <v>9</v>
      </c>
      <c r="U561">
        <v>113.5</v>
      </c>
      <c r="V561">
        <f t="shared" si="58"/>
        <v>3</v>
      </c>
      <c r="W561" t="s">
        <v>1087</v>
      </c>
      <c r="X561" t="s">
        <v>1090</v>
      </c>
      <c r="Y561">
        <f t="shared" si="59"/>
        <v>0</v>
      </c>
      <c r="Z561" t="s">
        <v>1108</v>
      </c>
      <c r="AA561" t="str">
        <f t="shared" si="60"/>
        <v>Low</v>
      </c>
      <c r="AB561" t="s">
        <v>1103</v>
      </c>
      <c r="AC561" t="str">
        <f t="shared" si="61"/>
        <v>Yes</v>
      </c>
      <c r="AD561">
        <v>4</v>
      </c>
      <c r="AE561">
        <v>9205</v>
      </c>
      <c r="AF561">
        <v>3682</v>
      </c>
      <c r="AG561">
        <f t="shared" si="62"/>
        <v>5409.5</v>
      </c>
    </row>
    <row r="562" spans="1:33" x14ac:dyDescent="0.25">
      <c r="A562">
        <v>1561</v>
      </c>
      <c r="B562" s="1">
        <v>45780</v>
      </c>
      <c r="C562" s="1">
        <v>45781</v>
      </c>
      <c r="D562" s="1">
        <v>45784</v>
      </c>
      <c r="E562" t="s">
        <v>1066</v>
      </c>
      <c r="F562" t="s">
        <v>590</v>
      </c>
      <c r="G562" t="s">
        <v>1068</v>
      </c>
      <c r="H562" t="str">
        <f t="shared" si="56"/>
        <v>Electronics</v>
      </c>
      <c r="I562">
        <v>2</v>
      </c>
      <c r="J562" t="str">
        <f>VLOOKUP(K562,$AJ$2:$AK$7,2,FALSE)</f>
        <v>S002</v>
      </c>
      <c r="K562" t="s">
        <v>1098</v>
      </c>
      <c r="L562">
        <v>4.2</v>
      </c>
      <c r="M562" t="str">
        <f>IFERROR(VLOOKUP(TRIM(N562),$AP$2:$AQ$12,2,FALSE),"W001")</f>
        <v>W011</v>
      </c>
      <c r="N562" t="s">
        <v>1059</v>
      </c>
      <c r="O562" t="s">
        <v>1061</v>
      </c>
      <c r="P562" t="str">
        <f>VLOOKUP(O562,$AL$2:$AM$12,2,FALSE)</f>
        <v>West</v>
      </c>
      <c r="Q562" t="s">
        <v>1083</v>
      </c>
      <c r="R562">
        <v>885</v>
      </c>
      <c r="S562" t="s">
        <v>1078</v>
      </c>
      <c r="T562">
        <f t="shared" si="57"/>
        <v>2</v>
      </c>
      <c r="U562">
        <v>442.5</v>
      </c>
      <c r="V562">
        <f t="shared" si="58"/>
        <v>10</v>
      </c>
      <c r="W562" t="s">
        <v>1087</v>
      </c>
      <c r="X562" t="s">
        <v>1090</v>
      </c>
      <c r="Y562">
        <f t="shared" si="59"/>
        <v>0</v>
      </c>
      <c r="Z562" t="s">
        <v>1108</v>
      </c>
      <c r="AA562" t="str">
        <f t="shared" si="60"/>
        <v>Medium</v>
      </c>
      <c r="AB562" t="s">
        <v>1104</v>
      </c>
      <c r="AC562" t="str">
        <f t="shared" si="61"/>
        <v>Yes</v>
      </c>
      <c r="AD562">
        <v>1</v>
      </c>
      <c r="AE562">
        <v>95142</v>
      </c>
      <c r="AF562">
        <v>38056.800000000003</v>
      </c>
      <c r="AG562">
        <f t="shared" si="62"/>
        <v>56642.7</v>
      </c>
    </row>
    <row r="563" spans="1:33" x14ac:dyDescent="0.25">
      <c r="A563">
        <v>1562</v>
      </c>
      <c r="B563" s="1">
        <v>46255</v>
      </c>
      <c r="C563" s="1">
        <v>46256</v>
      </c>
      <c r="D563" s="1">
        <v>46259</v>
      </c>
      <c r="E563" t="s">
        <v>1064</v>
      </c>
      <c r="F563" t="s">
        <v>591</v>
      </c>
      <c r="G563" t="s">
        <v>1072</v>
      </c>
      <c r="H563" t="str">
        <f t="shared" si="56"/>
        <v>Electronics</v>
      </c>
      <c r="I563">
        <v>6</v>
      </c>
      <c r="J563" t="str">
        <f>VLOOKUP(K563,$AJ$2:$AK$7,2,FALSE)</f>
        <v>S001</v>
      </c>
      <c r="K563" t="s">
        <v>1097</v>
      </c>
      <c r="L563">
        <v>3</v>
      </c>
      <c r="M563" t="str">
        <f>IFERROR(VLOOKUP(TRIM(N563),$AP$2:$AQ$12,2,FALSE),"W001")</f>
        <v>W006</v>
      </c>
      <c r="N563" t="s">
        <v>1057</v>
      </c>
      <c r="O563" t="s">
        <v>1062</v>
      </c>
      <c r="P563" t="str">
        <f>VLOOKUP(O563,$AL$2:$AM$12,2,FALSE)</f>
        <v>North</v>
      </c>
      <c r="Q563" t="s">
        <v>1080</v>
      </c>
      <c r="R563">
        <v>743</v>
      </c>
      <c r="S563" t="s">
        <v>1066</v>
      </c>
      <c r="T563">
        <f t="shared" si="57"/>
        <v>4</v>
      </c>
      <c r="U563">
        <v>111.45</v>
      </c>
      <c r="V563">
        <f t="shared" si="58"/>
        <v>4</v>
      </c>
      <c r="W563" t="s">
        <v>1087</v>
      </c>
      <c r="X563" t="s">
        <v>1091</v>
      </c>
      <c r="Y563">
        <f t="shared" si="59"/>
        <v>0</v>
      </c>
      <c r="Z563" t="s">
        <v>1108</v>
      </c>
      <c r="AA563" t="str">
        <f t="shared" si="60"/>
        <v>Low</v>
      </c>
      <c r="AB563" t="s">
        <v>1103</v>
      </c>
      <c r="AC563" t="str">
        <f t="shared" si="61"/>
        <v>Yes</v>
      </c>
      <c r="AD563">
        <v>4</v>
      </c>
      <c r="AE563">
        <v>60150</v>
      </c>
      <c r="AF563">
        <v>24060</v>
      </c>
      <c r="AG563">
        <f t="shared" si="62"/>
        <v>35978.550000000003</v>
      </c>
    </row>
    <row r="564" spans="1:33" x14ac:dyDescent="0.25">
      <c r="A564">
        <v>1563</v>
      </c>
      <c r="B564" s="1">
        <v>44757</v>
      </c>
      <c r="C564" s="1">
        <v>44760</v>
      </c>
      <c r="D564" s="1">
        <v>44764</v>
      </c>
      <c r="E564" t="s">
        <v>1064</v>
      </c>
      <c r="F564" t="s">
        <v>592</v>
      </c>
      <c r="G564" t="s">
        <v>1071</v>
      </c>
      <c r="H564" t="str">
        <f t="shared" si="56"/>
        <v>Clothing</v>
      </c>
      <c r="I564">
        <v>7</v>
      </c>
      <c r="J564" t="str">
        <f>VLOOKUP(K564,$AJ$2:$AK$7,2,FALSE)</f>
        <v>S003</v>
      </c>
      <c r="K564" t="s">
        <v>1099</v>
      </c>
      <c r="L564">
        <v>3.7</v>
      </c>
      <c r="M564" t="str">
        <f>IFERROR(VLOOKUP(TRIM(N564),$AP$2:$AQ$12,2,FALSE),"W001")</f>
        <v>W009</v>
      </c>
      <c r="N564" t="s">
        <v>1060</v>
      </c>
      <c r="O564" t="s">
        <v>1060</v>
      </c>
      <c r="P564" t="str">
        <f>VLOOKUP(O564,$AL$2:$AM$12,2,FALSE)</f>
        <v>North</v>
      </c>
      <c r="Q564" t="s">
        <v>1080</v>
      </c>
      <c r="R564">
        <v>44</v>
      </c>
      <c r="S564" t="s">
        <v>1079</v>
      </c>
      <c r="T564">
        <f t="shared" si="57"/>
        <v>2</v>
      </c>
      <c r="U564">
        <v>6.6</v>
      </c>
      <c r="V564">
        <f t="shared" si="58"/>
        <v>4</v>
      </c>
      <c r="W564" t="s">
        <v>1087</v>
      </c>
      <c r="X564" t="s">
        <v>1091</v>
      </c>
      <c r="Y564">
        <f t="shared" si="59"/>
        <v>0</v>
      </c>
      <c r="Z564" t="s">
        <v>1108</v>
      </c>
      <c r="AA564" t="str">
        <f t="shared" si="60"/>
        <v>Low</v>
      </c>
      <c r="AB564" t="s">
        <v>1103</v>
      </c>
      <c r="AC564" t="str">
        <f t="shared" si="61"/>
        <v>Yes</v>
      </c>
      <c r="AD564">
        <v>5</v>
      </c>
      <c r="AE564">
        <v>13167</v>
      </c>
      <c r="AF564">
        <v>5266.8</v>
      </c>
      <c r="AG564">
        <f t="shared" si="62"/>
        <v>7893.5999999999995</v>
      </c>
    </row>
    <row r="565" spans="1:33" x14ac:dyDescent="0.25">
      <c r="A565">
        <v>1564</v>
      </c>
      <c r="B565" s="1">
        <v>44680</v>
      </c>
      <c r="C565" s="1">
        <v>44681</v>
      </c>
      <c r="D565" s="1">
        <v>44688</v>
      </c>
      <c r="E565" t="s">
        <v>1064</v>
      </c>
      <c r="F565" t="s">
        <v>593</v>
      </c>
      <c r="G565" t="s">
        <v>1070</v>
      </c>
      <c r="H565" t="str">
        <f t="shared" si="56"/>
        <v>Furniture</v>
      </c>
      <c r="I565">
        <v>6</v>
      </c>
      <c r="J565" t="str">
        <f>VLOOKUP(K565,$AJ$2:$AK$7,2,FALSE)</f>
        <v>S005</v>
      </c>
      <c r="K565" t="s">
        <v>1101</v>
      </c>
      <c r="L565">
        <v>5</v>
      </c>
      <c r="M565" t="str">
        <f>IFERROR(VLOOKUP(TRIM(N565),$AP$2:$AQ$12,2,FALSE),"W001")</f>
        <v>W006</v>
      </c>
      <c r="N565" t="s">
        <v>1057</v>
      </c>
      <c r="O565" t="s">
        <v>1059</v>
      </c>
      <c r="P565" t="str">
        <f>VLOOKUP(O565,$AL$2:$AM$12,2,FALSE)</f>
        <v>North</v>
      </c>
      <c r="Q565" t="s">
        <v>1082</v>
      </c>
      <c r="R565">
        <v>620</v>
      </c>
      <c r="S565" t="s">
        <v>1066</v>
      </c>
      <c r="T565">
        <f t="shared" si="57"/>
        <v>2</v>
      </c>
      <c r="U565">
        <v>248</v>
      </c>
      <c r="V565">
        <f t="shared" si="58"/>
        <v>8</v>
      </c>
      <c r="W565" t="s">
        <v>1086</v>
      </c>
      <c r="X565" t="s">
        <v>1089</v>
      </c>
      <c r="Y565">
        <f t="shared" si="59"/>
        <v>248</v>
      </c>
      <c r="Z565" t="s">
        <v>1108</v>
      </c>
      <c r="AA565" t="str">
        <f t="shared" si="60"/>
        <v>Medium</v>
      </c>
      <c r="AB565" t="s">
        <v>1103</v>
      </c>
      <c r="AC565" t="str">
        <f t="shared" si="61"/>
        <v>Yes</v>
      </c>
      <c r="AD565">
        <v>5</v>
      </c>
      <c r="AE565">
        <v>39726</v>
      </c>
      <c r="AF565">
        <v>15890.400000000001</v>
      </c>
      <c r="AG565">
        <f t="shared" si="62"/>
        <v>23587.599999999999</v>
      </c>
    </row>
    <row r="566" spans="1:33" x14ac:dyDescent="0.25">
      <c r="A566">
        <v>1565</v>
      </c>
      <c r="B566" s="1">
        <v>45693</v>
      </c>
      <c r="C566" s="1">
        <v>45696</v>
      </c>
      <c r="D566" s="1">
        <v>45699</v>
      </c>
      <c r="E566" t="s">
        <v>1065</v>
      </c>
      <c r="F566" t="s">
        <v>594</v>
      </c>
      <c r="G566" t="s">
        <v>1071</v>
      </c>
      <c r="H566" t="str">
        <f t="shared" si="56"/>
        <v>Clothing</v>
      </c>
      <c r="I566">
        <v>9</v>
      </c>
      <c r="J566" t="str">
        <f>VLOOKUP(K566,$AJ$2:$AK$7,2,FALSE)</f>
        <v>S006</v>
      </c>
      <c r="K566" t="s">
        <v>1102</v>
      </c>
      <c r="L566">
        <v>4.2</v>
      </c>
      <c r="M566" t="str">
        <f>IFERROR(VLOOKUP(TRIM(N566),$AP$2:$AQ$12,2,FALSE),"W001")</f>
        <v>W005</v>
      </c>
      <c r="N566" t="s">
        <v>1055</v>
      </c>
      <c r="O566" t="s">
        <v>1051</v>
      </c>
      <c r="P566" t="str">
        <f>VLOOKUP(O566,$AL$2:$AM$12,2,FALSE)</f>
        <v>West</v>
      </c>
      <c r="Q566" t="s">
        <v>1080</v>
      </c>
      <c r="R566">
        <v>1384</v>
      </c>
      <c r="S566" t="s">
        <v>1078</v>
      </c>
      <c r="T566">
        <f t="shared" si="57"/>
        <v>7</v>
      </c>
      <c r="U566">
        <v>207.6</v>
      </c>
      <c r="V566">
        <f t="shared" si="58"/>
        <v>4</v>
      </c>
      <c r="W566" t="s">
        <v>1088</v>
      </c>
      <c r="X566" t="s">
        <v>1091</v>
      </c>
      <c r="Y566">
        <f t="shared" si="59"/>
        <v>0</v>
      </c>
      <c r="Z566" t="s">
        <v>1108</v>
      </c>
      <c r="AA566" t="str">
        <f t="shared" si="60"/>
        <v>Low</v>
      </c>
      <c r="AB566" t="s">
        <v>1103</v>
      </c>
      <c r="AC566" t="str">
        <f t="shared" si="61"/>
        <v>Yes</v>
      </c>
      <c r="AD566">
        <v>4</v>
      </c>
      <c r="AE566">
        <v>24462</v>
      </c>
      <c r="AF566">
        <v>9784.8000000000011</v>
      </c>
      <c r="AG566">
        <f t="shared" si="62"/>
        <v>14469.599999999999</v>
      </c>
    </row>
    <row r="567" spans="1:33" x14ac:dyDescent="0.25">
      <c r="A567">
        <v>1566</v>
      </c>
      <c r="B567" s="1">
        <v>44591</v>
      </c>
      <c r="C567" s="1">
        <v>44592</v>
      </c>
      <c r="D567" s="1">
        <v>44598</v>
      </c>
      <c r="E567" t="s">
        <v>1065</v>
      </c>
      <c r="F567" t="s">
        <v>595</v>
      </c>
      <c r="G567" t="s">
        <v>1067</v>
      </c>
      <c r="H567" t="str">
        <f t="shared" si="56"/>
        <v>Clothing</v>
      </c>
      <c r="I567">
        <v>5</v>
      </c>
      <c r="J567" t="str">
        <f>VLOOKUP(K567,$AJ$2:$AK$7,2,FALSE)</f>
        <v>S003</v>
      </c>
      <c r="K567" t="s">
        <v>1099</v>
      </c>
      <c r="L567">
        <v>4</v>
      </c>
      <c r="M567" t="str">
        <f>IFERROR(VLOOKUP(TRIM(N567),$AP$2:$AQ$12,2,FALSE),"W001")</f>
        <v>W002</v>
      </c>
      <c r="N567" t="s">
        <v>1049</v>
      </c>
      <c r="O567" t="s">
        <v>1051</v>
      </c>
      <c r="P567" t="str">
        <f>VLOOKUP(O567,$AL$2:$AM$12,2,FALSE)</f>
        <v>West</v>
      </c>
      <c r="Q567" t="s">
        <v>1083</v>
      </c>
      <c r="R567">
        <v>1705</v>
      </c>
      <c r="S567" t="s">
        <v>1078</v>
      </c>
      <c r="T567">
        <f t="shared" si="57"/>
        <v>3</v>
      </c>
      <c r="U567">
        <v>852.5</v>
      </c>
      <c r="V567">
        <f t="shared" si="58"/>
        <v>10</v>
      </c>
      <c r="W567" t="s">
        <v>1087</v>
      </c>
      <c r="X567" t="s">
        <v>1091</v>
      </c>
      <c r="Y567">
        <f t="shared" si="59"/>
        <v>0</v>
      </c>
      <c r="Z567" t="s">
        <v>1108</v>
      </c>
      <c r="AA567" t="str">
        <f t="shared" si="60"/>
        <v>Medium</v>
      </c>
      <c r="AB567" t="s">
        <v>1104</v>
      </c>
      <c r="AC567" t="str">
        <f t="shared" si="61"/>
        <v>Yes</v>
      </c>
      <c r="AD567">
        <v>2</v>
      </c>
      <c r="AE567">
        <v>5085</v>
      </c>
      <c r="AF567">
        <v>2034</v>
      </c>
      <c r="AG567">
        <f t="shared" si="62"/>
        <v>2198.5</v>
      </c>
    </row>
    <row r="568" spans="1:33" x14ac:dyDescent="0.25">
      <c r="A568">
        <v>1567</v>
      </c>
      <c r="B568" s="1">
        <v>45604</v>
      </c>
      <c r="C568" s="1">
        <v>45606</v>
      </c>
      <c r="D568" s="1">
        <v>45612</v>
      </c>
      <c r="E568" t="s">
        <v>1065</v>
      </c>
      <c r="F568" t="s">
        <v>596</v>
      </c>
      <c r="G568" t="s">
        <v>1069</v>
      </c>
      <c r="H568" t="str">
        <f t="shared" si="56"/>
        <v>Furniture</v>
      </c>
      <c r="I568">
        <v>8</v>
      </c>
      <c r="J568" t="str">
        <f>VLOOKUP(K568,$AJ$2:$AK$7,2,FALSE)</f>
        <v>S001</v>
      </c>
      <c r="K568" t="s">
        <v>1097</v>
      </c>
      <c r="L568">
        <v>4.0999999999999996</v>
      </c>
      <c r="M568" t="str">
        <f>IFERROR(VLOOKUP(TRIM(N568),$AP$2:$AQ$12,2,FALSE),"W001")</f>
        <v>W011</v>
      </c>
      <c r="N568" t="s">
        <v>1059</v>
      </c>
      <c r="O568" t="s">
        <v>1057</v>
      </c>
      <c r="P568" t="str">
        <f>VLOOKUP(O568,$AL$2:$AM$12,2,FALSE)</f>
        <v>South</v>
      </c>
      <c r="Q568" t="s">
        <v>1080</v>
      </c>
      <c r="R568">
        <v>1000</v>
      </c>
      <c r="S568" t="s">
        <v>1078</v>
      </c>
      <c r="T568">
        <f t="shared" si="57"/>
        <v>5</v>
      </c>
      <c r="U568">
        <v>150</v>
      </c>
      <c r="V568">
        <f t="shared" si="58"/>
        <v>4</v>
      </c>
      <c r="W568" t="s">
        <v>1088</v>
      </c>
      <c r="X568" t="s">
        <v>1090</v>
      </c>
      <c r="Y568">
        <f t="shared" si="59"/>
        <v>0</v>
      </c>
      <c r="Z568" t="s">
        <v>1108</v>
      </c>
      <c r="AA568" t="str">
        <f t="shared" si="60"/>
        <v>Low</v>
      </c>
      <c r="AB568" t="s">
        <v>1103</v>
      </c>
      <c r="AC568" t="str">
        <f t="shared" si="61"/>
        <v>Yes</v>
      </c>
      <c r="AD568">
        <v>4</v>
      </c>
      <c r="AE568">
        <v>100360</v>
      </c>
      <c r="AF568">
        <v>40144</v>
      </c>
      <c r="AG568">
        <f t="shared" si="62"/>
        <v>60066</v>
      </c>
    </row>
    <row r="569" spans="1:33" x14ac:dyDescent="0.25">
      <c r="A569">
        <v>1568</v>
      </c>
      <c r="B569" s="1">
        <v>46338</v>
      </c>
      <c r="C569" s="1">
        <v>46340</v>
      </c>
      <c r="D569" s="1">
        <v>46347</v>
      </c>
      <c r="E569" t="s">
        <v>1066</v>
      </c>
      <c r="F569" t="s">
        <v>597</v>
      </c>
      <c r="G569" t="s">
        <v>1069</v>
      </c>
      <c r="H569" t="str">
        <f t="shared" si="56"/>
        <v>Furniture</v>
      </c>
      <c r="I569">
        <v>5</v>
      </c>
      <c r="J569" t="str">
        <f>VLOOKUP(K569,$AJ$2:$AK$7,2,FALSE)</f>
        <v>S003</v>
      </c>
      <c r="K569" t="s">
        <v>1099</v>
      </c>
      <c r="L569">
        <v>4.8</v>
      </c>
      <c r="M569" t="str">
        <f>IFERROR(VLOOKUP(TRIM(N569),$AP$2:$AQ$12,2,FALSE),"W001")</f>
        <v>W003</v>
      </c>
      <c r="N569" t="s">
        <v>1051</v>
      </c>
      <c r="O569" t="s">
        <v>1059</v>
      </c>
      <c r="P569" t="str">
        <f>VLOOKUP(O569,$AL$2:$AM$12,2,FALSE)</f>
        <v>North</v>
      </c>
      <c r="Q569" t="s">
        <v>1084</v>
      </c>
      <c r="R569">
        <v>670</v>
      </c>
      <c r="S569" t="s">
        <v>1066</v>
      </c>
      <c r="T569">
        <f t="shared" si="57"/>
        <v>3</v>
      </c>
      <c r="U569">
        <v>201</v>
      </c>
      <c r="V569">
        <f t="shared" si="58"/>
        <v>6</v>
      </c>
      <c r="W569" t="s">
        <v>1088</v>
      </c>
      <c r="X569" t="s">
        <v>1091</v>
      </c>
      <c r="Y569">
        <f t="shared" si="59"/>
        <v>0</v>
      </c>
      <c r="Z569" t="s">
        <v>1108</v>
      </c>
      <c r="AA569" t="str">
        <f t="shared" si="60"/>
        <v>Low</v>
      </c>
      <c r="AB569" t="s">
        <v>1103</v>
      </c>
      <c r="AC569" t="str">
        <f t="shared" si="61"/>
        <v>Yes</v>
      </c>
      <c r="AD569">
        <v>5</v>
      </c>
      <c r="AE569">
        <v>41585</v>
      </c>
      <c r="AF569">
        <v>16634</v>
      </c>
      <c r="AG569">
        <f t="shared" si="62"/>
        <v>24750</v>
      </c>
    </row>
    <row r="570" spans="1:33" x14ac:dyDescent="0.25">
      <c r="A570">
        <v>1569</v>
      </c>
      <c r="B570" s="1">
        <v>45083</v>
      </c>
      <c r="C570" s="1">
        <v>45086</v>
      </c>
      <c r="D570" s="1">
        <v>45089</v>
      </c>
      <c r="E570" t="s">
        <v>1065</v>
      </c>
      <c r="F570" t="s">
        <v>598</v>
      </c>
      <c r="G570" t="s">
        <v>1072</v>
      </c>
      <c r="H570" t="str">
        <f t="shared" si="56"/>
        <v>Electronics</v>
      </c>
      <c r="I570">
        <v>4</v>
      </c>
      <c r="J570" t="str">
        <f>VLOOKUP(K570,$AJ$2:$AK$7,2,FALSE)</f>
        <v>S002</v>
      </c>
      <c r="K570" t="s">
        <v>1098</v>
      </c>
      <c r="L570">
        <v>3.6</v>
      </c>
      <c r="M570" t="str">
        <f>IFERROR(VLOOKUP(TRIM(N570),$AP$2:$AQ$12,2,FALSE),"W001")</f>
        <v>W004</v>
      </c>
      <c r="N570" t="s">
        <v>1053</v>
      </c>
      <c r="O570" t="s">
        <v>1061</v>
      </c>
      <c r="P570" t="str">
        <f>VLOOKUP(O570,$AL$2:$AM$12,2,FALSE)</f>
        <v>West</v>
      </c>
      <c r="Q570" t="s">
        <v>1083</v>
      </c>
      <c r="R570">
        <v>1012</v>
      </c>
      <c r="S570" t="s">
        <v>1078</v>
      </c>
      <c r="T570">
        <f t="shared" si="57"/>
        <v>2</v>
      </c>
      <c r="U570">
        <v>506</v>
      </c>
      <c r="V570">
        <f t="shared" si="58"/>
        <v>10</v>
      </c>
      <c r="W570" t="s">
        <v>1086</v>
      </c>
      <c r="X570" t="s">
        <v>1091</v>
      </c>
      <c r="Y570">
        <f t="shared" si="59"/>
        <v>506</v>
      </c>
      <c r="Z570" t="s">
        <v>1108</v>
      </c>
      <c r="AA570" t="str">
        <f t="shared" si="60"/>
        <v>Medium</v>
      </c>
      <c r="AB570" t="s">
        <v>1103</v>
      </c>
      <c r="AC570" t="str">
        <f t="shared" si="61"/>
        <v>Yes</v>
      </c>
      <c r="AD570">
        <v>4</v>
      </c>
      <c r="AE570">
        <v>68832</v>
      </c>
      <c r="AF570">
        <v>27532.800000000003</v>
      </c>
      <c r="AG570">
        <f t="shared" si="62"/>
        <v>40793.199999999997</v>
      </c>
    </row>
    <row r="571" spans="1:33" x14ac:dyDescent="0.25">
      <c r="A571">
        <v>1570</v>
      </c>
      <c r="B571" s="1">
        <v>44678</v>
      </c>
      <c r="C571" s="1">
        <v>44679</v>
      </c>
      <c r="D571" s="1">
        <v>44681</v>
      </c>
      <c r="E571" t="s">
        <v>1065</v>
      </c>
      <c r="F571" t="s">
        <v>599</v>
      </c>
      <c r="G571" t="s">
        <v>1070</v>
      </c>
      <c r="H571" t="str">
        <f t="shared" si="56"/>
        <v>Furniture</v>
      </c>
      <c r="I571">
        <v>3</v>
      </c>
      <c r="J571" t="str">
        <f>VLOOKUP(K571,$AJ$2:$AK$7,2,FALSE)</f>
        <v>S004</v>
      </c>
      <c r="K571" t="s">
        <v>1100</v>
      </c>
      <c r="L571">
        <v>4.3</v>
      </c>
      <c r="M571" t="str">
        <f>IFERROR(VLOOKUP(TRIM(N571),$AP$2:$AQ$12,2,FALSE),"W001")</f>
        <v>W006</v>
      </c>
      <c r="N571" t="s">
        <v>1057</v>
      </c>
      <c r="O571" t="s">
        <v>1061</v>
      </c>
      <c r="P571" t="str">
        <f>VLOOKUP(O571,$AL$2:$AM$12,2,FALSE)</f>
        <v>West</v>
      </c>
      <c r="Q571" t="s">
        <v>1084</v>
      </c>
      <c r="R571">
        <v>1455</v>
      </c>
      <c r="S571" t="s">
        <v>1078</v>
      </c>
      <c r="T571">
        <f t="shared" si="57"/>
        <v>5</v>
      </c>
      <c r="U571">
        <v>436.5</v>
      </c>
      <c r="V571">
        <f t="shared" si="58"/>
        <v>6</v>
      </c>
      <c r="W571" t="s">
        <v>1086</v>
      </c>
      <c r="X571" t="s">
        <v>1090</v>
      </c>
      <c r="Y571">
        <f t="shared" si="59"/>
        <v>436.5</v>
      </c>
      <c r="Z571" t="s">
        <v>1108</v>
      </c>
      <c r="AA571" t="str">
        <f t="shared" si="60"/>
        <v>Low</v>
      </c>
      <c r="AB571" t="s">
        <v>1103</v>
      </c>
      <c r="AC571" t="str">
        <f t="shared" si="61"/>
        <v>Yes</v>
      </c>
      <c r="AD571">
        <v>5</v>
      </c>
      <c r="AE571">
        <v>16122</v>
      </c>
      <c r="AF571">
        <v>6448.8</v>
      </c>
      <c r="AG571">
        <f t="shared" si="62"/>
        <v>9236.7000000000007</v>
      </c>
    </row>
    <row r="572" spans="1:33" x14ac:dyDescent="0.25">
      <c r="A572">
        <v>1571</v>
      </c>
      <c r="B572" s="1">
        <v>44845</v>
      </c>
      <c r="C572" s="1">
        <v>44846</v>
      </c>
      <c r="D572" s="1">
        <v>44850</v>
      </c>
      <c r="E572" t="s">
        <v>1064</v>
      </c>
      <c r="F572" t="s">
        <v>600</v>
      </c>
      <c r="G572" t="s">
        <v>1072</v>
      </c>
      <c r="H572" t="str">
        <f t="shared" si="56"/>
        <v>Electronics</v>
      </c>
      <c r="I572">
        <v>8</v>
      </c>
      <c r="J572" t="str">
        <f>VLOOKUP(K572,$AJ$2:$AK$7,2,FALSE)</f>
        <v>S004</v>
      </c>
      <c r="K572" t="s">
        <v>1100</v>
      </c>
      <c r="L572">
        <v>3.9</v>
      </c>
      <c r="M572" t="str">
        <f>IFERROR(VLOOKUP(TRIM(N572),$AP$2:$AQ$12,2,FALSE),"W001")</f>
        <v>W007</v>
      </c>
      <c r="N572" t="s">
        <v>1062</v>
      </c>
      <c r="O572" t="s">
        <v>1051</v>
      </c>
      <c r="P572" t="str">
        <f>VLOOKUP(O572,$AL$2:$AM$12,2,FALSE)</f>
        <v>West</v>
      </c>
      <c r="Q572" t="s">
        <v>1083</v>
      </c>
      <c r="R572">
        <v>1813</v>
      </c>
      <c r="S572" t="s">
        <v>1078</v>
      </c>
      <c r="T572">
        <f t="shared" si="57"/>
        <v>4</v>
      </c>
      <c r="U572">
        <v>906.5</v>
      </c>
      <c r="V572">
        <f t="shared" si="58"/>
        <v>10</v>
      </c>
      <c r="W572" t="s">
        <v>1086</v>
      </c>
      <c r="X572" t="s">
        <v>1091</v>
      </c>
      <c r="Y572">
        <f t="shared" si="59"/>
        <v>906.5</v>
      </c>
      <c r="Z572" t="s">
        <v>1109</v>
      </c>
      <c r="AA572" t="str">
        <f t="shared" si="60"/>
        <v>High</v>
      </c>
      <c r="AB572" t="s">
        <v>1103</v>
      </c>
      <c r="AC572" t="str">
        <f t="shared" si="61"/>
        <v>No</v>
      </c>
      <c r="AD572">
        <v>3</v>
      </c>
      <c r="AE572">
        <v>166768</v>
      </c>
      <c r="AF572">
        <v>66707.199999999997</v>
      </c>
      <c r="AG572">
        <f t="shared" si="62"/>
        <v>99154.3</v>
      </c>
    </row>
    <row r="573" spans="1:33" x14ac:dyDescent="0.25">
      <c r="A573">
        <v>1572</v>
      </c>
      <c r="B573" s="1">
        <v>44308</v>
      </c>
      <c r="C573" s="1">
        <v>44309</v>
      </c>
      <c r="D573" s="1">
        <v>44314</v>
      </c>
      <c r="E573" t="s">
        <v>1066</v>
      </c>
      <c r="F573" t="s">
        <v>601</v>
      </c>
      <c r="G573" t="s">
        <v>1070</v>
      </c>
      <c r="H573" t="str">
        <f t="shared" si="56"/>
        <v>Furniture</v>
      </c>
      <c r="I573">
        <v>1</v>
      </c>
      <c r="J573" t="str">
        <f>VLOOKUP(K573,$AJ$2:$AK$7,2,FALSE)</f>
        <v>S003</v>
      </c>
      <c r="K573" t="s">
        <v>1099</v>
      </c>
      <c r="L573">
        <v>3.9</v>
      </c>
      <c r="M573" t="str">
        <f>IFERROR(VLOOKUP(TRIM(N573),$AP$2:$AQ$12,2,FALSE),"W001")</f>
        <v>W007</v>
      </c>
      <c r="N573" t="s">
        <v>1062</v>
      </c>
      <c r="O573" t="s">
        <v>1062</v>
      </c>
      <c r="P573" t="str">
        <f>VLOOKUP(O573,$AL$2:$AM$12,2,FALSE)</f>
        <v>North</v>
      </c>
      <c r="Q573" t="s">
        <v>1085</v>
      </c>
      <c r="R573">
        <v>40</v>
      </c>
      <c r="S573" t="s">
        <v>1079</v>
      </c>
      <c r="T573">
        <f t="shared" si="57"/>
        <v>3</v>
      </c>
      <c r="U573">
        <v>4</v>
      </c>
      <c r="V573">
        <f t="shared" si="58"/>
        <v>3</v>
      </c>
      <c r="W573" t="s">
        <v>1086</v>
      </c>
      <c r="X573" t="s">
        <v>1091</v>
      </c>
      <c r="Y573">
        <f t="shared" si="59"/>
        <v>4</v>
      </c>
      <c r="Z573" t="s">
        <v>1108</v>
      </c>
      <c r="AA573" t="str">
        <f t="shared" si="60"/>
        <v>Low</v>
      </c>
      <c r="AB573" t="s">
        <v>1103</v>
      </c>
      <c r="AC573" t="str">
        <f t="shared" si="61"/>
        <v>Yes</v>
      </c>
      <c r="AD573">
        <v>5</v>
      </c>
      <c r="AE573">
        <v>4499</v>
      </c>
      <c r="AF573">
        <v>1799.6000000000001</v>
      </c>
      <c r="AG573">
        <f t="shared" si="62"/>
        <v>2695.3999999999996</v>
      </c>
    </row>
    <row r="574" spans="1:33" x14ac:dyDescent="0.25">
      <c r="A574">
        <v>1573</v>
      </c>
      <c r="B574" s="1">
        <v>44201</v>
      </c>
      <c r="C574" s="1">
        <v>44203</v>
      </c>
      <c r="D574" s="1">
        <v>44206</v>
      </c>
      <c r="E574" t="s">
        <v>1065</v>
      </c>
      <c r="F574" t="s">
        <v>602</v>
      </c>
      <c r="G574" t="s">
        <v>1072</v>
      </c>
      <c r="H574" t="str">
        <f t="shared" si="56"/>
        <v>Electronics</v>
      </c>
      <c r="I574">
        <v>10</v>
      </c>
      <c r="J574" t="str">
        <f>VLOOKUP(K574,$AJ$2:$AK$7,2,FALSE)</f>
        <v>S005</v>
      </c>
      <c r="K574" t="s">
        <v>1101</v>
      </c>
      <c r="L574">
        <v>3.6</v>
      </c>
      <c r="M574" t="str">
        <f>IFERROR(VLOOKUP(TRIM(N574),$AP$2:$AQ$12,2,FALSE),"W001")</f>
        <v>W005</v>
      </c>
      <c r="N574" t="s">
        <v>1055</v>
      </c>
      <c r="O574" t="s">
        <v>1057</v>
      </c>
      <c r="P574" t="str">
        <f>VLOOKUP(O574,$AL$2:$AM$12,2,FALSE)</f>
        <v>South</v>
      </c>
      <c r="Q574" t="s">
        <v>1081</v>
      </c>
      <c r="R574">
        <v>1053</v>
      </c>
      <c r="S574" t="s">
        <v>1078</v>
      </c>
      <c r="T574">
        <f t="shared" si="57"/>
        <v>5</v>
      </c>
      <c r="U574">
        <v>210.6</v>
      </c>
      <c r="V574">
        <f t="shared" si="58"/>
        <v>5</v>
      </c>
      <c r="W574" t="s">
        <v>1088</v>
      </c>
      <c r="X574" t="s">
        <v>1091</v>
      </c>
      <c r="Y574">
        <f t="shared" si="59"/>
        <v>0</v>
      </c>
      <c r="Z574" t="s">
        <v>1108</v>
      </c>
      <c r="AA574" t="str">
        <f t="shared" si="60"/>
        <v>Low</v>
      </c>
      <c r="AB574" t="s">
        <v>1103</v>
      </c>
      <c r="AC574" t="str">
        <f t="shared" si="61"/>
        <v>Yes</v>
      </c>
      <c r="AD574">
        <v>4</v>
      </c>
      <c r="AE574">
        <v>100660</v>
      </c>
      <c r="AF574">
        <v>40264</v>
      </c>
      <c r="AG574">
        <f t="shared" si="62"/>
        <v>60185.4</v>
      </c>
    </row>
    <row r="575" spans="1:33" x14ac:dyDescent="0.25">
      <c r="A575">
        <v>1574</v>
      </c>
      <c r="B575" s="1">
        <v>44378</v>
      </c>
      <c r="C575" s="1">
        <v>44381</v>
      </c>
      <c r="D575" s="1">
        <v>44383</v>
      </c>
      <c r="E575" t="s">
        <v>1064</v>
      </c>
      <c r="F575" t="s">
        <v>603</v>
      </c>
      <c r="G575" t="s">
        <v>1070</v>
      </c>
      <c r="H575" t="str">
        <f t="shared" si="56"/>
        <v>Furniture</v>
      </c>
      <c r="I575">
        <v>6</v>
      </c>
      <c r="J575" t="str">
        <f>VLOOKUP(K575,$AJ$2:$AK$7,2,FALSE)</f>
        <v>S002</v>
      </c>
      <c r="K575" t="s">
        <v>1098</v>
      </c>
      <c r="L575">
        <v>3.6</v>
      </c>
      <c r="M575" t="str">
        <f>IFERROR(VLOOKUP(TRIM(N575),$AP$2:$AQ$12,2,FALSE),"W001")</f>
        <v>W001</v>
      </c>
      <c r="N575" t="s">
        <v>1047</v>
      </c>
      <c r="O575" t="s">
        <v>1061</v>
      </c>
      <c r="P575" t="str">
        <f>VLOOKUP(O575,$AL$2:$AM$12,2,FALSE)</f>
        <v>West</v>
      </c>
      <c r="Q575" t="s">
        <v>1082</v>
      </c>
      <c r="R575">
        <v>1446</v>
      </c>
      <c r="S575" t="s">
        <v>1078</v>
      </c>
      <c r="T575">
        <f t="shared" si="57"/>
        <v>4</v>
      </c>
      <c r="U575">
        <v>578.4</v>
      </c>
      <c r="V575">
        <f t="shared" si="58"/>
        <v>8</v>
      </c>
      <c r="W575" t="s">
        <v>1088</v>
      </c>
      <c r="X575" t="s">
        <v>1090</v>
      </c>
      <c r="Y575">
        <f t="shared" si="59"/>
        <v>0</v>
      </c>
      <c r="Z575" t="s">
        <v>1109</v>
      </c>
      <c r="AA575" t="str">
        <f t="shared" si="60"/>
        <v>High</v>
      </c>
      <c r="AB575" t="s">
        <v>1104</v>
      </c>
      <c r="AC575" t="str">
        <f t="shared" si="61"/>
        <v>No</v>
      </c>
      <c r="AD575">
        <v>2</v>
      </c>
      <c r="AE575">
        <v>46404</v>
      </c>
      <c r="AF575">
        <v>18561.600000000002</v>
      </c>
      <c r="AG575">
        <f t="shared" si="62"/>
        <v>27263.999999999996</v>
      </c>
    </row>
    <row r="576" spans="1:33" x14ac:dyDescent="0.25">
      <c r="A576">
        <v>1575</v>
      </c>
      <c r="B576" s="1">
        <v>45115</v>
      </c>
      <c r="C576" s="1">
        <v>45116</v>
      </c>
      <c r="D576" s="1">
        <v>45122</v>
      </c>
      <c r="E576" t="s">
        <v>1065</v>
      </c>
      <c r="F576" t="s">
        <v>604</v>
      </c>
      <c r="G576" t="s">
        <v>1070</v>
      </c>
      <c r="H576" t="str">
        <f t="shared" si="56"/>
        <v>Furniture</v>
      </c>
      <c r="I576">
        <v>9</v>
      </c>
      <c r="J576" t="str">
        <f>VLOOKUP(K576,$AJ$2:$AK$7,2,FALSE)</f>
        <v>S004</v>
      </c>
      <c r="K576" t="s">
        <v>1100</v>
      </c>
      <c r="L576">
        <v>3.7</v>
      </c>
      <c r="M576" t="str">
        <f>IFERROR(VLOOKUP(TRIM(N576),$AP$2:$AQ$12,2,FALSE),"W001")</f>
        <v>W002</v>
      </c>
      <c r="N576" t="s">
        <v>1049</v>
      </c>
      <c r="O576" t="s">
        <v>1055</v>
      </c>
      <c r="P576" t="str">
        <f>VLOOKUP(O576,$AL$2:$AM$12,2,FALSE)</f>
        <v>South</v>
      </c>
      <c r="Q576" t="s">
        <v>1080</v>
      </c>
      <c r="R576">
        <v>1109</v>
      </c>
      <c r="S576" t="s">
        <v>1078</v>
      </c>
      <c r="T576">
        <f t="shared" si="57"/>
        <v>6</v>
      </c>
      <c r="U576">
        <v>166.35</v>
      </c>
      <c r="V576">
        <f t="shared" si="58"/>
        <v>4</v>
      </c>
      <c r="W576" t="s">
        <v>1086</v>
      </c>
      <c r="X576" t="s">
        <v>1090</v>
      </c>
      <c r="Y576">
        <f t="shared" si="59"/>
        <v>166.35</v>
      </c>
      <c r="Z576" t="s">
        <v>1108</v>
      </c>
      <c r="AA576" t="str">
        <f t="shared" si="60"/>
        <v>Low</v>
      </c>
      <c r="AB576" t="s">
        <v>1103</v>
      </c>
      <c r="AC576" t="str">
        <f t="shared" si="61"/>
        <v>Yes</v>
      </c>
      <c r="AD576">
        <v>5</v>
      </c>
      <c r="AE576">
        <v>67788</v>
      </c>
      <c r="AF576">
        <v>27115.200000000001</v>
      </c>
      <c r="AG576">
        <f t="shared" si="62"/>
        <v>40506.450000000004</v>
      </c>
    </row>
    <row r="577" spans="1:33" x14ac:dyDescent="0.25">
      <c r="A577">
        <v>1576</v>
      </c>
      <c r="B577" s="1">
        <v>46152</v>
      </c>
      <c r="C577" s="1">
        <v>46153</v>
      </c>
      <c r="D577" s="1">
        <v>46159</v>
      </c>
      <c r="E577" t="s">
        <v>1064</v>
      </c>
      <c r="F577" t="s">
        <v>605</v>
      </c>
      <c r="G577" t="s">
        <v>1067</v>
      </c>
      <c r="H577" t="str">
        <f t="shared" si="56"/>
        <v>Clothing</v>
      </c>
      <c r="I577">
        <v>4</v>
      </c>
      <c r="J577" t="str">
        <f>VLOOKUP(K577,$AJ$2:$AK$7,2,FALSE)</f>
        <v>S001</v>
      </c>
      <c r="K577" t="s">
        <v>1097</v>
      </c>
      <c r="L577">
        <v>3.6</v>
      </c>
      <c r="M577" t="str">
        <f>IFERROR(VLOOKUP(TRIM(N577),$AP$2:$AQ$12,2,FALSE),"W001")</f>
        <v>W007</v>
      </c>
      <c r="N577" t="s">
        <v>1062</v>
      </c>
      <c r="O577" t="s">
        <v>1062</v>
      </c>
      <c r="P577" t="str">
        <f>VLOOKUP(O577,$AL$2:$AM$12,2,FALSE)</f>
        <v>North</v>
      </c>
      <c r="Q577" t="s">
        <v>1084</v>
      </c>
      <c r="R577">
        <v>21</v>
      </c>
      <c r="S577" t="s">
        <v>1079</v>
      </c>
      <c r="T577">
        <f t="shared" si="57"/>
        <v>1</v>
      </c>
      <c r="U577">
        <v>6.3</v>
      </c>
      <c r="V577">
        <f t="shared" si="58"/>
        <v>6</v>
      </c>
      <c r="W577" t="s">
        <v>1088</v>
      </c>
      <c r="X577" t="s">
        <v>1091</v>
      </c>
      <c r="Y577">
        <f t="shared" si="59"/>
        <v>0</v>
      </c>
      <c r="Z577" t="s">
        <v>1108</v>
      </c>
      <c r="AA577" t="str">
        <f t="shared" si="60"/>
        <v>Low</v>
      </c>
      <c r="AB577" t="s">
        <v>1103</v>
      </c>
      <c r="AC577" t="str">
        <f t="shared" si="61"/>
        <v>Yes</v>
      </c>
      <c r="AD577">
        <v>4</v>
      </c>
      <c r="AE577">
        <v>2512</v>
      </c>
      <c r="AF577">
        <v>1004.8000000000001</v>
      </c>
      <c r="AG577">
        <f t="shared" si="62"/>
        <v>1500.8999999999999</v>
      </c>
    </row>
    <row r="578" spans="1:33" x14ac:dyDescent="0.25">
      <c r="A578">
        <v>1577</v>
      </c>
      <c r="B578" s="1">
        <v>44252</v>
      </c>
      <c r="C578" s="1">
        <v>44253</v>
      </c>
      <c r="D578" s="1">
        <v>44257</v>
      </c>
      <c r="E578" t="s">
        <v>1065</v>
      </c>
      <c r="F578" t="s">
        <v>606</v>
      </c>
      <c r="G578" t="s">
        <v>1069</v>
      </c>
      <c r="H578" t="str">
        <f t="shared" si="56"/>
        <v>Furniture</v>
      </c>
      <c r="I578">
        <v>9</v>
      </c>
      <c r="J578" t="str">
        <f>VLOOKUP(K578,$AJ$2:$AK$7,2,FALSE)</f>
        <v>S001</v>
      </c>
      <c r="K578" t="s">
        <v>1097</v>
      </c>
      <c r="L578">
        <v>4.5</v>
      </c>
      <c r="M578" t="str">
        <f>IFERROR(VLOOKUP(TRIM(N578),$AP$2:$AQ$12,2,FALSE),"W001")</f>
        <v>W004</v>
      </c>
      <c r="N578" t="s">
        <v>1053</v>
      </c>
      <c r="O578" t="s">
        <v>1053</v>
      </c>
      <c r="P578" t="str">
        <f>VLOOKUP(O578,$AL$2:$AM$12,2,FALSE)</f>
        <v>South</v>
      </c>
      <c r="Q578" t="s">
        <v>1083</v>
      </c>
      <c r="R578">
        <v>10</v>
      </c>
      <c r="S578" t="s">
        <v>1079</v>
      </c>
      <c r="T578">
        <f t="shared" si="57"/>
        <v>1</v>
      </c>
      <c r="U578">
        <v>5</v>
      </c>
      <c r="V578">
        <f t="shared" si="58"/>
        <v>10</v>
      </c>
      <c r="W578" t="s">
        <v>1086</v>
      </c>
      <c r="X578" t="s">
        <v>1090</v>
      </c>
      <c r="Y578">
        <f t="shared" si="59"/>
        <v>5</v>
      </c>
      <c r="Z578" t="s">
        <v>1108</v>
      </c>
      <c r="AA578" t="str">
        <f t="shared" si="60"/>
        <v>Medium</v>
      </c>
      <c r="AB578" t="s">
        <v>1103</v>
      </c>
      <c r="AC578" t="str">
        <f t="shared" si="61"/>
        <v>Yes</v>
      </c>
      <c r="AD578">
        <v>4</v>
      </c>
      <c r="AE578">
        <v>86661</v>
      </c>
      <c r="AF578">
        <v>34664.400000000001</v>
      </c>
      <c r="AG578">
        <f t="shared" si="62"/>
        <v>51991.6</v>
      </c>
    </row>
    <row r="579" spans="1:33" x14ac:dyDescent="0.25">
      <c r="A579">
        <v>1578</v>
      </c>
      <c r="B579" s="1">
        <v>45708</v>
      </c>
      <c r="C579" s="1">
        <v>45710</v>
      </c>
      <c r="D579" s="1">
        <v>45715</v>
      </c>
      <c r="E579" t="s">
        <v>1066</v>
      </c>
      <c r="F579" t="s">
        <v>607</v>
      </c>
      <c r="G579" t="s">
        <v>1069</v>
      </c>
      <c r="H579" t="str">
        <f t="shared" ref="H579:H642" si="63">IF(OR(G579="Laptop",G579="Mobile"),"Electronics",
IF(OR(G579="T-Shirt",G579="Jeans"),"Clothing",
IF(OR(G579="Table",G579="Chair"),"Furniture","")))</f>
        <v>Furniture</v>
      </c>
      <c r="I579">
        <v>7</v>
      </c>
      <c r="J579" t="str">
        <f>VLOOKUP(K579,$AJ$2:$AK$7,2,FALSE)</f>
        <v>S001</v>
      </c>
      <c r="K579" t="s">
        <v>1097</v>
      </c>
      <c r="L579">
        <v>4.5</v>
      </c>
      <c r="M579" t="str">
        <f>IFERROR(VLOOKUP(TRIM(N579),$AP$2:$AQ$12,2,FALSE),"W001")</f>
        <v>W006</v>
      </c>
      <c r="N579" t="s">
        <v>1057</v>
      </c>
      <c r="O579" t="s">
        <v>1049</v>
      </c>
      <c r="P579" t="str">
        <f>VLOOKUP(O579,$AL$2:$AM$12,2,FALSE)</f>
        <v>North</v>
      </c>
      <c r="Q579" t="s">
        <v>1083</v>
      </c>
      <c r="R579">
        <v>709</v>
      </c>
      <c r="S579" t="s">
        <v>1066</v>
      </c>
      <c r="T579">
        <f t="shared" ref="T579:T642" si="64">IF(Q579="Air",ROUND(R579/700,0)+1,
IF(Q579="Express",ROUND(R579/500,0)+1,
IF(Q579="Courier",ROUND(R579/350,0)+1,
IF(Q579="Road",ROUND(R579/250,0)+1,
IF(Q579="Rail",ROUND(R579/300,0)+2,
IF(Q579="Ship",ROUND(R579/200,0)+3,""))))))</f>
        <v>2</v>
      </c>
      <c r="U579">
        <v>354.5</v>
      </c>
      <c r="V579">
        <f t="shared" ref="V579:V642" si="65">IF(Q579="Road",5,
IF(Q579="Rail",4,
IF(Q579="Air",10,
IF(Q579="Ship",3,
IF(Q579="Courier",6,
IF(Q579="Express",8))))))</f>
        <v>10</v>
      </c>
      <c r="W579" t="s">
        <v>1088</v>
      </c>
      <c r="X579" t="s">
        <v>1091</v>
      </c>
      <c r="Y579">
        <f t="shared" ref="Y579:Y642" si="66">IF(W579="COD",U579,0)</f>
        <v>0</v>
      </c>
      <c r="Z579" t="s">
        <v>1108</v>
      </c>
      <c r="AA579" t="str">
        <f t="shared" ref="AA579:AA642" si="67">IF(Z579="Delayed","High",
IF(OR(Q579="Air",Q579="Express"),"Medium","Low"))</f>
        <v>Medium</v>
      </c>
      <c r="AB579" t="s">
        <v>1103</v>
      </c>
      <c r="AC579" t="str">
        <f t="shared" ref="AC579:AC642" si="68">IF(Z579="Delayed","No","Yes")</f>
        <v>Yes</v>
      </c>
      <c r="AD579">
        <v>5</v>
      </c>
      <c r="AE579">
        <v>64155</v>
      </c>
      <c r="AF579">
        <v>25662</v>
      </c>
      <c r="AG579">
        <f t="shared" ref="AG579:AG642" si="69">AE579 - AF579-U579</f>
        <v>38138.5</v>
      </c>
    </row>
    <row r="580" spans="1:33" x14ac:dyDescent="0.25">
      <c r="A580">
        <v>1579</v>
      </c>
      <c r="B580" s="1">
        <v>45213</v>
      </c>
      <c r="C580" s="1">
        <v>45215</v>
      </c>
      <c r="D580" s="1">
        <v>45219</v>
      </c>
      <c r="E580" t="s">
        <v>1066</v>
      </c>
      <c r="F580" t="s">
        <v>608</v>
      </c>
      <c r="G580" t="s">
        <v>1067</v>
      </c>
      <c r="H580" t="str">
        <f t="shared" si="63"/>
        <v>Clothing</v>
      </c>
      <c r="I580">
        <v>7</v>
      </c>
      <c r="J580" t="str">
        <f>VLOOKUP(K580,$AJ$2:$AK$7,2,FALSE)</f>
        <v>S004</v>
      </c>
      <c r="K580" t="s">
        <v>1100</v>
      </c>
      <c r="L580">
        <v>3.3</v>
      </c>
      <c r="M580" t="str">
        <f>IFERROR(VLOOKUP(TRIM(N580),$AP$2:$AQ$12,2,FALSE),"W001")</f>
        <v>W005</v>
      </c>
      <c r="N580" t="s">
        <v>1055</v>
      </c>
      <c r="O580" t="s">
        <v>1063</v>
      </c>
      <c r="P580" t="str">
        <f>VLOOKUP(O580,$AL$2:$AM$12,2,FALSE)</f>
        <v>South</v>
      </c>
      <c r="Q580" t="s">
        <v>1081</v>
      </c>
      <c r="R580">
        <v>264</v>
      </c>
      <c r="S580" t="s">
        <v>1066</v>
      </c>
      <c r="T580">
        <f t="shared" si="64"/>
        <v>2</v>
      </c>
      <c r="U580">
        <v>52.8</v>
      </c>
      <c r="V580">
        <f t="shared" si="65"/>
        <v>5</v>
      </c>
      <c r="W580" t="s">
        <v>1086</v>
      </c>
      <c r="X580" t="s">
        <v>1091</v>
      </c>
      <c r="Y580">
        <f t="shared" si="66"/>
        <v>52.8</v>
      </c>
      <c r="Z580" t="s">
        <v>1108</v>
      </c>
      <c r="AA580" t="str">
        <f t="shared" si="67"/>
        <v>Low</v>
      </c>
      <c r="AB580" t="s">
        <v>1103</v>
      </c>
      <c r="AC580" t="str">
        <f t="shared" si="68"/>
        <v>Yes</v>
      </c>
      <c r="AD580">
        <v>4</v>
      </c>
      <c r="AE580">
        <v>4872</v>
      </c>
      <c r="AF580">
        <v>1948.8000000000002</v>
      </c>
      <c r="AG580">
        <f t="shared" si="69"/>
        <v>2870.3999999999996</v>
      </c>
    </row>
    <row r="581" spans="1:33" x14ac:dyDescent="0.25">
      <c r="A581">
        <v>1580</v>
      </c>
      <c r="B581" s="1">
        <v>44486</v>
      </c>
      <c r="C581" s="1">
        <v>44489</v>
      </c>
      <c r="D581" s="1">
        <v>44494</v>
      </c>
      <c r="E581" t="s">
        <v>1065</v>
      </c>
      <c r="F581" t="s">
        <v>609</v>
      </c>
      <c r="G581" t="s">
        <v>1070</v>
      </c>
      <c r="H581" t="str">
        <f t="shared" si="63"/>
        <v>Furniture</v>
      </c>
      <c r="I581">
        <v>10</v>
      </c>
      <c r="J581" t="str">
        <f>VLOOKUP(K581,$AJ$2:$AK$7,2,FALSE)</f>
        <v>S006</v>
      </c>
      <c r="K581" t="s">
        <v>1102</v>
      </c>
      <c r="L581">
        <v>3.2</v>
      </c>
      <c r="M581" t="str">
        <f>IFERROR(VLOOKUP(TRIM(N581),$AP$2:$AQ$12,2,FALSE),"W001")</f>
        <v>W007</v>
      </c>
      <c r="N581" t="s">
        <v>1062</v>
      </c>
      <c r="O581" t="s">
        <v>1063</v>
      </c>
      <c r="P581" t="str">
        <f>VLOOKUP(O581,$AL$2:$AM$12,2,FALSE)</f>
        <v>South</v>
      </c>
      <c r="Q581" t="s">
        <v>1080</v>
      </c>
      <c r="R581">
        <v>1108</v>
      </c>
      <c r="S581" t="s">
        <v>1078</v>
      </c>
      <c r="T581">
        <f t="shared" si="64"/>
        <v>6</v>
      </c>
      <c r="U581">
        <v>166.2</v>
      </c>
      <c r="V581">
        <f t="shared" si="65"/>
        <v>4</v>
      </c>
      <c r="W581" t="s">
        <v>1088</v>
      </c>
      <c r="X581" t="s">
        <v>1091</v>
      </c>
      <c r="Y581">
        <f t="shared" si="66"/>
        <v>0</v>
      </c>
      <c r="Z581" t="s">
        <v>1108</v>
      </c>
      <c r="AA581" t="str">
        <f t="shared" si="67"/>
        <v>Low</v>
      </c>
      <c r="AB581" t="s">
        <v>1103</v>
      </c>
      <c r="AC581" t="str">
        <f t="shared" si="68"/>
        <v>Yes</v>
      </c>
      <c r="AD581">
        <v>4</v>
      </c>
      <c r="AE581">
        <v>26240</v>
      </c>
      <c r="AF581">
        <v>10496</v>
      </c>
      <c r="AG581">
        <f t="shared" si="69"/>
        <v>15577.8</v>
      </c>
    </row>
    <row r="582" spans="1:33" x14ac:dyDescent="0.25">
      <c r="A582">
        <v>1581</v>
      </c>
      <c r="B582" s="1">
        <v>44818</v>
      </c>
      <c r="C582" s="1">
        <v>44820</v>
      </c>
      <c r="D582" s="1">
        <v>44822</v>
      </c>
      <c r="E582" t="s">
        <v>1064</v>
      </c>
      <c r="F582" t="s">
        <v>610</v>
      </c>
      <c r="G582" t="s">
        <v>1069</v>
      </c>
      <c r="H582" t="str">
        <f t="shared" si="63"/>
        <v>Furniture</v>
      </c>
      <c r="I582">
        <v>7</v>
      </c>
      <c r="J582" t="str">
        <f>VLOOKUP(K582,$AJ$2:$AK$7,2,FALSE)</f>
        <v>S002</v>
      </c>
      <c r="K582" t="s">
        <v>1098</v>
      </c>
      <c r="L582">
        <v>3.8</v>
      </c>
      <c r="M582" t="str">
        <f>IFERROR(VLOOKUP(TRIM(N582),$AP$2:$AQ$12,2,FALSE),"W001")</f>
        <v>W002</v>
      </c>
      <c r="N582" t="s">
        <v>1049</v>
      </c>
      <c r="O582" t="s">
        <v>1059</v>
      </c>
      <c r="P582" t="str">
        <f>VLOOKUP(O582,$AL$2:$AM$12,2,FALSE)</f>
        <v>North</v>
      </c>
      <c r="Q582" t="s">
        <v>1085</v>
      </c>
      <c r="R582">
        <v>1361</v>
      </c>
      <c r="S582" t="s">
        <v>1078</v>
      </c>
      <c r="T582">
        <f t="shared" si="64"/>
        <v>10</v>
      </c>
      <c r="U582">
        <v>136.1</v>
      </c>
      <c r="V582">
        <f t="shared" si="65"/>
        <v>3</v>
      </c>
      <c r="W582" t="s">
        <v>1086</v>
      </c>
      <c r="X582" t="s">
        <v>1089</v>
      </c>
      <c r="Y582">
        <f t="shared" si="66"/>
        <v>136.1</v>
      </c>
      <c r="Z582" t="s">
        <v>1108</v>
      </c>
      <c r="AA582" t="str">
        <f t="shared" si="67"/>
        <v>Low</v>
      </c>
      <c r="AB582" t="s">
        <v>1103</v>
      </c>
      <c r="AC582" t="str">
        <f t="shared" si="68"/>
        <v>Yes</v>
      </c>
      <c r="AD582">
        <v>4</v>
      </c>
      <c r="AE582">
        <v>61243</v>
      </c>
      <c r="AF582">
        <v>24497.200000000001</v>
      </c>
      <c r="AG582">
        <f t="shared" si="69"/>
        <v>36609.700000000004</v>
      </c>
    </row>
    <row r="583" spans="1:33" x14ac:dyDescent="0.25">
      <c r="A583">
        <v>1582</v>
      </c>
      <c r="B583" s="1">
        <v>44883</v>
      </c>
      <c r="C583" s="1">
        <v>44885</v>
      </c>
      <c r="D583" s="1">
        <v>44891</v>
      </c>
      <c r="E583" t="s">
        <v>1065</v>
      </c>
      <c r="F583" t="s">
        <v>611</v>
      </c>
      <c r="G583" t="s">
        <v>1069</v>
      </c>
      <c r="H583" t="str">
        <f t="shared" si="63"/>
        <v>Furniture</v>
      </c>
      <c r="I583">
        <v>8</v>
      </c>
      <c r="J583" t="str">
        <f>VLOOKUP(K583,$AJ$2:$AK$7,2,FALSE)</f>
        <v>S006</v>
      </c>
      <c r="K583" t="s">
        <v>1102</v>
      </c>
      <c r="L583">
        <v>4.9000000000000004</v>
      </c>
      <c r="M583" t="str">
        <f>IFERROR(VLOOKUP(TRIM(N583),$AP$2:$AQ$12,2,FALSE),"W001")</f>
        <v>W002</v>
      </c>
      <c r="N583" t="s">
        <v>1049</v>
      </c>
      <c r="O583" t="s">
        <v>1053</v>
      </c>
      <c r="P583" t="str">
        <f>VLOOKUP(O583,$AL$2:$AM$12,2,FALSE)</f>
        <v>South</v>
      </c>
      <c r="Q583" t="s">
        <v>1085</v>
      </c>
      <c r="R583">
        <v>493</v>
      </c>
      <c r="S583" t="s">
        <v>1066</v>
      </c>
      <c r="T583">
        <f t="shared" si="64"/>
        <v>5</v>
      </c>
      <c r="U583">
        <v>49.3</v>
      </c>
      <c r="V583">
        <f t="shared" si="65"/>
        <v>3</v>
      </c>
      <c r="W583" t="s">
        <v>1088</v>
      </c>
      <c r="X583" t="s">
        <v>1089</v>
      </c>
      <c r="Y583">
        <f t="shared" si="66"/>
        <v>0</v>
      </c>
      <c r="Z583" t="s">
        <v>1108</v>
      </c>
      <c r="AA583" t="str">
        <f t="shared" si="67"/>
        <v>Low</v>
      </c>
      <c r="AB583" t="s">
        <v>1103</v>
      </c>
      <c r="AC583" t="str">
        <f t="shared" si="68"/>
        <v>Yes</v>
      </c>
      <c r="AD583">
        <v>4</v>
      </c>
      <c r="AE583">
        <v>42408</v>
      </c>
      <c r="AF583">
        <v>16963.2</v>
      </c>
      <c r="AG583">
        <f t="shared" si="69"/>
        <v>25395.5</v>
      </c>
    </row>
    <row r="584" spans="1:33" x14ac:dyDescent="0.25">
      <c r="A584">
        <v>1583</v>
      </c>
      <c r="B584" s="1">
        <v>46198</v>
      </c>
      <c r="C584" s="1">
        <v>46199</v>
      </c>
      <c r="D584" s="1">
        <v>46201</v>
      </c>
      <c r="E584" t="s">
        <v>1066</v>
      </c>
      <c r="F584" t="s">
        <v>612</v>
      </c>
      <c r="G584" t="s">
        <v>1067</v>
      </c>
      <c r="H584" t="str">
        <f t="shared" si="63"/>
        <v>Clothing</v>
      </c>
      <c r="I584">
        <v>7</v>
      </c>
      <c r="J584" t="str">
        <f>VLOOKUP(K584,$AJ$2:$AK$7,2,FALSE)</f>
        <v>S006</v>
      </c>
      <c r="K584" t="s">
        <v>1102</v>
      </c>
      <c r="L584">
        <v>4.7</v>
      </c>
      <c r="M584" t="str">
        <f>IFERROR(VLOOKUP(TRIM(N584),$AP$2:$AQ$12,2,FALSE),"W001")</f>
        <v>W005</v>
      </c>
      <c r="N584" t="s">
        <v>1055</v>
      </c>
      <c r="O584" t="s">
        <v>1060</v>
      </c>
      <c r="P584" t="str">
        <f>VLOOKUP(O584,$AL$2:$AM$12,2,FALSE)</f>
        <v>North</v>
      </c>
      <c r="Q584" t="s">
        <v>1081</v>
      </c>
      <c r="R584">
        <v>633</v>
      </c>
      <c r="S584" t="s">
        <v>1066</v>
      </c>
      <c r="T584">
        <f t="shared" si="64"/>
        <v>4</v>
      </c>
      <c r="U584">
        <v>126.6</v>
      </c>
      <c r="V584">
        <f t="shared" si="65"/>
        <v>5</v>
      </c>
      <c r="W584" t="s">
        <v>1087</v>
      </c>
      <c r="X584" t="s">
        <v>1091</v>
      </c>
      <c r="Y584">
        <f t="shared" si="66"/>
        <v>0</v>
      </c>
      <c r="Z584" t="s">
        <v>1108</v>
      </c>
      <c r="AA584" t="str">
        <f t="shared" si="67"/>
        <v>Low</v>
      </c>
      <c r="AB584" t="s">
        <v>1103</v>
      </c>
      <c r="AC584" t="str">
        <f t="shared" si="68"/>
        <v>Yes</v>
      </c>
      <c r="AD584">
        <v>4</v>
      </c>
      <c r="AE584">
        <v>7441</v>
      </c>
      <c r="AF584">
        <v>2976.4</v>
      </c>
      <c r="AG584">
        <f t="shared" si="69"/>
        <v>4338</v>
      </c>
    </row>
    <row r="585" spans="1:33" x14ac:dyDescent="0.25">
      <c r="A585">
        <v>1584</v>
      </c>
      <c r="B585" s="1">
        <v>44895</v>
      </c>
      <c r="C585" s="1">
        <v>44898</v>
      </c>
      <c r="D585" s="1">
        <v>44902</v>
      </c>
      <c r="E585" t="s">
        <v>1064</v>
      </c>
      <c r="F585" t="s">
        <v>613</v>
      </c>
      <c r="G585" t="s">
        <v>1070</v>
      </c>
      <c r="H585" t="str">
        <f t="shared" si="63"/>
        <v>Furniture</v>
      </c>
      <c r="I585">
        <v>1</v>
      </c>
      <c r="J585" t="str">
        <f>VLOOKUP(K585,$AJ$2:$AK$7,2,FALSE)</f>
        <v>S005</v>
      </c>
      <c r="K585" t="s">
        <v>1101</v>
      </c>
      <c r="L585">
        <v>3.4</v>
      </c>
      <c r="M585" t="str">
        <f>IFERROR(VLOOKUP(TRIM(N585),$AP$2:$AQ$12,2,FALSE),"W001")</f>
        <v>W001</v>
      </c>
      <c r="N585" t="s">
        <v>1047</v>
      </c>
      <c r="O585" t="s">
        <v>1049</v>
      </c>
      <c r="P585" t="str">
        <f>VLOOKUP(O585,$AL$2:$AM$12,2,FALSE)</f>
        <v>North</v>
      </c>
      <c r="Q585" t="s">
        <v>1083</v>
      </c>
      <c r="R585">
        <v>772</v>
      </c>
      <c r="S585" t="s">
        <v>1066</v>
      </c>
      <c r="T585">
        <f t="shared" si="64"/>
        <v>2</v>
      </c>
      <c r="U585">
        <v>386</v>
      </c>
      <c r="V585">
        <f t="shared" si="65"/>
        <v>10</v>
      </c>
      <c r="W585" t="s">
        <v>1087</v>
      </c>
      <c r="X585" t="s">
        <v>1089</v>
      </c>
      <c r="Y585">
        <f t="shared" si="66"/>
        <v>0</v>
      </c>
      <c r="Z585" t="s">
        <v>1108</v>
      </c>
      <c r="AA585" t="str">
        <f t="shared" si="67"/>
        <v>Medium</v>
      </c>
      <c r="AB585" t="s">
        <v>1103</v>
      </c>
      <c r="AC585" t="str">
        <f t="shared" si="68"/>
        <v>Yes</v>
      </c>
      <c r="AD585">
        <v>5</v>
      </c>
      <c r="AE585">
        <v>5877</v>
      </c>
      <c r="AF585">
        <v>2350.8000000000002</v>
      </c>
      <c r="AG585">
        <f t="shared" si="69"/>
        <v>3140.2</v>
      </c>
    </row>
    <row r="586" spans="1:33" x14ac:dyDescent="0.25">
      <c r="A586">
        <v>1585</v>
      </c>
      <c r="B586" s="1">
        <v>45559</v>
      </c>
      <c r="C586" s="1">
        <v>45560</v>
      </c>
      <c r="D586" s="1">
        <v>45563</v>
      </c>
      <c r="E586" t="s">
        <v>1065</v>
      </c>
      <c r="F586" t="s">
        <v>614</v>
      </c>
      <c r="G586" t="s">
        <v>1071</v>
      </c>
      <c r="H586" t="str">
        <f t="shared" si="63"/>
        <v>Clothing</v>
      </c>
      <c r="I586">
        <v>4</v>
      </c>
      <c r="J586" t="str">
        <f>VLOOKUP(K586,$AJ$2:$AK$7,2,FALSE)</f>
        <v>S004</v>
      </c>
      <c r="K586" t="s">
        <v>1100</v>
      </c>
      <c r="L586">
        <v>3.3</v>
      </c>
      <c r="M586" t="str">
        <f>IFERROR(VLOOKUP(TRIM(N586),$AP$2:$AQ$12,2,FALSE),"W001")</f>
        <v>W005</v>
      </c>
      <c r="N586" t="s">
        <v>1055</v>
      </c>
      <c r="O586" t="s">
        <v>1057</v>
      </c>
      <c r="P586" t="str">
        <f>VLOOKUP(O586,$AL$2:$AM$12,2,FALSE)</f>
        <v>South</v>
      </c>
      <c r="Q586" t="s">
        <v>1084</v>
      </c>
      <c r="R586">
        <v>543</v>
      </c>
      <c r="S586" t="s">
        <v>1066</v>
      </c>
      <c r="T586">
        <f t="shared" si="64"/>
        <v>3</v>
      </c>
      <c r="U586">
        <v>162.9</v>
      </c>
      <c r="V586">
        <f t="shared" si="65"/>
        <v>6</v>
      </c>
      <c r="W586" t="s">
        <v>1086</v>
      </c>
      <c r="X586" t="s">
        <v>1090</v>
      </c>
      <c r="Y586">
        <f t="shared" si="66"/>
        <v>162.9</v>
      </c>
      <c r="Z586" t="s">
        <v>1108</v>
      </c>
      <c r="AA586" t="str">
        <f t="shared" si="67"/>
        <v>Low</v>
      </c>
      <c r="AB586" t="s">
        <v>1103</v>
      </c>
      <c r="AC586" t="str">
        <f t="shared" si="68"/>
        <v>Yes</v>
      </c>
      <c r="AD586">
        <v>5</v>
      </c>
      <c r="AE586">
        <v>7680</v>
      </c>
      <c r="AF586">
        <v>3072</v>
      </c>
      <c r="AG586">
        <f t="shared" si="69"/>
        <v>4445.1000000000004</v>
      </c>
    </row>
    <row r="587" spans="1:33" x14ac:dyDescent="0.25">
      <c r="A587">
        <v>1586</v>
      </c>
      <c r="B587" s="1">
        <v>45362</v>
      </c>
      <c r="C587" s="1">
        <v>45364</v>
      </c>
      <c r="D587" s="1">
        <v>45366</v>
      </c>
      <c r="E587" t="s">
        <v>1066</v>
      </c>
      <c r="F587" t="s">
        <v>615</v>
      </c>
      <c r="G587" t="s">
        <v>1069</v>
      </c>
      <c r="H587" t="str">
        <f t="shared" si="63"/>
        <v>Furniture</v>
      </c>
      <c r="I587">
        <v>4</v>
      </c>
      <c r="J587" t="str">
        <f>VLOOKUP(K587,$AJ$2:$AK$7,2,FALSE)</f>
        <v>S006</v>
      </c>
      <c r="K587" t="s">
        <v>1102</v>
      </c>
      <c r="L587">
        <v>4.4000000000000004</v>
      </c>
      <c r="M587" t="str">
        <f>IFERROR(VLOOKUP(TRIM(N587),$AP$2:$AQ$12,2,FALSE),"W001")</f>
        <v>W004</v>
      </c>
      <c r="N587" t="s">
        <v>1053</v>
      </c>
      <c r="O587" t="s">
        <v>1061</v>
      </c>
      <c r="P587" t="str">
        <f>VLOOKUP(O587,$AL$2:$AM$12,2,FALSE)</f>
        <v>West</v>
      </c>
      <c r="Q587" t="s">
        <v>1080</v>
      </c>
      <c r="R587">
        <v>1285</v>
      </c>
      <c r="S587" t="s">
        <v>1078</v>
      </c>
      <c r="T587">
        <f t="shared" si="64"/>
        <v>6</v>
      </c>
      <c r="U587">
        <v>192.75</v>
      </c>
      <c r="V587">
        <f t="shared" si="65"/>
        <v>4</v>
      </c>
      <c r="W587" t="s">
        <v>1087</v>
      </c>
      <c r="X587" t="s">
        <v>1091</v>
      </c>
      <c r="Y587">
        <f t="shared" si="66"/>
        <v>0</v>
      </c>
      <c r="Z587" t="s">
        <v>1108</v>
      </c>
      <c r="AA587" t="str">
        <f t="shared" si="67"/>
        <v>Low</v>
      </c>
      <c r="AB587" t="s">
        <v>1103</v>
      </c>
      <c r="AC587" t="str">
        <f t="shared" si="68"/>
        <v>Yes</v>
      </c>
      <c r="AD587">
        <v>5</v>
      </c>
      <c r="AE587">
        <v>46480</v>
      </c>
      <c r="AF587">
        <v>18592</v>
      </c>
      <c r="AG587">
        <f t="shared" si="69"/>
        <v>27695.25</v>
      </c>
    </row>
    <row r="588" spans="1:33" x14ac:dyDescent="0.25">
      <c r="A588">
        <v>1587</v>
      </c>
      <c r="B588" s="1">
        <v>44762</v>
      </c>
      <c r="C588" s="1">
        <v>44765</v>
      </c>
      <c r="D588" s="1">
        <v>44772</v>
      </c>
      <c r="E588" t="s">
        <v>1065</v>
      </c>
      <c r="F588" t="s">
        <v>616</v>
      </c>
      <c r="G588" t="s">
        <v>1072</v>
      </c>
      <c r="H588" t="str">
        <f t="shared" si="63"/>
        <v>Electronics</v>
      </c>
      <c r="I588">
        <v>2</v>
      </c>
      <c r="J588" t="str">
        <f>VLOOKUP(K588,$AJ$2:$AK$7,2,FALSE)</f>
        <v>S006</v>
      </c>
      <c r="K588" t="s">
        <v>1102</v>
      </c>
      <c r="L588">
        <v>3.9</v>
      </c>
      <c r="M588" t="str">
        <f>IFERROR(VLOOKUP(TRIM(N588),$AP$2:$AQ$12,2,FALSE),"W001")</f>
        <v>W003</v>
      </c>
      <c r="N588" t="s">
        <v>1051</v>
      </c>
      <c r="O588" t="s">
        <v>1055</v>
      </c>
      <c r="P588" t="str">
        <f>VLOOKUP(O588,$AL$2:$AM$12,2,FALSE)</f>
        <v>South</v>
      </c>
      <c r="Q588" t="s">
        <v>1082</v>
      </c>
      <c r="R588">
        <v>1293</v>
      </c>
      <c r="S588" t="s">
        <v>1078</v>
      </c>
      <c r="T588">
        <f t="shared" si="64"/>
        <v>4</v>
      </c>
      <c r="U588">
        <v>517.20000000000005</v>
      </c>
      <c r="V588">
        <f t="shared" si="65"/>
        <v>8</v>
      </c>
      <c r="W588" t="s">
        <v>1088</v>
      </c>
      <c r="X588" t="s">
        <v>1089</v>
      </c>
      <c r="Y588">
        <f t="shared" si="66"/>
        <v>0</v>
      </c>
      <c r="Z588" t="s">
        <v>1109</v>
      </c>
      <c r="AA588" t="str">
        <f t="shared" si="67"/>
        <v>High</v>
      </c>
      <c r="AB588" t="s">
        <v>1103</v>
      </c>
      <c r="AC588" t="str">
        <f t="shared" si="68"/>
        <v>No</v>
      </c>
      <c r="AD588">
        <v>3</v>
      </c>
      <c r="AE588">
        <v>35198</v>
      </c>
      <c r="AF588">
        <v>14079.2</v>
      </c>
      <c r="AG588">
        <f t="shared" si="69"/>
        <v>20601.599999999999</v>
      </c>
    </row>
    <row r="589" spans="1:33" x14ac:dyDescent="0.25">
      <c r="A589">
        <v>1588</v>
      </c>
      <c r="B589" s="1">
        <v>45650</v>
      </c>
      <c r="C589" s="1">
        <v>45652</v>
      </c>
      <c r="D589" s="1">
        <v>45658</v>
      </c>
      <c r="E589" t="s">
        <v>1066</v>
      </c>
      <c r="F589" t="s">
        <v>617</v>
      </c>
      <c r="G589" t="s">
        <v>1071</v>
      </c>
      <c r="H589" t="str">
        <f t="shared" si="63"/>
        <v>Clothing</v>
      </c>
      <c r="I589">
        <v>5</v>
      </c>
      <c r="J589" t="str">
        <f>VLOOKUP(K589,$AJ$2:$AK$7,2,FALSE)</f>
        <v>S001</v>
      </c>
      <c r="K589" t="s">
        <v>1097</v>
      </c>
      <c r="L589">
        <v>3.6</v>
      </c>
      <c r="M589" t="str">
        <f>IFERROR(VLOOKUP(TRIM(N589),$AP$2:$AQ$12,2,FALSE),"W001")</f>
        <v>W001</v>
      </c>
      <c r="N589" t="s">
        <v>1047</v>
      </c>
      <c r="O589" t="s">
        <v>1059</v>
      </c>
      <c r="P589" t="str">
        <f>VLOOKUP(O589,$AL$2:$AM$12,2,FALSE)</f>
        <v>North</v>
      </c>
      <c r="Q589" t="s">
        <v>1081</v>
      </c>
      <c r="R589">
        <v>1848</v>
      </c>
      <c r="S589" t="s">
        <v>1078</v>
      </c>
      <c r="T589">
        <f t="shared" si="64"/>
        <v>8</v>
      </c>
      <c r="U589">
        <v>369.6</v>
      </c>
      <c r="V589">
        <f t="shared" si="65"/>
        <v>5</v>
      </c>
      <c r="W589" t="s">
        <v>1086</v>
      </c>
      <c r="X589" t="s">
        <v>1091</v>
      </c>
      <c r="Y589">
        <f t="shared" si="66"/>
        <v>369.6</v>
      </c>
      <c r="Z589" t="s">
        <v>1109</v>
      </c>
      <c r="AA589" t="str">
        <f t="shared" si="67"/>
        <v>High</v>
      </c>
      <c r="AB589" t="s">
        <v>1104</v>
      </c>
      <c r="AC589" t="str">
        <f t="shared" si="68"/>
        <v>No</v>
      </c>
      <c r="AD589">
        <v>1</v>
      </c>
      <c r="AE589">
        <v>8085</v>
      </c>
      <c r="AF589">
        <v>3234</v>
      </c>
      <c r="AG589">
        <f t="shared" si="69"/>
        <v>4481.3999999999996</v>
      </c>
    </row>
    <row r="590" spans="1:33" x14ac:dyDescent="0.25">
      <c r="A590">
        <v>1589</v>
      </c>
      <c r="B590" s="1">
        <v>45859</v>
      </c>
      <c r="C590" s="1">
        <v>45862</v>
      </c>
      <c r="D590" s="1">
        <v>45866</v>
      </c>
      <c r="E590" t="s">
        <v>1066</v>
      </c>
      <c r="F590" t="s">
        <v>618</v>
      </c>
      <c r="G590" t="s">
        <v>1072</v>
      </c>
      <c r="H590" t="str">
        <f t="shared" si="63"/>
        <v>Electronics</v>
      </c>
      <c r="I590">
        <v>6</v>
      </c>
      <c r="J590" t="str">
        <f>VLOOKUP(K590,$AJ$2:$AK$7,2,FALSE)</f>
        <v>S006</v>
      </c>
      <c r="K590" t="s">
        <v>1102</v>
      </c>
      <c r="L590">
        <v>3</v>
      </c>
      <c r="M590" t="str">
        <f>IFERROR(VLOOKUP(TRIM(N590),$AP$2:$AQ$12,2,FALSE),"W001")</f>
        <v>W011</v>
      </c>
      <c r="N590" t="s">
        <v>1059</v>
      </c>
      <c r="O590" t="s">
        <v>1063</v>
      </c>
      <c r="P590" t="str">
        <f>VLOOKUP(O590,$AL$2:$AM$12,2,FALSE)</f>
        <v>South</v>
      </c>
      <c r="Q590" t="s">
        <v>1085</v>
      </c>
      <c r="R590">
        <v>243</v>
      </c>
      <c r="S590" t="s">
        <v>1066</v>
      </c>
      <c r="T590">
        <f t="shared" si="64"/>
        <v>4</v>
      </c>
      <c r="U590">
        <v>24.3</v>
      </c>
      <c r="V590">
        <f t="shared" si="65"/>
        <v>3</v>
      </c>
      <c r="W590" t="s">
        <v>1086</v>
      </c>
      <c r="X590" t="s">
        <v>1089</v>
      </c>
      <c r="Y590">
        <f t="shared" si="66"/>
        <v>24.3</v>
      </c>
      <c r="Z590" t="s">
        <v>1108</v>
      </c>
      <c r="AA590" t="str">
        <f t="shared" si="67"/>
        <v>Low</v>
      </c>
      <c r="AB590" t="s">
        <v>1103</v>
      </c>
      <c r="AC590" t="str">
        <f t="shared" si="68"/>
        <v>Yes</v>
      </c>
      <c r="AD590">
        <v>5</v>
      </c>
      <c r="AE590">
        <v>104574</v>
      </c>
      <c r="AF590">
        <v>41829.600000000006</v>
      </c>
      <c r="AG590">
        <f t="shared" si="69"/>
        <v>62720.099999999991</v>
      </c>
    </row>
    <row r="591" spans="1:33" x14ac:dyDescent="0.25">
      <c r="A591">
        <v>1590</v>
      </c>
      <c r="B591" s="1">
        <v>46309</v>
      </c>
      <c r="C591" s="1">
        <v>46310</v>
      </c>
      <c r="D591" s="1">
        <v>46317</v>
      </c>
      <c r="E591" t="s">
        <v>1064</v>
      </c>
      <c r="F591" t="s">
        <v>619</v>
      </c>
      <c r="G591" t="s">
        <v>1068</v>
      </c>
      <c r="H591" t="str">
        <f t="shared" si="63"/>
        <v>Electronics</v>
      </c>
      <c r="I591">
        <v>1</v>
      </c>
      <c r="J591" t="str">
        <f>VLOOKUP(K591,$AJ$2:$AK$7,2,FALSE)</f>
        <v>S003</v>
      </c>
      <c r="K591" t="s">
        <v>1099</v>
      </c>
      <c r="L591">
        <v>3.8</v>
      </c>
      <c r="M591" t="str">
        <f>IFERROR(VLOOKUP(TRIM(N591),$AP$2:$AQ$12,2,FALSE),"W001")</f>
        <v>W008</v>
      </c>
      <c r="N591" t="s">
        <v>1061</v>
      </c>
      <c r="O591" t="s">
        <v>1059</v>
      </c>
      <c r="P591" t="str">
        <f>VLOOKUP(O591,$AL$2:$AM$12,2,FALSE)</f>
        <v>North</v>
      </c>
      <c r="Q591" t="s">
        <v>1084</v>
      </c>
      <c r="R591">
        <v>1212</v>
      </c>
      <c r="S591" t="s">
        <v>1078</v>
      </c>
      <c r="T591">
        <f t="shared" si="64"/>
        <v>4</v>
      </c>
      <c r="U591">
        <v>363.6</v>
      </c>
      <c r="V591">
        <f t="shared" si="65"/>
        <v>6</v>
      </c>
      <c r="W591" t="s">
        <v>1087</v>
      </c>
      <c r="X591" t="s">
        <v>1089</v>
      </c>
      <c r="Y591">
        <f t="shared" si="66"/>
        <v>0</v>
      </c>
      <c r="Z591" t="s">
        <v>1108</v>
      </c>
      <c r="AA591" t="str">
        <f t="shared" si="67"/>
        <v>Low</v>
      </c>
      <c r="AB591" t="s">
        <v>1103</v>
      </c>
      <c r="AC591" t="str">
        <f t="shared" si="68"/>
        <v>Yes</v>
      </c>
      <c r="AD591">
        <v>5</v>
      </c>
      <c r="AE591">
        <v>42511</v>
      </c>
      <c r="AF591">
        <v>17004.400000000001</v>
      </c>
      <c r="AG591">
        <f t="shared" si="69"/>
        <v>25143</v>
      </c>
    </row>
    <row r="592" spans="1:33" x14ac:dyDescent="0.25">
      <c r="A592">
        <v>1591</v>
      </c>
      <c r="B592" s="1">
        <v>45005</v>
      </c>
      <c r="C592" s="1">
        <v>45006</v>
      </c>
      <c r="D592" s="1">
        <v>45009</v>
      </c>
      <c r="E592" t="s">
        <v>1064</v>
      </c>
      <c r="F592" t="s">
        <v>620</v>
      </c>
      <c r="G592" t="s">
        <v>1069</v>
      </c>
      <c r="H592" t="str">
        <f t="shared" si="63"/>
        <v>Furniture</v>
      </c>
      <c r="I592">
        <v>4</v>
      </c>
      <c r="J592" t="str">
        <f>VLOOKUP(K592,$AJ$2:$AK$7,2,FALSE)</f>
        <v>S006</v>
      </c>
      <c r="K592" t="s">
        <v>1102</v>
      </c>
      <c r="L592">
        <v>4.3</v>
      </c>
      <c r="M592" t="str">
        <f>IFERROR(VLOOKUP(TRIM(N592),$AP$2:$AQ$12,2,FALSE),"W001")</f>
        <v>W011</v>
      </c>
      <c r="N592" t="s">
        <v>1059</v>
      </c>
      <c r="O592" t="s">
        <v>1061</v>
      </c>
      <c r="P592" t="str">
        <f>VLOOKUP(O592,$AL$2:$AM$12,2,FALSE)</f>
        <v>West</v>
      </c>
      <c r="Q592" t="s">
        <v>1080</v>
      </c>
      <c r="R592">
        <v>1917</v>
      </c>
      <c r="S592" t="s">
        <v>1078</v>
      </c>
      <c r="T592">
        <f t="shared" si="64"/>
        <v>8</v>
      </c>
      <c r="U592">
        <v>287.55</v>
      </c>
      <c r="V592">
        <f t="shared" si="65"/>
        <v>4</v>
      </c>
      <c r="W592" t="s">
        <v>1088</v>
      </c>
      <c r="X592" t="s">
        <v>1090</v>
      </c>
      <c r="Y592">
        <f t="shared" si="66"/>
        <v>0</v>
      </c>
      <c r="Z592" t="s">
        <v>1108</v>
      </c>
      <c r="AA592" t="str">
        <f t="shared" si="67"/>
        <v>Low</v>
      </c>
      <c r="AB592" t="s">
        <v>1103</v>
      </c>
      <c r="AC592" t="str">
        <f t="shared" si="68"/>
        <v>Yes</v>
      </c>
      <c r="AD592">
        <v>4</v>
      </c>
      <c r="AE592">
        <v>34248</v>
      </c>
      <c r="AF592">
        <v>13699.2</v>
      </c>
      <c r="AG592">
        <f t="shared" si="69"/>
        <v>20261.25</v>
      </c>
    </row>
    <row r="593" spans="1:33" x14ac:dyDescent="0.25">
      <c r="A593">
        <v>1592</v>
      </c>
      <c r="B593" s="1">
        <v>45480</v>
      </c>
      <c r="C593" s="1">
        <v>45483</v>
      </c>
      <c r="D593" s="1">
        <v>45488</v>
      </c>
      <c r="E593" t="s">
        <v>1066</v>
      </c>
      <c r="F593" t="s">
        <v>621</v>
      </c>
      <c r="G593" t="s">
        <v>1069</v>
      </c>
      <c r="H593" t="str">
        <f t="shared" si="63"/>
        <v>Furniture</v>
      </c>
      <c r="I593">
        <v>8</v>
      </c>
      <c r="J593" t="str">
        <f>VLOOKUP(K593,$AJ$2:$AK$7,2,FALSE)</f>
        <v>S001</v>
      </c>
      <c r="K593" t="s">
        <v>1097</v>
      </c>
      <c r="L593">
        <v>4.4000000000000004</v>
      </c>
      <c r="M593" t="str">
        <f>IFERROR(VLOOKUP(TRIM(N593),$AP$2:$AQ$12,2,FALSE),"W001")</f>
        <v>W001</v>
      </c>
      <c r="N593" t="s">
        <v>1047</v>
      </c>
      <c r="O593" t="s">
        <v>1053</v>
      </c>
      <c r="P593" t="str">
        <f>VLOOKUP(O593,$AL$2:$AM$12,2,FALSE)</f>
        <v>South</v>
      </c>
      <c r="Q593" t="s">
        <v>1085</v>
      </c>
      <c r="R593">
        <v>520</v>
      </c>
      <c r="S593" t="s">
        <v>1066</v>
      </c>
      <c r="T593">
        <f t="shared" si="64"/>
        <v>6</v>
      </c>
      <c r="U593">
        <v>52</v>
      </c>
      <c r="V593">
        <f t="shared" si="65"/>
        <v>3</v>
      </c>
      <c r="W593" t="s">
        <v>1086</v>
      </c>
      <c r="X593" t="s">
        <v>1089</v>
      </c>
      <c r="Y593">
        <f t="shared" si="66"/>
        <v>52</v>
      </c>
      <c r="Z593" t="s">
        <v>1108</v>
      </c>
      <c r="AA593" t="str">
        <f t="shared" si="67"/>
        <v>Low</v>
      </c>
      <c r="AB593" t="s">
        <v>1103</v>
      </c>
      <c r="AC593" t="str">
        <f t="shared" si="68"/>
        <v>Yes</v>
      </c>
      <c r="AD593">
        <v>5</v>
      </c>
      <c r="AE593">
        <v>90448</v>
      </c>
      <c r="AF593">
        <v>36179.200000000004</v>
      </c>
      <c r="AG593">
        <f t="shared" si="69"/>
        <v>54216.799999999996</v>
      </c>
    </row>
    <row r="594" spans="1:33" x14ac:dyDescent="0.25">
      <c r="A594">
        <v>1593</v>
      </c>
      <c r="B594" s="1">
        <v>45940</v>
      </c>
      <c r="C594" s="1">
        <v>45943</v>
      </c>
      <c r="D594" s="1">
        <v>45948</v>
      </c>
      <c r="E594" t="s">
        <v>1065</v>
      </c>
      <c r="F594" t="s">
        <v>622</v>
      </c>
      <c r="G594" t="s">
        <v>1067</v>
      </c>
      <c r="H594" t="str">
        <f t="shared" si="63"/>
        <v>Clothing</v>
      </c>
      <c r="I594">
        <v>10</v>
      </c>
      <c r="J594" t="str">
        <f>VLOOKUP(K594,$AJ$2:$AK$7,2,FALSE)</f>
        <v>S004</v>
      </c>
      <c r="K594" t="s">
        <v>1100</v>
      </c>
      <c r="L594">
        <v>4.0999999999999996</v>
      </c>
      <c r="M594" t="str">
        <f>IFERROR(VLOOKUP(TRIM(N594),$AP$2:$AQ$12,2,FALSE),"W001")</f>
        <v>W009</v>
      </c>
      <c r="N594" t="s">
        <v>1060</v>
      </c>
      <c r="O594" t="s">
        <v>1059</v>
      </c>
      <c r="P594" t="str">
        <f>VLOOKUP(O594,$AL$2:$AM$12,2,FALSE)</f>
        <v>North</v>
      </c>
      <c r="Q594" t="s">
        <v>1080</v>
      </c>
      <c r="R594">
        <v>1737</v>
      </c>
      <c r="S594" t="s">
        <v>1078</v>
      </c>
      <c r="T594">
        <f t="shared" si="64"/>
        <v>8</v>
      </c>
      <c r="U594">
        <v>260.55</v>
      </c>
      <c r="V594">
        <f t="shared" si="65"/>
        <v>4</v>
      </c>
      <c r="W594" t="s">
        <v>1086</v>
      </c>
      <c r="X594" t="s">
        <v>1089</v>
      </c>
      <c r="Y594">
        <f t="shared" si="66"/>
        <v>260.55</v>
      </c>
      <c r="Z594" t="s">
        <v>1108</v>
      </c>
      <c r="AA594" t="str">
        <f t="shared" si="67"/>
        <v>Low</v>
      </c>
      <c r="AB594" t="s">
        <v>1103</v>
      </c>
      <c r="AC594" t="str">
        <f t="shared" si="68"/>
        <v>Yes</v>
      </c>
      <c r="AD594">
        <v>5</v>
      </c>
      <c r="AE594">
        <v>14660</v>
      </c>
      <c r="AF594">
        <v>5864</v>
      </c>
      <c r="AG594">
        <f t="shared" si="69"/>
        <v>8535.4500000000007</v>
      </c>
    </row>
    <row r="595" spans="1:33" x14ac:dyDescent="0.25">
      <c r="A595">
        <v>1594</v>
      </c>
      <c r="B595" s="1">
        <v>44380</v>
      </c>
      <c r="C595" s="1">
        <v>44382</v>
      </c>
      <c r="D595" s="1">
        <v>44387</v>
      </c>
      <c r="E595" t="s">
        <v>1065</v>
      </c>
      <c r="F595" t="s">
        <v>623</v>
      </c>
      <c r="G595" t="s">
        <v>1068</v>
      </c>
      <c r="H595" t="str">
        <f t="shared" si="63"/>
        <v>Electronics</v>
      </c>
      <c r="I595">
        <v>6</v>
      </c>
      <c r="J595" t="str">
        <f>VLOOKUP(K595,$AJ$2:$AK$7,2,FALSE)</f>
        <v>S003</v>
      </c>
      <c r="K595" t="s">
        <v>1099</v>
      </c>
      <c r="L595">
        <v>3.8</v>
      </c>
      <c r="M595" t="str">
        <f>IFERROR(VLOOKUP(TRIM(N595),$AP$2:$AQ$12,2,FALSE),"W001")</f>
        <v>W011</v>
      </c>
      <c r="N595" t="s">
        <v>1059</v>
      </c>
      <c r="O595" t="s">
        <v>1057</v>
      </c>
      <c r="P595" t="str">
        <f>VLOOKUP(O595,$AL$2:$AM$12,2,FALSE)</f>
        <v>South</v>
      </c>
      <c r="Q595" t="s">
        <v>1084</v>
      </c>
      <c r="R595">
        <v>1644</v>
      </c>
      <c r="S595" t="s">
        <v>1078</v>
      </c>
      <c r="T595">
        <f t="shared" si="64"/>
        <v>6</v>
      </c>
      <c r="U595">
        <v>493.2</v>
      </c>
      <c r="V595">
        <f t="shared" si="65"/>
        <v>6</v>
      </c>
      <c r="W595" t="s">
        <v>1087</v>
      </c>
      <c r="X595" t="s">
        <v>1091</v>
      </c>
      <c r="Y595">
        <f t="shared" si="66"/>
        <v>0</v>
      </c>
      <c r="Z595" t="s">
        <v>1109</v>
      </c>
      <c r="AA595" t="str">
        <f t="shared" si="67"/>
        <v>High</v>
      </c>
      <c r="AB595" t="s">
        <v>1103</v>
      </c>
      <c r="AC595" t="str">
        <f t="shared" si="68"/>
        <v>No</v>
      </c>
      <c r="AD595">
        <v>3</v>
      </c>
      <c r="AE595">
        <v>340044</v>
      </c>
      <c r="AF595">
        <v>136017.60000000001</v>
      </c>
      <c r="AG595">
        <f t="shared" si="69"/>
        <v>203533.19999999998</v>
      </c>
    </row>
    <row r="596" spans="1:33" x14ac:dyDescent="0.25">
      <c r="A596">
        <v>1595</v>
      </c>
      <c r="B596" s="1">
        <v>44254</v>
      </c>
      <c r="C596" s="1">
        <v>44256</v>
      </c>
      <c r="D596" s="1">
        <v>44262</v>
      </c>
      <c r="E596" t="s">
        <v>1064</v>
      </c>
      <c r="F596" t="s">
        <v>624</v>
      </c>
      <c r="G596" t="s">
        <v>1071</v>
      </c>
      <c r="H596" t="str">
        <f t="shared" si="63"/>
        <v>Clothing</v>
      </c>
      <c r="I596">
        <v>2</v>
      </c>
      <c r="J596" t="str">
        <f>VLOOKUP(K596,$AJ$2:$AK$7,2,FALSE)</f>
        <v>S002</v>
      </c>
      <c r="K596" t="s">
        <v>1098</v>
      </c>
      <c r="L596">
        <v>4.5999999999999996</v>
      </c>
      <c r="M596" t="str">
        <f>IFERROR(VLOOKUP(TRIM(N596),$AP$2:$AQ$12,2,FALSE),"W001")</f>
        <v>W007</v>
      </c>
      <c r="N596" t="s">
        <v>1062</v>
      </c>
      <c r="O596" t="s">
        <v>1060</v>
      </c>
      <c r="P596" t="str">
        <f>VLOOKUP(O596,$AL$2:$AM$12,2,FALSE)</f>
        <v>North</v>
      </c>
      <c r="Q596" t="s">
        <v>1084</v>
      </c>
      <c r="R596">
        <v>1793</v>
      </c>
      <c r="S596" t="s">
        <v>1078</v>
      </c>
      <c r="T596">
        <f t="shared" si="64"/>
        <v>6</v>
      </c>
      <c r="U596">
        <v>537.9</v>
      </c>
      <c r="V596">
        <f t="shared" si="65"/>
        <v>6</v>
      </c>
      <c r="W596" t="s">
        <v>1087</v>
      </c>
      <c r="X596" t="s">
        <v>1090</v>
      </c>
      <c r="Y596">
        <f t="shared" si="66"/>
        <v>0</v>
      </c>
      <c r="Z596" t="s">
        <v>1109</v>
      </c>
      <c r="AA596" t="str">
        <f t="shared" si="67"/>
        <v>High</v>
      </c>
      <c r="AB596" t="s">
        <v>1103</v>
      </c>
      <c r="AC596" t="str">
        <f t="shared" si="68"/>
        <v>No</v>
      </c>
      <c r="AD596">
        <v>3</v>
      </c>
      <c r="AE596">
        <v>2568</v>
      </c>
      <c r="AF596">
        <v>1027.2</v>
      </c>
      <c r="AG596">
        <f t="shared" si="69"/>
        <v>1002.9</v>
      </c>
    </row>
    <row r="597" spans="1:33" x14ac:dyDescent="0.25">
      <c r="A597">
        <v>1596</v>
      </c>
      <c r="B597" s="1">
        <v>44265</v>
      </c>
      <c r="C597" s="1">
        <v>44267</v>
      </c>
      <c r="D597" s="1">
        <v>44274</v>
      </c>
      <c r="E597" t="s">
        <v>1066</v>
      </c>
      <c r="F597" t="s">
        <v>625</v>
      </c>
      <c r="G597" t="s">
        <v>1072</v>
      </c>
      <c r="H597" t="str">
        <f t="shared" si="63"/>
        <v>Electronics</v>
      </c>
      <c r="I597">
        <v>2</v>
      </c>
      <c r="J597" t="str">
        <f>VLOOKUP(K597,$AJ$2:$AK$7,2,FALSE)</f>
        <v>S004</v>
      </c>
      <c r="K597" t="s">
        <v>1100</v>
      </c>
      <c r="L597">
        <v>4.0999999999999996</v>
      </c>
      <c r="M597" t="str">
        <f>IFERROR(VLOOKUP(TRIM(N597),$AP$2:$AQ$12,2,FALSE),"W001")</f>
        <v>W004</v>
      </c>
      <c r="N597" t="s">
        <v>1053</v>
      </c>
      <c r="O597" t="s">
        <v>1047</v>
      </c>
      <c r="P597" t="str">
        <f>VLOOKUP(O597,$AL$2:$AM$12,2,FALSE)</f>
        <v>West</v>
      </c>
      <c r="Q597" t="s">
        <v>1082</v>
      </c>
      <c r="R597">
        <v>303</v>
      </c>
      <c r="S597" t="s">
        <v>1066</v>
      </c>
      <c r="T597">
        <f t="shared" si="64"/>
        <v>2</v>
      </c>
      <c r="U597">
        <v>121.2</v>
      </c>
      <c r="V597">
        <f t="shared" si="65"/>
        <v>8</v>
      </c>
      <c r="W597" t="s">
        <v>1088</v>
      </c>
      <c r="X597" t="s">
        <v>1091</v>
      </c>
      <c r="Y597">
        <f t="shared" si="66"/>
        <v>0</v>
      </c>
      <c r="Z597" t="s">
        <v>1108</v>
      </c>
      <c r="AA597" t="str">
        <f t="shared" si="67"/>
        <v>Medium</v>
      </c>
      <c r="AB597" t="s">
        <v>1104</v>
      </c>
      <c r="AC597" t="str">
        <f t="shared" si="68"/>
        <v>Yes</v>
      </c>
      <c r="AD597">
        <v>2</v>
      </c>
      <c r="AE597">
        <v>32896</v>
      </c>
      <c r="AF597">
        <v>13158.400000000001</v>
      </c>
      <c r="AG597">
        <f t="shared" si="69"/>
        <v>19616.399999999998</v>
      </c>
    </row>
    <row r="598" spans="1:33" x14ac:dyDescent="0.25">
      <c r="A598">
        <v>1597</v>
      </c>
      <c r="B598" s="1">
        <v>44405</v>
      </c>
      <c r="C598" s="1">
        <v>44407</v>
      </c>
      <c r="D598" s="1">
        <v>44411</v>
      </c>
      <c r="E598" t="s">
        <v>1066</v>
      </c>
      <c r="F598" t="s">
        <v>626</v>
      </c>
      <c r="G598" t="s">
        <v>1068</v>
      </c>
      <c r="H598" t="str">
        <f t="shared" si="63"/>
        <v>Electronics</v>
      </c>
      <c r="I598">
        <v>6</v>
      </c>
      <c r="J598" t="str">
        <f>VLOOKUP(K598,$AJ$2:$AK$7,2,FALSE)</f>
        <v>S004</v>
      </c>
      <c r="K598" t="s">
        <v>1100</v>
      </c>
      <c r="L598">
        <v>4.2</v>
      </c>
      <c r="M598" t="str">
        <f>IFERROR(VLOOKUP(TRIM(N598),$AP$2:$AQ$12,2,FALSE),"W001")</f>
        <v>W007</v>
      </c>
      <c r="N598" t="s">
        <v>1062</v>
      </c>
      <c r="O598" t="s">
        <v>1063</v>
      </c>
      <c r="P598" t="str">
        <f>VLOOKUP(O598,$AL$2:$AM$12,2,FALSE)</f>
        <v>South</v>
      </c>
      <c r="Q598" t="s">
        <v>1084</v>
      </c>
      <c r="R598">
        <v>280</v>
      </c>
      <c r="S598" t="s">
        <v>1066</v>
      </c>
      <c r="T598">
        <f t="shared" si="64"/>
        <v>2</v>
      </c>
      <c r="U598">
        <v>84</v>
      </c>
      <c r="V598">
        <f t="shared" si="65"/>
        <v>6</v>
      </c>
      <c r="W598" t="s">
        <v>1088</v>
      </c>
      <c r="X598" t="s">
        <v>1091</v>
      </c>
      <c r="Y598">
        <f t="shared" si="66"/>
        <v>0</v>
      </c>
      <c r="Z598" t="s">
        <v>1108</v>
      </c>
      <c r="AA598" t="str">
        <f t="shared" si="67"/>
        <v>Low</v>
      </c>
      <c r="AB598" t="s">
        <v>1103</v>
      </c>
      <c r="AC598" t="str">
        <f t="shared" si="68"/>
        <v>Yes</v>
      </c>
      <c r="AD598">
        <v>4</v>
      </c>
      <c r="AE598">
        <v>326988</v>
      </c>
      <c r="AF598">
        <v>130795.20000000001</v>
      </c>
      <c r="AG598">
        <f t="shared" si="69"/>
        <v>196108.79999999999</v>
      </c>
    </row>
    <row r="599" spans="1:33" x14ac:dyDescent="0.25">
      <c r="A599">
        <v>1598</v>
      </c>
      <c r="B599" s="1">
        <v>45507</v>
      </c>
      <c r="C599" s="1">
        <v>45508</v>
      </c>
      <c r="D599" s="1">
        <v>45513</v>
      </c>
      <c r="E599" t="s">
        <v>1066</v>
      </c>
      <c r="F599" t="s">
        <v>627</v>
      </c>
      <c r="G599" t="s">
        <v>1068</v>
      </c>
      <c r="H599" t="str">
        <f t="shared" si="63"/>
        <v>Electronics</v>
      </c>
      <c r="I599">
        <v>1</v>
      </c>
      <c r="J599" t="str">
        <f>VLOOKUP(K599,$AJ$2:$AK$7,2,FALSE)</f>
        <v>S001</v>
      </c>
      <c r="K599" t="s">
        <v>1097</v>
      </c>
      <c r="L599">
        <v>3</v>
      </c>
      <c r="M599" t="str">
        <f>IFERROR(VLOOKUP(TRIM(N599),$AP$2:$AQ$12,2,FALSE),"W001")</f>
        <v>W009</v>
      </c>
      <c r="N599" t="s">
        <v>1060</v>
      </c>
      <c r="O599" t="s">
        <v>1055</v>
      </c>
      <c r="P599" t="str">
        <f>VLOOKUP(O599,$AL$2:$AM$12,2,FALSE)</f>
        <v>South</v>
      </c>
      <c r="Q599" t="s">
        <v>1083</v>
      </c>
      <c r="R599">
        <v>669</v>
      </c>
      <c r="S599" t="s">
        <v>1066</v>
      </c>
      <c r="T599">
        <f t="shared" si="64"/>
        <v>2</v>
      </c>
      <c r="U599">
        <v>334.5</v>
      </c>
      <c r="V599">
        <f t="shared" si="65"/>
        <v>10</v>
      </c>
      <c r="W599" t="s">
        <v>1088</v>
      </c>
      <c r="X599" t="s">
        <v>1089</v>
      </c>
      <c r="Y599">
        <f t="shared" si="66"/>
        <v>0</v>
      </c>
      <c r="Z599" t="s">
        <v>1108</v>
      </c>
      <c r="AA599" t="str">
        <f t="shared" si="67"/>
        <v>Medium</v>
      </c>
      <c r="AB599" t="s">
        <v>1103</v>
      </c>
      <c r="AC599" t="str">
        <f t="shared" si="68"/>
        <v>Yes</v>
      </c>
      <c r="AD599">
        <v>4</v>
      </c>
      <c r="AE599">
        <v>61301</v>
      </c>
      <c r="AF599">
        <v>24520.400000000001</v>
      </c>
      <c r="AG599">
        <f t="shared" si="69"/>
        <v>36446.1</v>
      </c>
    </row>
    <row r="600" spans="1:33" x14ac:dyDescent="0.25">
      <c r="A600">
        <v>1599</v>
      </c>
      <c r="B600" s="1">
        <v>44545</v>
      </c>
      <c r="C600" s="1">
        <v>44548</v>
      </c>
      <c r="D600" s="1">
        <v>44552</v>
      </c>
      <c r="E600" t="s">
        <v>1065</v>
      </c>
      <c r="F600" t="s">
        <v>628</v>
      </c>
      <c r="G600" t="s">
        <v>1071</v>
      </c>
      <c r="H600" t="str">
        <f t="shared" si="63"/>
        <v>Clothing</v>
      </c>
      <c r="I600">
        <v>1</v>
      </c>
      <c r="J600" t="str">
        <f>VLOOKUP(K600,$AJ$2:$AK$7,2,FALSE)</f>
        <v>S003</v>
      </c>
      <c r="K600" t="s">
        <v>1099</v>
      </c>
      <c r="L600">
        <v>4</v>
      </c>
      <c r="M600" t="str">
        <f>IFERROR(VLOOKUP(TRIM(N600),$AP$2:$AQ$12,2,FALSE),"W001")</f>
        <v>W006</v>
      </c>
      <c r="N600" t="s">
        <v>1057</v>
      </c>
      <c r="O600" t="s">
        <v>1057</v>
      </c>
      <c r="P600" t="str">
        <f>VLOOKUP(O600,$AL$2:$AM$12,2,FALSE)</f>
        <v>South</v>
      </c>
      <c r="Q600" t="s">
        <v>1083</v>
      </c>
      <c r="R600">
        <v>44</v>
      </c>
      <c r="S600" t="s">
        <v>1079</v>
      </c>
      <c r="T600">
        <f t="shared" si="64"/>
        <v>1</v>
      </c>
      <c r="U600">
        <v>22</v>
      </c>
      <c r="V600">
        <f t="shared" si="65"/>
        <v>10</v>
      </c>
      <c r="W600" t="s">
        <v>1088</v>
      </c>
      <c r="X600" t="s">
        <v>1090</v>
      </c>
      <c r="Y600">
        <f t="shared" si="66"/>
        <v>0</v>
      </c>
      <c r="Z600" t="s">
        <v>1108</v>
      </c>
      <c r="AA600" t="str">
        <f t="shared" si="67"/>
        <v>Medium</v>
      </c>
      <c r="AB600" t="s">
        <v>1103</v>
      </c>
      <c r="AC600" t="str">
        <f t="shared" si="68"/>
        <v>Yes</v>
      </c>
      <c r="AD600">
        <v>5</v>
      </c>
      <c r="AE600">
        <v>2846</v>
      </c>
      <c r="AF600">
        <v>1138.4000000000001</v>
      </c>
      <c r="AG600">
        <f t="shared" si="69"/>
        <v>1685.6</v>
      </c>
    </row>
    <row r="601" spans="1:33" x14ac:dyDescent="0.25">
      <c r="A601">
        <v>1600</v>
      </c>
      <c r="B601" s="1">
        <v>46297</v>
      </c>
      <c r="C601" s="1">
        <v>46300</v>
      </c>
      <c r="D601" s="1">
        <v>46302</v>
      </c>
      <c r="E601" t="s">
        <v>1064</v>
      </c>
      <c r="F601" t="s">
        <v>629</v>
      </c>
      <c r="G601" t="s">
        <v>1068</v>
      </c>
      <c r="H601" t="str">
        <f t="shared" si="63"/>
        <v>Electronics</v>
      </c>
      <c r="I601">
        <v>7</v>
      </c>
      <c r="J601" t="str">
        <f>VLOOKUP(K601,$AJ$2:$AK$7,2,FALSE)</f>
        <v>S003</v>
      </c>
      <c r="K601" t="s">
        <v>1099</v>
      </c>
      <c r="L601">
        <v>4.3</v>
      </c>
      <c r="M601" t="str">
        <f>IFERROR(VLOOKUP(TRIM(N601),$AP$2:$AQ$12,2,FALSE),"W001")</f>
        <v>W009</v>
      </c>
      <c r="N601" t="s">
        <v>1060</v>
      </c>
      <c r="O601" t="s">
        <v>1061</v>
      </c>
      <c r="P601" t="str">
        <f>VLOOKUP(O601,$AL$2:$AM$12,2,FALSE)</f>
        <v>West</v>
      </c>
      <c r="Q601" t="s">
        <v>1084</v>
      </c>
      <c r="R601">
        <v>1598</v>
      </c>
      <c r="S601" t="s">
        <v>1078</v>
      </c>
      <c r="T601">
        <f t="shared" si="64"/>
        <v>6</v>
      </c>
      <c r="U601">
        <v>479.4</v>
      </c>
      <c r="V601">
        <f t="shared" si="65"/>
        <v>6</v>
      </c>
      <c r="W601" t="s">
        <v>1088</v>
      </c>
      <c r="X601" t="s">
        <v>1091</v>
      </c>
      <c r="Y601">
        <f t="shared" si="66"/>
        <v>0</v>
      </c>
      <c r="Z601" t="s">
        <v>1109</v>
      </c>
      <c r="AA601" t="str">
        <f t="shared" si="67"/>
        <v>High</v>
      </c>
      <c r="AB601" t="s">
        <v>1103</v>
      </c>
      <c r="AC601" t="str">
        <f t="shared" si="68"/>
        <v>No</v>
      </c>
      <c r="AD601">
        <v>2</v>
      </c>
      <c r="AE601">
        <v>334670</v>
      </c>
      <c r="AF601">
        <v>133868</v>
      </c>
      <c r="AG601">
        <f t="shared" si="69"/>
        <v>200322.6</v>
      </c>
    </row>
    <row r="602" spans="1:33" x14ac:dyDescent="0.25">
      <c r="A602">
        <v>1601</v>
      </c>
      <c r="B602" s="1">
        <v>45429</v>
      </c>
      <c r="C602" s="1">
        <v>45431</v>
      </c>
      <c r="D602" s="1">
        <v>45437</v>
      </c>
      <c r="E602" t="s">
        <v>1066</v>
      </c>
      <c r="F602" t="s">
        <v>630</v>
      </c>
      <c r="G602" t="s">
        <v>1072</v>
      </c>
      <c r="H602" t="str">
        <f t="shared" si="63"/>
        <v>Electronics</v>
      </c>
      <c r="I602">
        <v>6</v>
      </c>
      <c r="J602" t="str">
        <f>VLOOKUP(K602,$AJ$2:$AK$7,2,FALSE)</f>
        <v>S003</v>
      </c>
      <c r="K602" t="s">
        <v>1099</v>
      </c>
      <c r="L602">
        <v>4.0999999999999996</v>
      </c>
      <c r="M602" t="str">
        <f>IFERROR(VLOOKUP(TRIM(N602),$AP$2:$AQ$12,2,FALSE),"W001")</f>
        <v>W002</v>
      </c>
      <c r="N602" t="s">
        <v>1049</v>
      </c>
      <c r="O602" t="s">
        <v>1049</v>
      </c>
      <c r="P602" t="str">
        <f>VLOOKUP(O602,$AL$2:$AM$12,2,FALSE)</f>
        <v>North</v>
      </c>
      <c r="Q602" t="s">
        <v>1085</v>
      </c>
      <c r="R602">
        <v>35</v>
      </c>
      <c r="S602" t="s">
        <v>1079</v>
      </c>
      <c r="T602">
        <f t="shared" si="64"/>
        <v>3</v>
      </c>
      <c r="U602">
        <v>3.5</v>
      </c>
      <c r="V602">
        <f t="shared" si="65"/>
        <v>3</v>
      </c>
      <c r="W602" t="s">
        <v>1086</v>
      </c>
      <c r="X602" t="s">
        <v>1090</v>
      </c>
      <c r="Y602">
        <f t="shared" si="66"/>
        <v>3.5</v>
      </c>
      <c r="Z602" t="s">
        <v>1108</v>
      </c>
      <c r="AA602" t="str">
        <f t="shared" si="67"/>
        <v>Low</v>
      </c>
      <c r="AB602" t="s">
        <v>1103</v>
      </c>
      <c r="AC602" t="str">
        <f t="shared" si="68"/>
        <v>Yes</v>
      </c>
      <c r="AD602">
        <v>4</v>
      </c>
      <c r="AE602">
        <v>155130</v>
      </c>
      <c r="AF602">
        <v>62052</v>
      </c>
      <c r="AG602">
        <f t="shared" si="69"/>
        <v>93074.5</v>
      </c>
    </row>
    <row r="603" spans="1:33" x14ac:dyDescent="0.25">
      <c r="A603">
        <v>1602</v>
      </c>
      <c r="B603" s="1">
        <v>45925</v>
      </c>
      <c r="C603" s="1">
        <v>45927</v>
      </c>
      <c r="D603" s="1">
        <v>45933</v>
      </c>
      <c r="E603" t="s">
        <v>1064</v>
      </c>
      <c r="F603" t="s">
        <v>631</v>
      </c>
      <c r="G603" t="s">
        <v>1068</v>
      </c>
      <c r="H603" t="str">
        <f t="shared" si="63"/>
        <v>Electronics</v>
      </c>
      <c r="I603">
        <v>8</v>
      </c>
      <c r="J603" t="str">
        <f>VLOOKUP(K603,$AJ$2:$AK$7,2,FALSE)</f>
        <v>S002</v>
      </c>
      <c r="K603" t="s">
        <v>1098</v>
      </c>
      <c r="L603">
        <v>3.5</v>
      </c>
      <c r="M603" t="str">
        <f>IFERROR(VLOOKUP(TRIM(N603),$AP$2:$AQ$12,2,FALSE),"W001")</f>
        <v>W011</v>
      </c>
      <c r="N603" t="s">
        <v>1059</v>
      </c>
      <c r="O603" t="s">
        <v>1055</v>
      </c>
      <c r="P603" t="str">
        <f>VLOOKUP(O603,$AL$2:$AM$12,2,FALSE)</f>
        <v>South</v>
      </c>
      <c r="Q603" t="s">
        <v>1084</v>
      </c>
      <c r="R603">
        <v>1641</v>
      </c>
      <c r="S603" t="s">
        <v>1078</v>
      </c>
      <c r="T603">
        <f t="shared" si="64"/>
        <v>6</v>
      </c>
      <c r="U603">
        <v>492.3</v>
      </c>
      <c r="V603">
        <f t="shared" si="65"/>
        <v>6</v>
      </c>
      <c r="W603" t="s">
        <v>1086</v>
      </c>
      <c r="X603" t="s">
        <v>1091</v>
      </c>
      <c r="Y603">
        <f t="shared" si="66"/>
        <v>492.3</v>
      </c>
      <c r="Z603" t="s">
        <v>1109</v>
      </c>
      <c r="AA603" t="str">
        <f t="shared" si="67"/>
        <v>High</v>
      </c>
      <c r="AB603" t="s">
        <v>1103</v>
      </c>
      <c r="AC603" t="str">
        <f t="shared" si="68"/>
        <v>No</v>
      </c>
      <c r="AD603">
        <v>3</v>
      </c>
      <c r="AE603">
        <v>506632</v>
      </c>
      <c r="AF603">
        <v>202652.80000000002</v>
      </c>
      <c r="AG603">
        <f t="shared" si="69"/>
        <v>303486.89999999997</v>
      </c>
    </row>
    <row r="604" spans="1:33" x14ac:dyDescent="0.25">
      <c r="A604">
        <v>1603</v>
      </c>
      <c r="B604" s="1">
        <v>45836</v>
      </c>
      <c r="C604" s="1">
        <v>45838</v>
      </c>
      <c r="D604" s="1">
        <v>45843</v>
      </c>
      <c r="E604" t="s">
        <v>1066</v>
      </c>
      <c r="F604" t="s">
        <v>632</v>
      </c>
      <c r="G604" t="s">
        <v>1070</v>
      </c>
      <c r="H604" t="str">
        <f t="shared" si="63"/>
        <v>Furniture</v>
      </c>
      <c r="I604">
        <v>5</v>
      </c>
      <c r="J604" t="str">
        <f>VLOOKUP(K604,$AJ$2:$AK$7,2,FALSE)</f>
        <v>S004</v>
      </c>
      <c r="K604" t="s">
        <v>1100</v>
      </c>
      <c r="L604">
        <v>3.6</v>
      </c>
      <c r="M604" t="str">
        <f>IFERROR(VLOOKUP(TRIM(N604),$AP$2:$AQ$12,2,FALSE),"W001")</f>
        <v>W006</v>
      </c>
      <c r="N604" t="s">
        <v>1057</v>
      </c>
      <c r="O604" t="s">
        <v>1061</v>
      </c>
      <c r="P604" t="str">
        <f>VLOOKUP(O604,$AL$2:$AM$12,2,FALSE)</f>
        <v>West</v>
      </c>
      <c r="Q604" t="s">
        <v>1080</v>
      </c>
      <c r="R604">
        <v>742</v>
      </c>
      <c r="S604" t="s">
        <v>1066</v>
      </c>
      <c r="T604">
        <f t="shared" si="64"/>
        <v>4</v>
      </c>
      <c r="U604">
        <v>111.3</v>
      </c>
      <c r="V604">
        <f t="shared" si="65"/>
        <v>4</v>
      </c>
      <c r="W604" t="s">
        <v>1087</v>
      </c>
      <c r="X604" t="s">
        <v>1091</v>
      </c>
      <c r="Y604">
        <f t="shared" si="66"/>
        <v>0</v>
      </c>
      <c r="Z604" t="s">
        <v>1108</v>
      </c>
      <c r="AA604" t="str">
        <f t="shared" si="67"/>
        <v>Low</v>
      </c>
      <c r="AB604" t="s">
        <v>1103</v>
      </c>
      <c r="AC604" t="str">
        <f t="shared" si="68"/>
        <v>Yes</v>
      </c>
      <c r="AD604">
        <v>5</v>
      </c>
      <c r="AE604">
        <v>26130</v>
      </c>
      <c r="AF604">
        <v>10452</v>
      </c>
      <c r="AG604">
        <f t="shared" si="69"/>
        <v>15566.7</v>
      </c>
    </row>
    <row r="605" spans="1:33" x14ac:dyDescent="0.25">
      <c r="A605">
        <v>1604</v>
      </c>
      <c r="B605" s="1">
        <v>44459</v>
      </c>
      <c r="C605" s="1">
        <v>44462</v>
      </c>
      <c r="D605" s="1">
        <v>44469</v>
      </c>
      <c r="E605" t="s">
        <v>1066</v>
      </c>
      <c r="F605" t="s">
        <v>633</v>
      </c>
      <c r="G605" t="s">
        <v>1070</v>
      </c>
      <c r="H605" t="str">
        <f t="shared" si="63"/>
        <v>Furniture</v>
      </c>
      <c r="I605">
        <v>3</v>
      </c>
      <c r="J605" t="str">
        <f>VLOOKUP(K605,$AJ$2:$AK$7,2,FALSE)</f>
        <v>S004</v>
      </c>
      <c r="K605" t="s">
        <v>1100</v>
      </c>
      <c r="L605">
        <v>3.4</v>
      </c>
      <c r="M605" t="str">
        <f>IFERROR(VLOOKUP(TRIM(N605),$AP$2:$AQ$12,2,FALSE),"W001")</f>
        <v>W011</v>
      </c>
      <c r="N605" t="s">
        <v>1059</v>
      </c>
      <c r="O605" t="s">
        <v>1051</v>
      </c>
      <c r="P605" t="str">
        <f>VLOOKUP(O605,$AL$2:$AM$12,2,FALSE)</f>
        <v>West</v>
      </c>
      <c r="Q605" t="s">
        <v>1083</v>
      </c>
      <c r="R605">
        <v>1638</v>
      </c>
      <c r="S605" t="s">
        <v>1078</v>
      </c>
      <c r="T605">
        <f t="shared" si="64"/>
        <v>3</v>
      </c>
      <c r="U605">
        <v>819</v>
      </c>
      <c r="V605">
        <f t="shared" si="65"/>
        <v>10</v>
      </c>
      <c r="W605" t="s">
        <v>1086</v>
      </c>
      <c r="X605" t="s">
        <v>1091</v>
      </c>
      <c r="Y605">
        <f t="shared" si="66"/>
        <v>819</v>
      </c>
      <c r="Z605" t="s">
        <v>1108</v>
      </c>
      <c r="AA605" t="str">
        <f t="shared" si="67"/>
        <v>Medium</v>
      </c>
      <c r="AB605" t="s">
        <v>1103</v>
      </c>
      <c r="AC605" t="str">
        <f t="shared" si="68"/>
        <v>Yes</v>
      </c>
      <c r="AD605">
        <v>4</v>
      </c>
      <c r="AE605">
        <v>22563</v>
      </c>
      <c r="AF605">
        <v>9025.2000000000007</v>
      </c>
      <c r="AG605">
        <f t="shared" si="69"/>
        <v>12718.8</v>
      </c>
    </row>
    <row r="606" spans="1:33" x14ac:dyDescent="0.25">
      <c r="A606">
        <v>1605</v>
      </c>
      <c r="B606" s="1">
        <v>44442</v>
      </c>
      <c r="C606" s="1">
        <v>44445</v>
      </c>
      <c r="D606" s="1">
        <v>44448</v>
      </c>
      <c r="E606" t="s">
        <v>1064</v>
      </c>
      <c r="F606" t="s">
        <v>634</v>
      </c>
      <c r="G606" t="s">
        <v>1067</v>
      </c>
      <c r="H606" t="str">
        <f t="shared" si="63"/>
        <v>Clothing</v>
      </c>
      <c r="I606">
        <v>6</v>
      </c>
      <c r="J606" t="str">
        <f>VLOOKUP(K606,$AJ$2:$AK$7,2,FALSE)</f>
        <v>S004</v>
      </c>
      <c r="K606" t="s">
        <v>1100</v>
      </c>
      <c r="L606">
        <v>4</v>
      </c>
      <c r="M606" t="str">
        <f>IFERROR(VLOOKUP(TRIM(N606),$AP$2:$AQ$12,2,FALSE),"W001")</f>
        <v>W009</v>
      </c>
      <c r="N606" t="s">
        <v>1060</v>
      </c>
      <c r="O606" t="s">
        <v>1061</v>
      </c>
      <c r="P606" t="str">
        <f>VLOOKUP(O606,$AL$2:$AM$12,2,FALSE)</f>
        <v>West</v>
      </c>
      <c r="Q606" t="s">
        <v>1080</v>
      </c>
      <c r="R606">
        <v>1503</v>
      </c>
      <c r="S606" t="s">
        <v>1078</v>
      </c>
      <c r="T606">
        <f t="shared" si="64"/>
        <v>7</v>
      </c>
      <c r="U606">
        <v>225.45</v>
      </c>
      <c r="V606">
        <f t="shared" si="65"/>
        <v>4</v>
      </c>
      <c r="W606" t="s">
        <v>1088</v>
      </c>
      <c r="X606" t="s">
        <v>1091</v>
      </c>
      <c r="Y606">
        <f t="shared" si="66"/>
        <v>0</v>
      </c>
      <c r="Z606" t="s">
        <v>1108</v>
      </c>
      <c r="AA606" t="str">
        <f t="shared" si="67"/>
        <v>Low</v>
      </c>
      <c r="AB606" t="s">
        <v>1103</v>
      </c>
      <c r="AC606" t="str">
        <f t="shared" si="68"/>
        <v>Yes</v>
      </c>
      <c r="AD606">
        <v>4</v>
      </c>
      <c r="AE606">
        <v>3576</v>
      </c>
      <c r="AF606">
        <v>1430.4</v>
      </c>
      <c r="AG606">
        <f t="shared" si="69"/>
        <v>1920.1499999999999</v>
      </c>
    </row>
    <row r="607" spans="1:33" x14ac:dyDescent="0.25">
      <c r="A607">
        <v>1606</v>
      </c>
      <c r="B607" s="1">
        <v>44291</v>
      </c>
      <c r="C607" s="1">
        <v>44292</v>
      </c>
      <c r="D607" s="1">
        <v>44295</v>
      </c>
      <c r="E607" t="s">
        <v>1066</v>
      </c>
      <c r="F607" t="s">
        <v>635</v>
      </c>
      <c r="G607" t="s">
        <v>1067</v>
      </c>
      <c r="H607" t="str">
        <f t="shared" si="63"/>
        <v>Clothing</v>
      </c>
      <c r="I607">
        <v>1</v>
      </c>
      <c r="J607" t="str">
        <f>VLOOKUP(K607,$AJ$2:$AK$7,2,FALSE)</f>
        <v>S002</v>
      </c>
      <c r="K607" t="s">
        <v>1098</v>
      </c>
      <c r="L607">
        <v>4</v>
      </c>
      <c r="M607" t="str">
        <f>IFERROR(VLOOKUP(TRIM(N607),$AP$2:$AQ$12,2,FALSE),"W001")</f>
        <v>W002</v>
      </c>
      <c r="N607" t="s">
        <v>1049</v>
      </c>
      <c r="O607" t="s">
        <v>1062</v>
      </c>
      <c r="P607" t="str">
        <f>VLOOKUP(O607,$AL$2:$AM$12,2,FALSE)</f>
        <v>North</v>
      </c>
      <c r="Q607" t="s">
        <v>1083</v>
      </c>
      <c r="R607">
        <v>283</v>
      </c>
      <c r="S607" t="s">
        <v>1066</v>
      </c>
      <c r="T607">
        <f t="shared" si="64"/>
        <v>1</v>
      </c>
      <c r="U607">
        <v>141.5</v>
      </c>
      <c r="V607">
        <f t="shared" si="65"/>
        <v>10</v>
      </c>
      <c r="W607" t="s">
        <v>1086</v>
      </c>
      <c r="X607" t="s">
        <v>1091</v>
      </c>
      <c r="Y607">
        <f t="shared" si="66"/>
        <v>141.5</v>
      </c>
      <c r="Z607" t="s">
        <v>1108</v>
      </c>
      <c r="AA607" t="str">
        <f t="shared" si="67"/>
        <v>Medium</v>
      </c>
      <c r="AB607" t="s">
        <v>1103</v>
      </c>
      <c r="AC607" t="str">
        <f t="shared" si="68"/>
        <v>Yes</v>
      </c>
      <c r="AD607">
        <v>5</v>
      </c>
      <c r="AE607">
        <v>1174</v>
      </c>
      <c r="AF607">
        <v>469.6</v>
      </c>
      <c r="AG607">
        <f t="shared" si="69"/>
        <v>562.9</v>
      </c>
    </row>
    <row r="608" spans="1:33" x14ac:dyDescent="0.25">
      <c r="A608">
        <v>1607</v>
      </c>
      <c r="B608" s="1">
        <v>44473</v>
      </c>
      <c r="C608" s="1">
        <v>44475</v>
      </c>
      <c r="D608" s="1">
        <v>44481</v>
      </c>
      <c r="E608" t="s">
        <v>1064</v>
      </c>
      <c r="F608" t="s">
        <v>636</v>
      </c>
      <c r="G608" t="s">
        <v>1069</v>
      </c>
      <c r="H608" t="str">
        <f t="shared" si="63"/>
        <v>Furniture</v>
      </c>
      <c r="I608">
        <v>4</v>
      </c>
      <c r="J608" t="str">
        <f>VLOOKUP(K608,$AJ$2:$AK$7,2,FALSE)</f>
        <v>S001</v>
      </c>
      <c r="K608" t="s">
        <v>1097</v>
      </c>
      <c r="L608">
        <v>3.2</v>
      </c>
      <c r="M608" t="str">
        <f>IFERROR(VLOOKUP(TRIM(N608),$AP$2:$AQ$12,2,FALSE),"W001")</f>
        <v>W003</v>
      </c>
      <c r="N608" t="s">
        <v>1051</v>
      </c>
      <c r="O608" t="s">
        <v>1055</v>
      </c>
      <c r="P608" t="str">
        <f>VLOOKUP(O608,$AL$2:$AM$12,2,FALSE)</f>
        <v>South</v>
      </c>
      <c r="Q608" t="s">
        <v>1080</v>
      </c>
      <c r="R608">
        <v>1424</v>
      </c>
      <c r="S608" t="s">
        <v>1078</v>
      </c>
      <c r="T608">
        <f t="shared" si="64"/>
        <v>7</v>
      </c>
      <c r="U608">
        <v>213.6</v>
      </c>
      <c r="V608">
        <f t="shared" si="65"/>
        <v>4</v>
      </c>
      <c r="W608" t="s">
        <v>1088</v>
      </c>
      <c r="X608" t="s">
        <v>1091</v>
      </c>
      <c r="Y608">
        <f t="shared" si="66"/>
        <v>0</v>
      </c>
      <c r="Z608" t="s">
        <v>1108</v>
      </c>
      <c r="AA608" t="str">
        <f t="shared" si="67"/>
        <v>Low</v>
      </c>
      <c r="AB608" t="s">
        <v>1103</v>
      </c>
      <c r="AC608" t="str">
        <f t="shared" si="68"/>
        <v>Yes</v>
      </c>
      <c r="AD608">
        <v>4</v>
      </c>
      <c r="AE608">
        <v>22248</v>
      </c>
      <c r="AF608">
        <v>8899.2000000000007</v>
      </c>
      <c r="AG608">
        <f t="shared" si="69"/>
        <v>13135.199999999999</v>
      </c>
    </row>
    <row r="609" spans="1:33" x14ac:dyDescent="0.25">
      <c r="A609">
        <v>1608</v>
      </c>
      <c r="B609" s="1">
        <v>45680</v>
      </c>
      <c r="C609" s="1">
        <v>45682</v>
      </c>
      <c r="D609" s="1">
        <v>45688</v>
      </c>
      <c r="E609" t="s">
        <v>1064</v>
      </c>
      <c r="F609" t="s">
        <v>637</v>
      </c>
      <c r="G609" t="s">
        <v>1070</v>
      </c>
      <c r="H609" t="str">
        <f t="shared" si="63"/>
        <v>Furniture</v>
      </c>
      <c r="I609">
        <v>9</v>
      </c>
      <c r="J609" t="str">
        <f>VLOOKUP(K609,$AJ$2:$AK$7,2,FALSE)</f>
        <v>S003</v>
      </c>
      <c r="K609" t="s">
        <v>1099</v>
      </c>
      <c r="L609">
        <v>4.5999999999999996</v>
      </c>
      <c r="M609" t="str">
        <f>IFERROR(VLOOKUP(TRIM(N609),$AP$2:$AQ$12,2,FALSE),"W001")</f>
        <v>W004</v>
      </c>
      <c r="N609" t="s">
        <v>1053</v>
      </c>
      <c r="O609" t="s">
        <v>1047</v>
      </c>
      <c r="P609" t="str">
        <f>VLOOKUP(O609,$AL$2:$AM$12,2,FALSE)</f>
        <v>West</v>
      </c>
      <c r="Q609" t="s">
        <v>1083</v>
      </c>
      <c r="R609">
        <v>1801</v>
      </c>
      <c r="S609" t="s">
        <v>1078</v>
      </c>
      <c r="T609">
        <f t="shared" si="64"/>
        <v>4</v>
      </c>
      <c r="U609">
        <v>900.5</v>
      </c>
      <c r="V609">
        <f t="shared" si="65"/>
        <v>10</v>
      </c>
      <c r="W609" t="s">
        <v>1086</v>
      </c>
      <c r="X609" t="s">
        <v>1091</v>
      </c>
      <c r="Y609">
        <f t="shared" si="66"/>
        <v>900.5</v>
      </c>
      <c r="Z609" t="s">
        <v>1109</v>
      </c>
      <c r="AA609" t="str">
        <f t="shared" si="67"/>
        <v>High</v>
      </c>
      <c r="AB609" t="s">
        <v>1103</v>
      </c>
      <c r="AC609" t="str">
        <f t="shared" si="68"/>
        <v>No</v>
      </c>
      <c r="AD609">
        <v>2</v>
      </c>
      <c r="AE609">
        <v>49284</v>
      </c>
      <c r="AF609">
        <v>19713.600000000002</v>
      </c>
      <c r="AG609">
        <f t="shared" si="69"/>
        <v>28669.899999999998</v>
      </c>
    </row>
    <row r="610" spans="1:33" x14ac:dyDescent="0.25">
      <c r="A610">
        <v>1609</v>
      </c>
      <c r="B610" s="1">
        <v>44849</v>
      </c>
      <c r="C610" s="1">
        <v>44851</v>
      </c>
      <c r="D610" s="1">
        <v>44854</v>
      </c>
      <c r="E610" t="s">
        <v>1066</v>
      </c>
      <c r="F610" t="s">
        <v>638</v>
      </c>
      <c r="G610" t="s">
        <v>1070</v>
      </c>
      <c r="H610" t="str">
        <f t="shared" si="63"/>
        <v>Furniture</v>
      </c>
      <c r="I610">
        <v>1</v>
      </c>
      <c r="J610" t="str">
        <f>VLOOKUP(K610,$AJ$2:$AK$7,2,FALSE)</f>
        <v>S005</v>
      </c>
      <c r="K610" t="s">
        <v>1101</v>
      </c>
      <c r="L610">
        <v>4.7</v>
      </c>
      <c r="M610" t="str">
        <f>IFERROR(VLOOKUP(TRIM(N610),$AP$2:$AQ$12,2,FALSE),"W001")</f>
        <v>W010</v>
      </c>
      <c r="N610" t="s">
        <v>1063</v>
      </c>
      <c r="O610" t="s">
        <v>1059</v>
      </c>
      <c r="P610" t="str">
        <f>VLOOKUP(O610,$AL$2:$AM$12,2,FALSE)</f>
        <v>North</v>
      </c>
      <c r="Q610" t="s">
        <v>1083</v>
      </c>
      <c r="R610">
        <v>289</v>
      </c>
      <c r="S610" t="s">
        <v>1066</v>
      </c>
      <c r="T610">
        <f t="shared" si="64"/>
        <v>1</v>
      </c>
      <c r="U610">
        <v>144.5</v>
      </c>
      <c r="V610">
        <f t="shared" si="65"/>
        <v>10</v>
      </c>
      <c r="W610" t="s">
        <v>1086</v>
      </c>
      <c r="X610" t="s">
        <v>1091</v>
      </c>
      <c r="Y610">
        <f t="shared" si="66"/>
        <v>144.5</v>
      </c>
      <c r="Z610" t="s">
        <v>1108</v>
      </c>
      <c r="AA610" t="str">
        <f t="shared" si="67"/>
        <v>Medium</v>
      </c>
      <c r="AB610" t="s">
        <v>1103</v>
      </c>
      <c r="AC610" t="str">
        <f t="shared" si="68"/>
        <v>Yes</v>
      </c>
      <c r="AD610">
        <v>5</v>
      </c>
      <c r="AE610">
        <v>6738</v>
      </c>
      <c r="AF610">
        <v>2695.2000000000003</v>
      </c>
      <c r="AG610">
        <f t="shared" si="69"/>
        <v>3898.2999999999997</v>
      </c>
    </row>
    <row r="611" spans="1:33" x14ac:dyDescent="0.25">
      <c r="A611">
        <v>1610</v>
      </c>
      <c r="B611" s="1">
        <v>46285</v>
      </c>
      <c r="C611" s="1">
        <v>46287</v>
      </c>
      <c r="D611" s="1">
        <v>46290</v>
      </c>
      <c r="E611" t="s">
        <v>1066</v>
      </c>
      <c r="F611" t="s">
        <v>639</v>
      </c>
      <c r="G611" t="s">
        <v>1072</v>
      </c>
      <c r="H611" t="str">
        <f t="shared" si="63"/>
        <v>Electronics</v>
      </c>
      <c r="I611">
        <v>9</v>
      </c>
      <c r="J611" t="str">
        <f>VLOOKUP(K611,$AJ$2:$AK$7,2,FALSE)</f>
        <v>S004</v>
      </c>
      <c r="K611" t="s">
        <v>1100</v>
      </c>
      <c r="L611">
        <v>3.7</v>
      </c>
      <c r="M611" t="str">
        <f>IFERROR(VLOOKUP(TRIM(N611),$AP$2:$AQ$12,2,FALSE),"W001")</f>
        <v>W006</v>
      </c>
      <c r="N611" t="s">
        <v>1057</v>
      </c>
      <c r="O611" t="s">
        <v>1060</v>
      </c>
      <c r="P611" t="str">
        <f>VLOOKUP(O611,$AL$2:$AM$12,2,FALSE)</f>
        <v>North</v>
      </c>
      <c r="Q611" t="s">
        <v>1084</v>
      </c>
      <c r="R611">
        <v>1098</v>
      </c>
      <c r="S611" t="s">
        <v>1078</v>
      </c>
      <c r="T611">
        <f t="shared" si="64"/>
        <v>4</v>
      </c>
      <c r="U611">
        <v>329.4</v>
      </c>
      <c r="V611">
        <f t="shared" si="65"/>
        <v>6</v>
      </c>
      <c r="W611" t="s">
        <v>1088</v>
      </c>
      <c r="X611" t="s">
        <v>1091</v>
      </c>
      <c r="Y611">
        <f t="shared" si="66"/>
        <v>0</v>
      </c>
      <c r="Z611" t="s">
        <v>1108</v>
      </c>
      <c r="AA611" t="str">
        <f t="shared" si="67"/>
        <v>Low</v>
      </c>
      <c r="AB611" t="s">
        <v>1103</v>
      </c>
      <c r="AC611" t="str">
        <f t="shared" si="68"/>
        <v>Yes</v>
      </c>
      <c r="AD611">
        <v>5</v>
      </c>
      <c r="AE611">
        <v>135927</v>
      </c>
      <c r="AF611">
        <v>54370.8</v>
      </c>
      <c r="AG611">
        <f t="shared" si="69"/>
        <v>81226.8</v>
      </c>
    </row>
    <row r="612" spans="1:33" x14ac:dyDescent="0.25">
      <c r="A612">
        <v>1611</v>
      </c>
      <c r="B612" s="1">
        <v>45310</v>
      </c>
      <c r="C612" s="1">
        <v>45313</v>
      </c>
      <c r="D612" s="1">
        <v>45319</v>
      </c>
      <c r="E612" t="s">
        <v>1065</v>
      </c>
      <c r="F612" t="s">
        <v>640</v>
      </c>
      <c r="G612" t="s">
        <v>1069</v>
      </c>
      <c r="H612" t="str">
        <f t="shared" si="63"/>
        <v>Furniture</v>
      </c>
      <c r="I612">
        <v>6</v>
      </c>
      <c r="J612" t="str">
        <f>VLOOKUP(K612,$AJ$2:$AK$7,2,FALSE)</f>
        <v>S001</v>
      </c>
      <c r="K612" t="s">
        <v>1097</v>
      </c>
      <c r="L612">
        <v>3.6</v>
      </c>
      <c r="M612" t="str">
        <f>IFERROR(VLOOKUP(TRIM(N612),$AP$2:$AQ$12,2,FALSE),"W001")</f>
        <v>W008</v>
      </c>
      <c r="N612" t="s">
        <v>1061</v>
      </c>
      <c r="O612" t="s">
        <v>1049</v>
      </c>
      <c r="P612" t="str">
        <f>VLOOKUP(O612,$AL$2:$AM$12,2,FALSE)</f>
        <v>North</v>
      </c>
      <c r="Q612" t="s">
        <v>1081</v>
      </c>
      <c r="R612">
        <v>967</v>
      </c>
      <c r="S612" t="s">
        <v>1078</v>
      </c>
      <c r="T612">
        <f t="shared" si="64"/>
        <v>5</v>
      </c>
      <c r="U612">
        <v>193.4</v>
      </c>
      <c r="V612">
        <f t="shared" si="65"/>
        <v>5</v>
      </c>
      <c r="W612" t="s">
        <v>1086</v>
      </c>
      <c r="X612" t="s">
        <v>1089</v>
      </c>
      <c r="Y612">
        <f t="shared" si="66"/>
        <v>193.4</v>
      </c>
      <c r="Z612" t="s">
        <v>1108</v>
      </c>
      <c r="AA612" t="str">
        <f t="shared" si="67"/>
        <v>Low</v>
      </c>
      <c r="AB612" t="s">
        <v>1103</v>
      </c>
      <c r="AC612" t="str">
        <f t="shared" si="68"/>
        <v>Yes</v>
      </c>
      <c r="AD612">
        <v>5</v>
      </c>
      <c r="AE612">
        <v>60804</v>
      </c>
      <c r="AF612">
        <v>24321.600000000002</v>
      </c>
      <c r="AG612">
        <f t="shared" si="69"/>
        <v>36288.999999999993</v>
      </c>
    </row>
    <row r="613" spans="1:33" x14ac:dyDescent="0.25">
      <c r="A613">
        <v>1612</v>
      </c>
      <c r="B613" s="1">
        <v>45920</v>
      </c>
      <c r="C613" s="1">
        <v>45921</v>
      </c>
      <c r="D613" s="1">
        <v>45925</v>
      </c>
      <c r="E613" t="s">
        <v>1064</v>
      </c>
      <c r="F613" t="s">
        <v>641</v>
      </c>
      <c r="G613" t="s">
        <v>1067</v>
      </c>
      <c r="H613" t="str">
        <f t="shared" si="63"/>
        <v>Clothing</v>
      </c>
      <c r="I613">
        <v>7</v>
      </c>
      <c r="J613" t="str">
        <f>VLOOKUP(K613,$AJ$2:$AK$7,2,FALSE)</f>
        <v>S005</v>
      </c>
      <c r="K613" t="s">
        <v>1101</v>
      </c>
      <c r="L613">
        <v>3.5</v>
      </c>
      <c r="M613" t="str">
        <f>IFERROR(VLOOKUP(TRIM(N613),$AP$2:$AQ$12,2,FALSE),"W001")</f>
        <v>W010</v>
      </c>
      <c r="N613" t="s">
        <v>1063</v>
      </c>
      <c r="O613" t="s">
        <v>1047</v>
      </c>
      <c r="P613" t="str">
        <f>VLOOKUP(O613,$AL$2:$AM$12,2,FALSE)</f>
        <v>West</v>
      </c>
      <c r="Q613" t="s">
        <v>1084</v>
      </c>
      <c r="R613">
        <v>1299</v>
      </c>
      <c r="S613" t="s">
        <v>1078</v>
      </c>
      <c r="T613">
        <f t="shared" si="64"/>
        <v>5</v>
      </c>
      <c r="U613">
        <v>389.7</v>
      </c>
      <c r="V613">
        <f t="shared" si="65"/>
        <v>6</v>
      </c>
      <c r="W613" t="s">
        <v>1088</v>
      </c>
      <c r="X613" t="s">
        <v>1091</v>
      </c>
      <c r="Y613">
        <f t="shared" si="66"/>
        <v>0</v>
      </c>
      <c r="Z613" t="s">
        <v>1108</v>
      </c>
      <c r="AA613" t="str">
        <f t="shared" si="67"/>
        <v>Low</v>
      </c>
      <c r="AB613" t="s">
        <v>1103</v>
      </c>
      <c r="AC613" t="str">
        <f t="shared" si="68"/>
        <v>Yes</v>
      </c>
      <c r="AD613">
        <v>5</v>
      </c>
      <c r="AE613">
        <v>6013</v>
      </c>
      <c r="AF613">
        <v>2405.2000000000003</v>
      </c>
      <c r="AG613">
        <f t="shared" si="69"/>
        <v>3218.1</v>
      </c>
    </row>
    <row r="614" spans="1:33" x14ac:dyDescent="0.25">
      <c r="A614">
        <v>1613</v>
      </c>
      <c r="B614" s="1">
        <v>45690</v>
      </c>
      <c r="C614" s="1">
        <v>45692</v>
      </c>
      <c r="D614" s="1">
        <v>45696</v>
      </c>
      <c r="E614" t="s">
        <v>1066</v>
      </c>
      <c r="F614" t="s">
        <v>642</v>
      </c>
      <c r="G614" t="s">
        <v>1069</v>
      </c>
      <c r="H614" t="str">
        <f t="shared" si="63"/>
        <v>Furniture</v>
      </c>
      <c r="I614">
        <v>3</v>
      </c>
      <c r="J614" t="str">
        <f>VLOOKUP(K614,$AJ$2:$AK$7,2,FALSE)</f>
        <v>S003</v>
      </c>
      <c r="K614" t="s">
        <v>1099</v>
      </c>
      <c r="L614">
        <v>4.2</v>
      </c>
      <c r="M614" t="str">
        <f>IFERROR(VLOOKUP(TRIM(N614),$AP$2:$AQ$12,2,FALSE),"W001")</f>
        <v>W010</v>
      </c>
      <c r="N614" t="s">
        <v>1063</v>
      </c>
      <c r="O614" t="s">
        <v>1051</v>
      </c>
      <c r="P614" t="str">
        <f>VLOOKUP(O614,$AL$2:$AM$12,2,FALSE)</f>
        <v>West</v>
      </c>
      <c r="Q614" t="s">
        <v>1083</v>
      </c>
      <c r="R614">
        <v>196</v>
      </c>
      <c r="S614" t="s">
        <v>1079</v>
      </c>
      <c r="T614">
        <f t="shared" si="64"/>
        <v>1</v>
      </c>
      <c r="U614">
        <v>98</v>
      </c>
      <c r="V614">
        <f t="shared" si="65"/>
        <v>10</v>
      </c>
      <c r="W614" t="s">
        <v>1087</v>
      </c>
      <c r="X614" t="s">
        <v>1091</v>
      </c>
      <c r="Y614">
        <f t="shared" si="66"/>
        <v>0</v>
      </c>
      <c r="Z614" t="s">
        <v>1108</v>
      </c>
      <c r="AA614" t="str">
        <f t="shared" si="67"/>
        <v>Medium</v>
      </c>
      <c r="AB614" t="s">
        <v>1104</v>
      </c>
      <c r="AC614" t="str">
        <f t="shared" si="68"/>
        <v>Yes</v>
      </c>
      <c r="AD614">
        <v>2</v>
      </c>
      <c r="AE614">
        <v>35970</v>
      </c>
      <c r="AF614">
        <v>14388</v>
      </c>
      <c r="AG614">
        <f t="shared" si="69"/>
        <v>21484</v>
      </c>
    </row>
    <row r="615" spans="1:33" x14ac:dyDescent="0.25">
      <c r="A615">
        <v>1614</v>
      </c>
      <c r="B615" s="1">
        <v>45057</v>
      </c>
      <c r="C615" s="1">
        <v>45060</v>
      </c>
      <c r="D615" s="1">
        <v>45064</v>
      </c>
      <c r="E615" t="s">
        <v>1065</v>
      </c>
      <c r="F615" t="s">
        <v>643</v>
      </c>
      <c r="G615" t="s">
        <v>1071</v>
      </c>
      <c r="H615" t="str">
        <f t="shared" si="63"/>
        <v>Clothing</v>
      </c>
      <c r="I615">
        <v>4</v>
      </c>
      <c r="J615" t="str">
        <f>VLOOKUP(K615,$AJ$2:$AK$7,2,FALSE)</f>
        <v>S002</v>
      </c>
      <c r="K615" t="s">
        <v>1098</v>
      </c>
      <c r="L615">
        <v>4.0999999999999996</v>
      </c>
      <c r="M615" t="str">
        <f>IFERROR(VLOOKUP(TRIM(N615),$AP$2:$AQ$12,2,FALSE),"W001")</f>
        <v>W010</v>
      </c>
      <c r="N615" t="s">
        <v>1063</v>
      </c>
      <c r="O615" t="s">
        <v>1061</v>
      </c>
      <c r="P615" t="str">
        <f>VLOOKUP(O615,$AL$2:$AM$12,2,FALSE)</f>
        <v>West</v>
      </c>
      <c r="Q615" t="s">
        <v>1083</v>
      </c>
      <c r="R615">
        <v>1017</v>
      </c>
      <c r="S615" t="s">
        <v>1078</v>
      </c>
      <c r="T615">
        <f t="shared" si="64"/>
        <v>2</v>
      </c>
      <c r="U615">
        <v>508.5</v>
      </c>
      <c r="V615">
        <f t="shared" si="65"/>
        <v>10</v>
      </c>
      <c r="W615" t="s">
        <v>1088</v>
      </c>
      <c r="X615" t="s">
        <v>1089</v>
      </c>
      <c r="Y615">
        <f t="shared" si="66"/>
        <v>0</v>
      </c>
      <c r="Z615" t="s">
        <v>1108</v>
      </c>
      <c r="AA615" t="str">
        <f t="shared" si="67"/>
        <v>Medium</v>
      </c>
      <c r="AB615" t="s">
        <v>1104</v>
      </c>
      <c r="AC615" t="str">
        <f t="shared" si="68"/>
        <v>Yes</v>
      </c>
      <c r="AD615">
        <v>1</v>
      </c>
      <c r="AE615">
        <v>8816</v>
      </c>
      <c r="AF615">
        <v>3526.4</v>
      </c>
      <c r="AG615">
        <f t="shared" si="69"/>
        <v>4781.1000000000004</v>
      </c>
    </row>
    <row r="616" spans="1:33" x14ac:dyDescent="0.25">
      <c r="A616">
        <v>1615</v>
      </c>
      <c r="B616" s="1">
        <v>44699</v>
      </c>
      <c r="C616" s="1">
        <v>44700</v>
      </c>
      <c r="D616" s="1">
        <v>44705</v>
      </c>
      <c r="E616" t="s">
        <v>1065</v>
      </c>
      <c r="F616" t="s">
        <v>644</v>
      </c>
      <c r="G616" t="s">
        <v>1068</v>
      </c>
      <c r="H616" t="str">
        <f t="shared" si="63"/>
        <v>Electronics</v>
      </c>
      <c r="I616">
        <v>5</v>
      </c>
      <c r="J616" t="str">
        <f>VLOOKUP(K616,$AJ$2:$AK$7,2,FALSE)</f>
        <v>S003</v>
      </c>
      <c r="K616" t="s">
        <v>1099</v>
      </c>
      <c r="L616">
        <v>4.4000000000000004</v>
      </c>
      <c r="M616" t="str">
        <f>IFERROR(VLOOKUP(TRIM(N616),$AP$2:$AQ$12,2,FALSE),"W001")</f>
        <v>W004</v>
      </c>
      <c r="N616" t="s">
        <v>1053</v>
      </c>
      <c r="O616" t="s">
        <v>1061</v>
      </c>
      <c r="P616" t="str">
        <f>VLOOKUP(O616,$AL$2:$AM$12,2,FALSE)</f>
        <v>West</v>
      </c>
      <c r="Q616" t="s">
        <v>1084</v>
      </c>
      <c r="R616">
        <v>134</v>
      </c>
      <c r="S616" t="s">
        <v>1079</v>
      </c>
      <c r="T616">
        <f t="shared" si="64"/>
        <v>1</v>
      </c>
      <c r="U616">
        <v>40.200000000000003</v>
      </c>
      <c r="V616">
        <f t="shared" si="65"/>
        <v>6</v>
      </c>
      <c r="W616" t="s">
        <v>1088</v>
      </c>
      <c r="X616" t="s">
        <v>1091</v>
      </c>
      <c r="Y616">
        <f t="shared" si="66"/>
        <v>0</v>
      </c>
      <c r="Z616" t="s">
        <v>1108</v>
      </c>
      <c r="AA616" t="str">
        <f t="shared" si="67"/>
        <v>Low</v>
      </c>
      <c r="AB616" t="s">
        <v>1103</v>
      </c>
      <c r="AC616" t="str">
        <f t="shared" si="68"/>
        <v>Yes</v>
      </c>
      <c r="AD616">
        <v>4</v>
      </c>
      <c r="AE616">
        <v>233390</v>
      </c>
      <c r="AF616">
        <v>93356</v>
      </c>
      <c r="AG616">
        <f t="shared" si="69"/>
        <v>139993.79999999999</v>
      </c>
    </row>
    <row r="617" spans="1:33" x14ac:dyDescent="0.25">
      <c r="A617">
        <v>1616</v>
      </c>
      <c r="B617" s="1">
        <v>46007</v>
      </c>
      <c r="C617" s="1">
        <v>46009</v>
      </c>
      <c r="D617" s="1">
        <v>46011</v>
      </c>
      <c r="E617" t="s">
        <v>1066</v>
      </c>
      <c r="F617" t="s">
        <v>645</v>
      </c>
      <c r="G617" t="s">
        <v>1070</v>
      </c>
      <c r="H617" t="str">
        <f t="shared" si="63"/>
        <v>Furniture</v>
      </c>
      <c r="I617">
        <v>4</v>
      </c>
      <c r="J617" t="str">
        <f>VLOOKUP(K617,$AJ$2:$AK$7,2,FALSE)</f>
        <v>S004</v>
      </c>
      <c r="K617" t="s">
        <v>1100</v>
      </c>
      <c r="L617">
        <v>3.9</v>
      </c>
      <c r="M617" t="str">
        <f>IFERROR(VLOOKUP(TRIM(N617),$AP$2:$AQ$12,2,FALSE),"W001")</f>
        <v>W006</v>
      </c>
      <c r="N617" t="s">
        <v>1057</v>
      </c>
      <c r="O617" t="s">
        <v>1060</v>
      </c>
      <c r="P617" t="str">
        <f>VLOOKUP(O617,$AL$2:$AM$12,2,FALSE)</f>
        <v>North</v>
      </c>
      <c r="Q617" t="s">
        <v>1082</v>
      </c>
      <c r="R617">
        <v>1741</v>
      </c>
      <c r="S617" t="s">
        <v>1078</v>
      </c>
      <c r="T617">
        <f t="shared" si="64"/>
        <v>4</v>
      </c>
      <c r="U617">
        <v>696.4</v>
      </c>
      <c r="V617">
        <f t="shared" si="65"/>
        <v>8</v>
      </c>
      <c r="W617" t="s">
        <v>1088</v>
      </c>
      <c r="X617" t="s">
        <v>1091</v>
      </c>
      <c r="Y617">
        <f t="shared" si="66"/>
        <v>0</v>
      </c>
      <c r="Z617" t="s">
        <v>1109</v>
      </c>
      <c r="AA617" t="str">
        <f t="shared" si="67"/>
        <v>High</v>
      </c>
      <c r="AB617" t="s">
        <v>1104</v>
      </c>
      <c r="AC617" t="str">
        <f t="shared" si="68"/>
        <v>No</v>
      </c>
      <c r="AD617">
        <v>1</v>
      </c>
      <c r="AE617">
        <v>23240</v>
      </c>
      <c r="AF617">
        <v>9296</v>
      </c>
      <c r="AG617">
        <f t="shared" si="69"/>
        <v>13247.6</v>
      </c>
    </row>
    <row r="618" spans="1:33" x14ac:dyDescent="0.25">
      <c r="A618">
        <v>1617</v>
      </c>
      <c r="B618" s="1">
        <v>45058</v>
      </c>
      <c r="C618" s="1">
        <v>45061</v>
      </c>
      <c r="D618" s="1">
        <v>45064</v>
      </c>
      <c r="E618" t="s">
        <v>1064</v>
      </c>
      <c r="F618" t="s">
        <v>646</v>
      </c>
      <c r="G618" t="s">
        <v>1072</v>
      </c>
      <c r="H618" t="str">
        <f t="shared" si="63"/>
        <v>Electronics</v>
      </c>
      <c r="I618">
        <v>2</v>
      </c>
      <c r="J618" t="str">
        <f>VLOOKUP(K618,$AJ$2:$AK$7,2,FALSE)</f>
        <v>S006</v>
      </c>
      <c r="K618" t="s">
        <v>1102</v>
      </c>
      <c r="L618">
        <v>3.7</v>
      </c>
      <c r="M618" t="str">
        <f>IFERROR(VLOOKUP(TRIM(N618),$AP$2:$AQ$12,2,FALSE),"W001")</f>
        <v>W001</v>
      </c>
      <c r="N618" t="s">
        <v>1047</v>
      </c>
      <c r="O618" t="s">
        <v>1051</v>
      </c>
      <c r="P618" t="str">
        <f>VLOOKUP(O618,$AL$2:$AM$12,2,FALSE)</f>
        <v>West</v>
      </c>
      <c r="Q618" t="s">
        <v>1084</v>
      </c>
      <c r="R618">
        <v>1071</v>
      </c>
      <c r="S618" t="s">
        <v>1078</v>
      </c>
      <c r="T618">
        <f t="shared" si="64"/>
        <v>4</v>
      </c>
      <c r="U618">
        <v>321.3</v>
      </c>
      <c r="V618">
        <f t="shared" si="65"/>
        <v>6</v>
      </c>
      <c r="W618" t="s">
        <v>1086</v>
      </c>
      <c r="X618" t="s">
        <v>1091</v>
      </c>
      <c r="Y618">
        <f t="shared" si="66"/>
        <v>321.3</v>
      </c>
      <c r="Z618" t="s">
        <v>1108</v>
      </c>
      <c r="AA618" t="str">
        <f t="shared" si="67"/>
        <v>Low</v>
      </c>
      <c r="AB618" t="s">
        <v>1103</v>
      </c>
      <c r="AC618" t="str">
        <f t="shared" si="68"/>
        <v>Yes</v>
      </c>
      <c r="AD618">
        <v>5</v>
      </c>
      <c r="AE618">
        <v>39362</v>
      </c>
      <c r="AF618">
        <v>15744.800000000001</v>
      </c>
      <c r="AG618">
        <f t="shared" si="69"/>
        <v>23295.899999999998</v>
      </c>
    </row>
    <row r="619" spans="1:33" x14ac:dyDescent="0.25">
      <c r="A619">
        <v>1618</v>
      </c>
      <c r="B619" s="1">
        <v>44913</v>
      </c>
      <c r="C619" s="1">
        <v>44915</v>
      </c>
      <c r="D619" s="1">
        <v>44917</v>
      </c>
      <c r="E619" t="s">
        <v>1064</v>
      </c>
      <c r="F619" t="s">
        <v>647</v>
      </c>
      <c r="G619" t="s">
        <v>1070</v>
      </c>
      <c r="H619" t="str">
        <f t="shared" si="63"/>
        <v>Furniture</v>
      </c>
      <c r="I619">
        <v>1</v>
      </c>
      <c r="J619" t="str">
        <f>VLOOKUP(K619,$AJ$2:$AK$7,2,FALSE)</f>
        <v>S002</v>
      </c>
      <c r="K619" t="s">
        <v>1098</v>
      </c>
      <c r="L619">
        <v>4.8</v>
      </c>
      <c r="M619" t="str">
        <f>IFERROR(VLOOKUP(TRIM(N619),$AP$2:$AQ$12,2,FALSE),"W001")</f>
        <v>W005</v>
      </c>
      <c r="N619" t="s">
        <v>1055</v>
      </c>
      <c r="O619" t="s">
        <v>1062</v>
      </c>
      <c r="P619" t="str">
        <f>VLOOKUP(O619,$AL$2:$AM$12,2,FALSE)</f>
        <v>North</v>
      </c>
      <c r="Q619" t="s">
        <v>1083</v>
      </c>
      <c r="R619">
        <v>397</v>
      </c>
      <c r="S619" t="s">
        <v>1066</v>
      </c>
      <c r="T619">
        <f t="shared" si="64"/>
        <v>2</v>
      </c>
      <c r="U619">
        <v>198.5</v>
      </c>
      <c r="V619">
        <f t="shared" si="65"/>
        <v>10</v>
      </c>
      <c r="W619" t="s">
        <v>1087</v>
      </c>
      <c r="X619" t="s">
        <v>1091</v>
      </c>
      <c r="Y619">
        <f t="shared" si="66"/>
        <v>0</v>
      </c>
      <c r="Z619" t="s">
        <v>1108</v>
      </c>
      <c r="AA619" t="str">
        <f t="shared" si="67"/>
        <v>Medium</v>
      </c>
      <c r="AB619" t="s">
        <v>1103</v>
      </c>
      <c r="AC619" t="str">
        <f t="shared" si="68"/>
        <v>Yes</v>
      </c>
      <c r="AD619">
        <v>5</v>
      </c>
      <c r="AE619">
        <v>7320</v>
      </c>
      <c r="AF619">
        <v>2928</v>
      </c>
      <c r="AG619">
        <f t="shared" si="69"/>
        <v>4193.5</v>
      </c>
    </row>
    <row r="620" spans="1:33" x14ac:dyDescent="0.25">
      <c r="A620">
        <v>1619</v>
      </c>
      <c r="B620" s="1">
        <v>45824</v>
      </c>
      <c r="C620" s="1">
        <v>45825</v>
      </c>
      <c r="D620" s="1">
        <v>45828</v>
      </c>
      <c r="E620" t="s">
        <v>1066</v>
      </c>
      <c r="F620" t="s">
        <v>648</v>
      </c>
      <c r="G620" t="s">
        <v>1070</v>
      </c>
      <c r="H620" t="str">
        <f t="shared" si="63"/>
        <v>Furniture</v>
      </c>
      <c r="I620">
        <v>6</v>
      </c>
      <c r="J620" t="str">
        <f>VLOOKUP(K620,$AJ$2:$AK$7,2,FALSE)</f>
        <v>S003</v>
      </c>
      <c r="K620" t="s">
        <v>1099</v>
      </c>
      <c r="L620">
        <v>4.9000000000000004</v>
      </c>
      <c r="M620" t="str">
        <f>IFERROR(VLOOKUP(TRIM(N620),$AP$2:$AQ$12,2,FALSE),"W001")</f>
        <v>W002</v>
      </c>
      <c r="N620" t="s">
        <v>1049</v>
      </c>
      <c r="O620" t="s">
        <v>1057</v>
      </c>
      <c r="P620" t="str">
        <f>VLOOKUP(O620,$AL$2:$AM$12,2,FALSE)</f>
        <v>South</v>
      </c>
      <c r="Q620" t="s">
        <v>1085</v>
      </c>
      <c r="R620">
        <v>254</v>
      </c>
      <c r="S620" t="s">
        <v>1066</v>
      </c>
      <c r="T620">
        <f t="shared" si="64"/>
        <v>4</v>
      </c>
      <c r="U620">
        <v>25.4</v>
      </c>
      <c r="V620">
        <f t="shared" si="65"/>
        <v>3</v>
      </c>
      <c r="W620" t="s">
        <v>1088</v>
      </c>
      <c r="X620" t="s">
        <v>1091</v>
      </c>
      <c r="Y620">
        <f t="shared" si="66"/>
        <v>0</v>
      </c>
      <c r="Z620" t="s">
        <v>1108</v>
      </c>
      <c r="AA620" t="str">
        <f t="shared" si="67"/>
        <v>Low</v>
      </c>
      <c r="AB620" t="s">
        <v>1103</v>
      </c>
      <c r="AC620" t="str">
        <f t="shared" si="68"/>
        <v>Yes</v>
      </c>
      <c r="AD620">
        <v>4</v>
      </c>
      <c r="AE620">
        <v>15426</v>
      </c>
      <c r="AF620">
        <v>6170.4000000000005</v>
      </c>
      <c r="AG620">
        <f t="shared" si="69"/>
        <v>9230.1999999999989</v>
      </c>
    </row>
    <row r="621" spans="1:33" x14ac:dyDescent="0.25">
      <c r="A621">
        <v>1620</v>
      </c>
      <c r="B621" s="1">
        <v>45321</v>
      </c>
      <c r="C621" s="1">
        <v>45323</v>
      </c>
      <c r="D621" s="1">
        <v>45329</v>
      </c>
      <c r="E621" t="s">
        <v>1066</v>
      </c>
      <c r="F621" t="s">
        <v>649</v>
      </c>
      <c r="G621" t="s">
        <v>1069</v>
      </c>
      <c r="H621" t="str">
        <f t="shared" si="63"/>
        <v>Furniture</v>
      </c>
      <c r="I621">
        <v>4</v>
      </c>
      <c r="J621" t="str">
        <f>VLOOKUP(K621,$AJ$2:$AK$7,2,FALSE)</f>
        <v>S002</v>
      </c>
      <c r="K621" t="s">
        <v>1098</v>
      </c>
      <c r="L621">
        <v>3.6</v>
      </c>
      <c r="M621" t="str">
        <f>IFERROR(VLOOKUP(TRIM(N621),$AP$2:$AQ$12,2,FALSE),"W001")</f>
        <v>W002</v>
      </c>
      <c r="N621" t="s">
        <v>1049</v>
      </c>
      <c r="O621" t="s">
        <v>1063</v>
      </c>
      <c r="P621" t="str">
        <f>VLOOKUP(O621,$AL$2:$AM$12,2,FALSE)</f>
        <v>South</v>
      </c>
      <c r="Q621" t="s">
        <v>1080</v>
      </c>
      <c r="R621">
        <v>1273</v>
      </c>
      <c r="S621" t="s">
        <v>1078</v>
      </c>
      <c r="T621">
        <f t="shared" si="64"/>
        <v>6</v>
      </c>
      <c r="U621">
        <v>190.95</v>
      </c>
      <c r="V621">
        <f t="shared" si="65"/>
        <v>4</v>
      </c>
      <c r="W621" t="s">
        <v>1086</v>
      </c>
      <c r="X621" t="s">
        <v>1091</v>
      </c>
      <c r="Y621">
        <f t="shared" si="66"/>
        <v>190.95</v>
      </c>
      <c r="Z621" t="s">
        <v>1108</v>
      </c>
      <c r="AA621" t="str">
        <f t="shared" si="67"/>
        <v>Low</v>
      </c>
      <c r="AB621" t="s">
        <v>1103</v>
      </c>
      <c r="AC621" t="str">
        <f t="shared" si="68"/>
        <v>Yes</v>
      </c>
      <c r="AD621">
        <v>5</v>
      </c>
      <c r="AE621">
        <v>59856</v>
      </c>
      <c r="AF621">
        <v>23942.400000000001</v>
      </c>
      <c r="AG621">
        <f t="shared" si="69"/>
        <v>35722.65</v>
      </c>
    </row>
    <row r="622" spans="1:33" x14ac:dyDescent="0.25">
      <c r="A622">
        <v>1621</v>
      </c>
      <c r="B622" s="1">
        <v>45402</v>
      </c>
      <c r="C622" s="1">
        <v>45405</v>
      </c>
      <c r="D622" s="1">
        <v>45410</v>
      </c>
      <c r="E622" t="s">
        <v>1065</v>
      </c>
      <c r="F622" t="s">
        <v>650</v>
      </c>
      <c r="G622" t="s">
        <v>1071</v>
      </c>
      <c r="H622" t="str">
        <f t="shared" si="63"/>
        <v>Clothing</v>
      </c>
      <c r="I622">
        <v>8</v>
      </c>
      <c r="J622" t="str">
        <f>VLOOKUP(K622,$AJ$2:$AK$7,2,FALSE)</f>
        <v>S001</v>
      </c>
      <c r="K622" t="s">
        <v>1097</v>
      </c>
      <c r="L622">
        <v>3.7</v>
      </c>
      <c r="M622" t="str">
        <f>IFERROR(VLOOKUP(TRIM(N622),$AP$2:$AQ$12,2,FALSE),"W001")</f>
        <v>W007</v>
      </c>
      <c r="N622" t="s">
        <v>1062</v>
      </c>
      <c r="O622" t="s">
        <v>1049</v>
      </c>
      <c r="P622" t="str">
        <f>VLOOKUP(O622,$AL$2:$AM$12,2,FALSE)</f>
        <v>North</v>
      </c>
      <c r="Q622" t="s">
        <v>1084</v>
      </c>
      <c r="R622">
        <v>245</v>
      </c>
      <c r="S622" t="s">
        <v>1066</v>
      </c>
      <c r="T622">
        <f t="shared" si="64"/>
        <v>2</v>
      </c>
      <c r="U622">
        <v>73.5</v>
      </c>
      <c r="V622">
        <f t="shared" si="65"/>
        <v>6</v>
      </c>
      <c r="W622" t="s">
        <v>1088</v>
      </c>
      <c r="X622" t="s">
        <v>1091</v>
      </c>
      <c r="Y622">
        <f t="shared" si="66"/>
        <v>0</v>
      </c>
      <c r="Z622" t="s">
        <v>1108</v>
      </c>
      <c r="AA622" t="str">
        <f t="shared" si="67"/>
        <v>Low</v>
      </c>
      <c r="AB622" t="s">
        <v>1103</v>
      </c>
      <c r="AC622" t="str">
        <f t="shared" si="68"/>
        <v>Yes</v>
      </c>
      <c r="AD622">
        <v>4</v>
      </c>
      <c r="AE622">
        <v>15632</v>
      </c>
      <c r="AF622">
        <v>6252.8</v>
      </c>
      <c r="AG622">
        <f t="shared" si="69"/>
        <v>9305.7000000000007</v>
      </c>
    </row>
    <row r="623" spans="1:33" x14ac:dyDescent="0.25">
      <c r="A623">
        <v>1622</v>
      </c>
      <c r="B623" s="1">
        <v>44268</v>
      </c>
      <c r="C623" s="1">
        <v>44271</v>
      </c>
      <c r="D623" s="1">
        <v>44275</v>
      </c>
      <c r="E623" t="s">
        <v>1064</v>
      </c>
      <c r="F623" t="s">
        <v>651</v>
      </c>
      <c r="G623" t="s">
        <v>1070</v>
      </c>
      <c r="H623" t="str">
        <f t="shared" si="63"/>
        <v>Furniture</v>
      </c>
      <c r="I623">
        <v>5</v>
      </c>
      <c r="J623" t="str">
        <f>VLOOKUP(K623,$AJ$2:$AK$7,2,FALSE)</f>
        <v>S001</v>
      </c>
      <c r="K623" t="s">
        <v>1097</v>
      </c>
      <c r="L623">
        <v>4.8</v>
      </c>
      <c r="M623" t="str">
        <f>IFERROR(VLOOKUP(TRIM(N623),$AP$2:$AQ$12,2,FALSE),"W001")</f>
        <v>W001</v>
      </c>
      <c r="N623" t="s">
        <v>1047</v>
      </c>
      <c r="O623" t="s">
        <v>1047</v>
      </c>
      <c r="P623" t="str">
        <f>VLOOKUP(O623,$AL$2:$AM$12,2,FALSE)</f>
        <v>West</v>
      </c>
      <c r="Q623" t="s">
        <v>1083</v>
      </c>
      <c r="R623">
        <v>46</v>
      </c>
      <c r="S623" t="s">
        <v>1079</v>
      </c>
      <c r="T623">
        <f t="shared" si="64"/>
        <v>1</v>
      </c>
      <c r="U623">
        <v>23</v>
      </c>
      <c r="V623">
        <f t="shared" si="65"/>
        <v>10</v>
      </c>
      <c r="W623" t="s">
        <v>1087</v>
      </c>
      <c r="X623" t="s">
        <v>1089</v>
      </c>
      <c r="Y623">
        <f t="shared" si="66"/>
        <v>0</v>
      </c>
      <c r="Z623" t="s">
        <v>1108</v>
      </c>
      <c r="AA623" t="str">
        <f t="shared" si="67"/>
        <v>Medium</v>
      </c>
      <c r="AB623" t="s">
        <v>1103</v>
      </c>
      <c r="AC623" t="str">
        <f t="shared" si="68"/>
        <v>Yes</v>
      </c>
      <c r="AD623">
        <v>4</v>
      </c>
      <c r="AE623">
        <v>20715</v>
      </c>
      <c r="AF623">
        <v>8286</v>
      </c>
      <c r="AG623">
        <f t="shared" si="69"/>
        <v>12406</v>
      </c>
    </row>
    <row r="624" spans="1:33" x14ac:dyDescent="0.25">
      <c r="A624">
        <v>1623</v>
      </c>
      <c r="B624" s="1">
        <v>44765</v>
      </c>
      <c r="C624" s="1">
        <v>44767</v>
      </c>
      <c r="D624" s="1">
        <v>44771</v>
      </c>
      <c r="E624" t="s">
        <v>1064</v>
      </c>
      <c r="F624" t="s">
        <v>652</v>
      </c>
      <c r="G624" t="s">
        <v>1070</v>
      </c>
      <c r="H624" t="str">
        <f t="shared" si="63"/>
        <v>Furniture</v>
      </c>
      <c r="I624">
        <v>2</v>
      </c>
      <c r="J624" t="str">
        <f>VLOOKUP(K624,$AJ$2:$AK$7,2,FALSE)</f>
        <v>S001</v>
      </c>
      <c r="K624" t="s">
        <v>1097</v>
      </c>
      <c r="L624">
        <v>4.3</v>
      </c>
      <c r="M624" t="str">
        <f>IFERROR(VLOOKUP(TRIM(N624),$AP$2:$AQ$12,2,FALSE),"W001")</f>
        <v>W004</v>
      </c>
      <c r="N624" t="s">
        <v>1053</v>
      </c>
      <c r="O624" t="s">
        <v>1063</v>
      </c>
      <c r="P624" t="str">
        <f>VLOOKUP(O624,$AL$2:$AM$12,2,FALSE)</f>
        <v>South</v>
      </c>
      <c r="Q624" t="s">
        <v>1085</v>
      </c>
      <c r="R624">
        <v>851</v>
      </c>
      <c r="S624" t="s">
        <v>1078</v>
      </c>
      <c r="T624">
        <f t="shared" si="64"/>
        <v>7</v>
      </c>
      <c r="U624">
        <v>85.1</v>
      </c>
      <c r="V624">
        <f t="shared" si="65"/>
        <v>3</v>
      </c>
      <c r="W624" t="s">
        <v>1087</v>
      </c>
      <c r="X624" t="s">
        <v>1090</v>
      </c>
      <c r="Y624">
        <f t="shared" si="66"/>
        <v>0</v>
      </c>
      <c r="Z624" t="s">
        <v>1108</v>
      </c>
      <c r="AA624" t="str">
        <f t="shared" si="67"/>
        <v>Low</v>
      </c>
      <c r="AB624" t="s">
        <v>1103</v>
      </c>
      <c r="AC624" t="str">
        <f t="shared" si="68"/>
        <v>Yes</v>
      </c>
      <c r="AD624">
        <v>4</v>
      </c>
      <c r="AE624">
        <v>9520</v>
      </c>
      <c r="AF624">
        <v>3808</v>
      </c>
      <c r="AG624">
        <f t="shared" si="69"/>
        <v>5626.9</v>
      </c>
    </row>
    <row r="625" spans="1:33" x14ac:dyDescent="0.25">
      <c r="A625">
        <v>1624</v>
      </c>
      <c r="B625" s="1">
        <v>44662</v>
      </c>
      <c r="C625" s="1">
        <v>44665</v>
      </c>
      <c r="D625" s="1">
        <v>44668</v>
      </c>
      <c r="E625" t="s">
        <v>1064</v>
      </c>
      <c r="F625" t="s">
        <v>653</v>
      </c>
      <c r="G625" t="s">
        <v>1070</v>
      </c>
      <c r="H625" t="str">
        <f t="shared" si="63"/>
        <v>Furniture</v>
      </c>
      <c r="I625">
        <v>9</v>
      </c>
      <c r="J625" t="str">
        <f>VLOOKUP(K625,$AJ$2:$AK$7,2,FALSE)</f>
        <v>S005</v>
      </c>
      <c r="K625" t="s">
        <v>1101</v>
      </c>
      <c r="L625">
        <v>4.5</v>
      </c>
      <c r="M625" t="str">
        <f>IFERROR(VLOOKUP(TRIM(N625),$AP$2:$AQ$12,2,FALSE),"W001")</f>
        <v>W002</v>
      </c>
      <c r="N625" t="s">
        <v>1049</v>
      </c>
      <c r="O625" t="s">
        <v>1060</v>
      </c>
      <c r="P625" t="str">
        <f>VLOOKUP(O625,$AL$2:$AM$12,2,FALSE)</f>
        <v>North</v>
      </c>
      <c r="Q625" t="s">
        <v>1082</v>
      </c>
      <c r="R625">
        <v>1441</v>
      </c>
      <c r="S625" t="s">
        <v>1078</v>
      </c>
      <c r="T625">
        <f t="shared" si="64"/>
        <v>4</v>
      </c>
      <c r="U625">
        <v>576.4</v>
      </c>
      <c r="V625">
        <f t="shared" si="65"/>
        <v>8</v>
      </c>
      <c r="W625" t="s">
        <v>1088</v>
      </c>
      <c r="X625" t="s">
        <v>1091</v>
      </c>
      <c r="Y625">
        <f t="shared" si="66"/>
        <v>0</v>
      </c>
      <c r="Z625" t="s">
        <v>1109</v>
      </c>
      <c r="AA625" t="str">
        <f t="shared" si="67"/>
        <v>High</v>
      </c>
      <c r="AB625" t="s">
        <v>1103</v>
      </c>
      <c r="AC625" t="str">
        <f t="shared" si="68"/>
        <v>No</v>
      </c>
      <c r="AD625">
        <v>2</v>
      </c>
      <c r="AE625">
        <v>37413</v>
      </c>
      <c r="AF625">
        <v>14965.2</v>
      </c>
      <c r="AG625">
        <f t="shared" si="69"/>
        <v>21871.399999999998</v>
      </c>
    </row>
    <row r="626" spans="1:33" x14ac:dyDescent="0.25">
      <c r="A626">
        <v>1625</v>
      </c>
      <c r="B626" s="1">
        <v>44223</v>
      </c>
      <c r="C626" s="1">
        <v>44224</v>
      </c>
      <c r="D626" s="1">
        <v>44227</v>
      </c>
      <c r="E626" t="s">
        <v>1065</v>
      </c>
      <c r="F626" t="s">
        <v>654</v>
      </c>
      <c r="G626" t="s">
        <v>1069</v>
      </c>
      <c r="H626" t="str">
        <f t="shared" si="63"/>
        <v>Furniture</v>
      </c>
      <c r="I626">
        <v>3</v>
      </c>
      <c r="J626" t="str">
        <f>VLOOKUP(K626,$AJ$2:$AK$7,2,FALSE)</f>
        <v>S004</v>
      </c>
      <c r="K626" t="s">
        <v>1100</v>
      </c>
      <c r="L626">
        <v>4</v>
      </c>
      <c r="M626" t="str">
        <f>IFERROR(VLOOKUP(TRIM(N626),$AP$2:$AQ$12,2,FALSE),"W001")</f>
        <v>W010</v>
      </c>
      <c r="N626" t="s">
        <v>1063</v>
      </c>
      <c r="O626" t="s">
        <v>1055</v>
      </c>
      <c r="P626" t="str">
        <f>VLOOKUP(O626,$AL$2:$AM$12,2,FALSE)</f>
        <v>South</v>
      </c>
      <c r="Q626" t="s">
        <v>1081</v>
      </c>
      <c r="R626">
        <v>1340</v>
      </c>
      <c r="S626" t="s">
        <v>1078</v>
      </c>
      <c r="T626">
        <f t="shared" si="64"/>
        <v>6</v>
      </c>
      <c r="U626">
        <v>268</v>
      </c>
      <c r="V626">
        <f t="shared" si="65"/>
        <v>5</v>
      </c>
      <c r="W626" t="s">
        <v>1087</v>
      </c>
      <c r="X626" t="s">
        <v>1089</v>
      </c>
      <c r="Y626">
        <f t="shared" si="66"/>
        <v>0</v>
      </c>
      <c r="Z626" t="s">
        <v>1108</v>
      </c>
      <c r="AA626" t="str">
        <f t="shared" si="67"/>
        <v>Low</v>
      </c>
      <c r="AB626" t="s">
        <v>1103</v>
      </c>
      <c r="AC626" t="str">
        <f t="shared" si="68"/>
        <v>Yes</v>
      </c>
      <c r="AD626">
        <v>4</v>
      </c>
      <c r="AE626">
        <v>21897</v>
      </c>
      <c r="AF626">
        <v>8758.8000000000011</v>
      </c>
      <c r="AG626">
        <f t="shared" si="69"/>
        <v>12870.199999999999</v>
      </c>
    </row>
    <row r="627" spans="1:33" x14ac:dyDescent="0.25">
      <c r="A627">
        <v>1626</v>
      </c>
      <c r="B627" s="1">
        <v>45443</v>
      </c>
      <c r="C627" s="1">
        <v>45445</v>
      </c>
      <c r="D627" s="1">
        <v>45449</v>
      </c>
      <c r="E627" t="s">
        <v>1065</v>
      </c>
      <c r="F627" t="s">
        <v>655</v>
      </c>
      <c r="G627" t="s">
        <v>1069</v>
      </c>
      <c r="H627" t="str">
        <f t="shared" si="63"/>
        <v>Furniture</v>
      </c>
      <c r="I627">
        <v>6</v>
      </c>
      <c r="J627" t="str">
        <f>VLOOKUP(K627,$AJ$2:$AK$7,2,FALSE)</f>
        <v>S001</v>
      </c>
      <c r="K627" t="s">
        <v>1097</v>
      </c>
      <c r="L627">
        <v>4.3</v>
      </c>
      <c r="M627" t="str">
        <f>IFERROR(VLOOKUP(TRIM(N627),$AP$2:$AQ$12,2,FALSE),"W001")</f>
        <v>W003</v>
      </c>
      <c r="N627" t="s">
        <v>1051</v>
      </c>
      <c r="O627" t="s">
        <v>1055</v>
      </c>
      <c r="P627" t="str">
        <f>VLOOKUP(O627,$AL$2:$AM$12,2,FALSE)</f>
        <v>South</v>
      </c>
      <c r="Q627" t="s">
        <v>1080</v>
      </c>
      <c r="R627">
        <v>1113</v>
      </c>
      <c r="S627" t="s">
        <v>1078</v>
      </c>
      <c r="T627">
        <f t="shared" si="64"/>
        <v>6</v>
      </c>
      <c r="U627">
        <v>166.95</v>
      </c>
      <c r="V627">
        <f t="shared" si="65"/>
        <v>4</v>
      </c>
      <c r="W627" t="s">
        <v>1087</v>
      </c>
      <c r="X627" t="s">
        <v>1089</v>
      </c>
      <c r="Y627">
        <f t="shared" si="66"/>
        <v>0</v>
      </c>
      <c r="Z627" t="s">
        <v>1108</v>
      </c>
      <c r="AA627" t="str">
        <f t="shared" si="67"/>
        <v>Low</v>
      </c>
      <c r="AB627" t="s">
        <v>1103</v>
      </c>
      <c r="AC627" t="str">
        <f t="shared" si="68"/>
        <v>Yes</v>
      </c>
      <c r="AD627">
        <v>4</v>
      </c>
      <c r="AE627">
        <v>41964</v>
      </c>
      <c r="AF627">
        <v>16785.600000000002</v>
      </c>
      <c r="AG627">
        <f t="shared" si="69"/>
        <v>25011.449999999997</v>
      </c>
    </row>
    <row r="628" spans="1:33" x14ac:dyDescent="0.25">
      <c r="A628">
        <v>1627</v>
      </c>
      <c r="B628" s="1">
        <v>46334</v>
      </c>
      <c r="C628" s="1">
        <v>46335</v>
      </c>
      <c r="D628" s="1">
        <v>46339</v>
      </c>
      <c r="E628" t="s">
        <v>1064</v>
      </c>
      <c r="F628" t="s">
        <v>656</v>
      </c>
      <c r="G628" t="s">
        <v>1071</v>
      </c>
      <c r="H628" t="str">
        <f t="shared" si="63"/>
        <v>Clothing</v>
      </c>
      <c r="I628">
        <v>2</v>
      </c>
      <c r="J628" t="str">
        <f>VLOOKUP(K628,$AJ$2:$AK$7,2,FALSE)</f>
        <v>S006</v>
      </c>
      <c r="K628" t="s">
        <v>1102</v>
      </c>
      <c r="L628">
        <v>3.3</v>
      </c>
      <c r="M628" t="str">
        <f>IFERROR(VLOOKUP(TRIM(N628),$AP$2:$AQ$12,2,FALSE),"W001")</f>
        <v>W009</v>
      </c>
      <c r="N628" t="s">
        <v>1060</v>
      </c>
      <c r="O628" t="s">
        <v>1061</v>
      </c>
      <c r="P628" t="str">
        <f>VLOOKUP(O628,$AL$2:$AM$12,2,FALSE)</f>
        <v>West</v>
      </c>
      <c r="Q628" t="s">
        <v>1080</v>
      </c>
      <c r="R628">
        <v>1768</v>
      </c>
      <c r="S628" t="s">
        <v>1078</v>
      </c>
      <c r="T628">
        <f t="shared" si="64"/>
        <v>8</v>
      </c>
      <c r="U628">
        <v>265.2</v>
      </c>
      <c r="V628">
        <f t="shared" si="65"/>
        <v>4</v>
      </c>
      <c r="W628" t="s">
        <v>1086</v>
      </c>
      <c r="X628" t="s">
        <v>1090</v>
      </c>
      <c r="Y628">
        <f t="shared" si="66"/>
        <v>265.2</v>
      </c>
      <c r="Z628" t="s">
        <v>1108</v>
      </c>
      <c r="AA628" t="str">
        <f t="shared" si="67"/>
        <v>Low</v>
      </c>
      <c r="AB628" t="s">
        <v>1103</v>
      </c>
      <c r="AC628" t="str">
        <f t="shared" si="68"/>
        <v>Yes</v>
      </c>
      <c r="AD628">
        <v>4</v>
      </c>
      <c r="AE628">
        <v>3124</v>
      </c>
      <c r="AF628">
        <v>1249.6000000000001</v>
      </c>
      <c r="AG628">
        <f t="shared" si="69"/>
        <v>1609.1999999999998</v>
      </c>
    </row>
    <row r="629" spans="1:33" x14ac:dyDescent="0.25">
      <c r="A629">
        <v>1628</v>
      </c>
      <c r="B629" s="1">
        <v>45735</v>
      </c>
      <c r="C629" s="1">
        <v>45737</v>
      </c>
      <c r="D629" s="1">
        <v>45742</v>
      </c>
      <c r="E629" t="s">
        <v>1064</v>
      </c>
      <c r="F629" t="s">
        <v>657</v>
      </c>
      <c r="G629" t="s">
        <v>1069</v>
      </c>
      <c r="H629" t="str">
        <f t="shared" si="63"/>
        <v>Furniture</v>
      </c>
      <c r="I629">
        <v>10</v>
      </c>
      <c r="J629" t="str">
        <f>VLOOKUP(K629,$AJ$2:$AK$7,2,FALSE)</f>
        <v>S002</v>
      </c>
      <c r="K629" t="s">
        <v>1098</v>
      </c>
      <c r="L629">
        <v>3.2</v>
      </c>
      <c r="M629" t="str">
        <f>IFERROR(VLOOKUP(TRIM(N629),$AP$2:$AQ$12,2,FALSE),"W001")</f>
        <v>W008</v>
      </c>
      <c r="N629" t="s">
        <v>1061</v>
      </c>
      <c r="O629" t="s">
        <v>1055</v>
      </c>
      <c r="P629" t="str">
        <f>VLOOKUP(O629,$AL$2:$AM$12,2,FALSE)</f>
        <v>South</v>
      </c>
      <c r="Q629" t="s">
        <v>1085</v>
      </c>
      <c r="R629">
        <v>1389</v>
      </c>
      <c r="S629" t="s">
        <v>1078</v>
      </c>
      <c r="T629">
        <f t="shared" si="64"/>
        <v>10</v>
      </c>
      <c r="U629">
        <v>138.9</v>
      </c>
      <c r="V629">
        <f t="shared" si="65"/>
        <v>3</v>
      </c>
      <c r="W629" t="s">
        <v>1087</v>
      </c>
      <c r="X629" t="s">
        <v>1091</v>
      </c>
      <c r="Y629">
        <f t="shared" si="66"/>
        <v>0</v>
      </c>
      <c r="Z629" t="s">
        <v>1108</v>
      </c>
      <c r="AA629" t="str">
        <f t="shared" si="67"/>
        <v>Low</v>
      </c>
      <c r="AB629" t="s">
        <v>1103</v>
      </c>
      <c r="AC629" t="str">
        <f t="shared" si="68"/>
        <v>Yes</v>
      </c>
      <c r="AD629">
        <v>4</v>
      </c>
      <c r="AE629">
        <v>96980</v>
      </c>
      <c r="AF629">
        <v>38792</v>
      </c>
      <c r="AG629">
        <f t="shared" si="69"/>
        <v>58049.1</v>
      </c>
    </row>
    <row r="630" spans="1:33" x14ac:dyDescent="0.25">
      <c r="A630">
        <v>1629</v>
      </c>
      <c r="B630" s="1">
        <v>45276</v>
      </c>
      <c r="C630" s="1">
        <v>45277</v>
      </c>
      <c r="D630" s="1">
        <v>45282</v>
      </c>
      <c r="E630" t="s">
        <v>1065</v>
      </c>
      <c r="F630" t="s">
        <v>658</v>
      </c>
      <c r="G630" t="s">
        <v>1072</v>
      </c>
      <c r="H630" t="str">
        <f t="shared" si="63"/>
        <v>Electronics</v>
      </c>
      <c r="I630">
        <v>7</v>
      </c>
      <c r="J630" t="str">
        <f>VLOOKUP(K630,$AJ$2:$AK$7,2,FALSE)</f>
        <v>S005</v>
      </c>
      <c r="K630" t="s">
        <v>1101</v>
      </c>
      <c r="L630">
        <v>4.7</v>
      </c>
      <c r="M630" t="str">
        <f>IFERROR(VLOOKUP(TRIM(N630),$AP$2:$AQ$12,2,FALSE),"W001")</f>
        <v>W001</v>
      </c>
      <c r="N630" t="s">
        <v>1047</v>
      </c>
      <c r="O630" t="s">
        <v>1057</v>
      </c>
      <c r="P630" t="str">
        <f>VLOOKUP(O630,$AL$2:$AM$12,2,FALSE)</f>
        <v>South</v>
      </c>
      <c r="Q630" t="s">
        <v>1084</v>
      </c>
      <c r="R630">
        <v>327</v>
      </c>
      <c r="S630" t="s">
        <v>1066</v>
      </c>
      <c r="T630">
        <f t="shared" si="64"/>
        <v>2</v>
      </c>
      <c r="U630">
        <v>98.1</v>
      </c>
      <c r="V630">
        <f t="shared" si="65"/>
        <v>6</v>
      </c>
      <c r="W630" t="s">
        <v>1086</v>
      </c>
      <c r="X630" t="s">
        <v>1091</v>
      </c>
      <c r="Y630">
        <f t="shared" si="66"/>
        <v>98.1</v>
      </c>
      <c r="Z630" t="s">
        <v>1108</v>
      </c>
      <c r="AA630" t="str">
        <f t="shared" si="67"/>
        <v>Low</v>
      </c>
      <c r="AB630" t="s">
        <v>1103</v>
      </c>
      <c r="AC630" t="str">
        <f t="shared" si="68"/>
        <v>Yes</v>
      </c>
      <c r="AD630">
        <v>5</v>
      </c>
      <c r="AE630">
        <v>84420</v>
      </c>
      <c r="AF630">
        <v>33768</v>
      </c>
      <c r="AG630">
        <f t="shared" si="69"/>
        <v>50553.9</v>
      </c>
    </row>
    <row r="631" spans="1:33" x14ac:dyDescent="0.25">
      <c r="A631">
        <v>1630</v>
      </c>
      <c r="B631" s="1">
        <v>46014</v>
      </c>
      <c r="C631" s="1">
        <v>46017</v>
      </c>
      <c r="D631" s="1">
        <v>46020</v>
      </c>
      <c r="E631" t="s">
        <v>1064</v>
      </c>
      <c r="F631" t="s">
        <v>659</v>
      </c>
      <c r="G631" t="s">
        <v>1072</v>
      </c>
      <c r="H631" t="str">
        <f t="shared" si="63"/>
        <v>Electronics</v>
      </c>
      <c r="I631">
        <v>5</v>
      </c>
      <c r="J631" t="str">
        <f>VLOOKUP(K631,$AJ$2:$AK$7,2,FALSE)</f>
        <v>S001</v>
      </c>
      <c r="K631" t="s">
        <v>1097</v>
      </c>
      <c r="L631">
        <v>3.8</v>
      </c>
      <c r="M631" t="str">
        <f>IFERROR(VLOOKUP(TRIM(N631),$AP$2:$AQ$12,2,FALSE),"W001")</f>
        <v>W011</v>
      </c>
      <c r="N631" t="s">
        <v>1059</v>
      </c>
      <c r="O631" t="s">
        <v>1047</v>
      </c>
      <c r="P631" t="str">
        <f>VLOOKUP(O631,$AL$2:$AM$12,2,FALSE)</f>
        <v>West</v>
      </c>
      <c r="Q631" t="s">
        <v>1080</v>
      </c>
      <c r="R631">
        <v>579</v>
      </c>
      <c r="S631" t="s">
        <v>1066</v>
      </c>
      <c r="T631">
        <f t="shared" si="64"/>
        <v>4</v>
      </c>
      <c r="U631">
        <v>86.85</v>
      </c>
      <c r="V631">
        <f t="shared" si="65"/>
        <v>4</v>
      </c>
      <c r="W631" t="s">
        <v>1087</v>
      </c>
      <c r="X631" t="s">
        <v>1090</v>
      </c>
      <c r="Y631">
        <f t="shared" si="66"/>
        <v>0</v>
      </c>
      <c r="Z631" t="s">
        <v>1108</v>
      </c>
      <c r="AA631" t="str">
        <f t="shared" si="67"/>
        <v>Low</v>
      </c>
      <c r="AB631" t="s">
        <v>1103</v>
      </c>
      <c r="AC631" t="str">
        <f t="shared" si="68"/>
        <v>Yes</v>
      </c>
      <c r="AD631">
        <v>4</v>
      </c>
      <c r="AE631">
        <v>59545</v>
      </c>
      <c r="AF631">
        <v>23818</v>
      </c>
      <c r="AG631">
        <f t="shared" si="69"/>
        <v>35640.15</v>
      </c>
    </row>
    <row r="632" spans="1:33" x14ac:dyDescent="0.25">
      <c r="A632">
        <v>1631</v>
      </c>
      <c r="B632" s="1">
        <v>45970</v>
      </c>
      <c r="C632" s="1">
        <v>45972</v>
      </c>
      <c r="D632" s="1">
        <v>45974</v>
      </c>
      <c r="E632" t="s">
        <v>1064</v>
      </c>
      <c r="F632" t="s">
        <v>660</v>
      </c>
      <c r="G632" t="s">
        <v>1071</v>
      </c>
      <c r="H632" t="str">
        <f t="shared" si="63"/>
        <v>Clothing</v>
      </c>
      <c r="I632">
        <v>10</v>
      </c>
      <c r="J632" t="str">
        <f>VLOOKUP(K632,$AJ$2:$AK$7,2,FALSE)</f>
        <v>S001</v>
      </c>
      <c r="K632" t="s">
        <v>1097</v>
      </c>
      <c r="L632">
        <v>3.2</v>
      </c>
      <c r="M632" t="str">
        <f>IFERROR(VLOOKUP(TRIM(N632),$AP$2:$AQ$12,2,FALSE),"W001")</f>
        <v>W002</v>
      </c>
      <c r="N632" t="s">
        <v>1049</v>
      </c>
      <c r="O632" t="s">
        <v>1061</v>
      </c>
      <c r="P632" t="str">
        <f>VLOOKUP(O632,$AL$2:$AM$12,2,FALSE)</f>
        <v>West</v>
      </c>
      <c r="Q632" t="s">
        <v>1083</v>
      </c>
      <c r="R632">
        <v>159</v>
      </c>
      <c r="S632" t="s">
        <v>1079</v>
      </c>
      <c r="T632">
        <f t="shared" si="64"/>
        <v>1</v>
      </c>
      <c r="U632">
        <v>79.5</v>
      </c>
      <c r="V632">
        <f t="shared" si="65"/>
        <v>10</v>
      </c>
      <c r="W632" t="s">
        <v>1087</v>
      </c>
      <c r="X632" t="s">
        <v>1089</v>
      </c>
      <c r="Y632">
        <f t="shared" si="66"/>
        <v>0</v>
      </c>
      <c r="Z632" t="s">
        <v>1108</v>
      </c>
      <c r="AA632" t="str">
        <f t="shared" si="67"/>
        <v>Medium</v>
      </c>
      <c r="AB632" t="s">
        <v>1103</v>
      </c>
      <c r="AC632" t="str">
        <f t="shared" si="68"/>
        <v>Yes</v>
      </c>
      <c r="AD632">
        <v>4</v>
      </c>
      <c r="AE632">
        <v>16150</v>
      </c>
      <c r="AF632">
        <v>6460</v>
      </c>
      <c r="AG632">
        <f t="shared" si="69"/>
        <v>9610.5</v>
      </c>
    </row>
    <row r="633" spans="1:33" x14ac:dyDescent="0.25">
      <c r="A633">
        <v>1632</v>
      </c>
      <c r="B633" s="1">
        <v>45236</v>
      </c>
      <c r="C633" s="1">
        <v>45237</v>
      </c>
      <c r="D633" s="1">
        <v>45243</v>
      </c>
      <c r="E633" t="s">
        <v>1066</v>
      </c>
      <c r="F633" t="s">
        <v>661</v>
      </c>
      <c r="G633" t="s">
        <v>1067</v>
      </c>
      <c r="H633" t="str">
        <f t="shared" si="63"/>
        <v>Clothing</v>
      </c>
      <c r="I633">
        <v>5</v>
      </c>
      <c r="J633" t="str">
        <f>VLOOKUP(K633,$AJ$2:$AK$7,2,FALSE)</f>
        <v>S001</v>
      </c>
      <c r="K633" t="s">
        <v>1097</v>
      </c>
      <c r="L633">
        <v>4.4000000000000004</v>
      </c>
      <c r="M633" t="str">
        <f>IFERROR(VLOOKUP(TRIM(N633),$AP$2:$AQ$12,2,FALSE),"W001")</f>
        <v>W009</v>
      </c>
      <c r="N633" t="s">
        <v>1060</v>
      </c>
      <c r="O633" t="s">
        <v>1060</v>
      </c>
      <c r="P633" t="str">
        <f>VLOOKUP(O633,$AL$2:$AM$12,2,FALSE)</f>
        <v>North</v>
      </c>
      <c r="Q633" t="s">
        <v>1083</v>
      </c>
      <c r="R633">
        <v>17</v>
      </c>
      <c r="S633" t="s">
        <v>1079</v>
      </c>
      <c r="T633">
        <f t="shared" si="64"/>
        <v>1</v>
      </c>
      <c r="U633">
        <v>8.5</v>
      </c>
      <c r="V633">
        <f t="shared" si="65"/>
        <v>10</v>
      </c>
      <c r="W633" t="s">
        <v>1088</v>
      </c>
      <c r="X633" t="s">
        <v>1091</v>
      </c>
      <c r="Y633">
        <f t="shared" si="66"/>
        <v>0</v>
      </c>
      <c r="Z633" t="s">
        <v>1108</v>
      </c>
      <c r="AA633" t="str">
        <f t="shared" si="67"/>
        <v>Medium</v>
      </c>
      <c r="AB633" t="s">
        <v>1103</v>
      </c>
      <c r="AC633" t="str">
        <f t="shared" si="68"/>
        <v>Yes</v>
      </c>
      <c r="AD633">
        <v>4</v>
      </c>
      <c r="AE633">
        <v>6355</v>
      </c>
      <c r="AF633">
        <v>2542</v>
      </c>
      <c r="AG633">
        <f t="shared" si="69"/>
        <v>3804.5</v>
      </c>
    </row>
    <row r="634" spans="1:33" x14ac:dyDescent="0.25">
      <c r="A634">
        <v>1633</v>
      </c>
      <c r="B634" s="1">
        <v>46147</v>
      </c>
      <c r="C634" s="1">
        <v>46150</v>
      </c>
      <c r="D634" s="1">
        <v>46156</v>
      </c>
      <c r="E634" t="s">
        <v>1064</v>
      </c>
      <c r="F634" t="s">
        <v>662</v>
      </c>
      <c r="G634" t="s">
        <v>1069</v>
      </c>
      <c r="H634" t="str">
        <f t="shared" si="63"/>
        <v>Furniture</v>
      </c>
      <c r="I634">
        <v>8</v>
      </c>
      <c r="J634" t="str">
        <f>VLOOKUP(K634,$AJ$2:$AK$7,2,FALSE)</f>
        <v>S002</v>
      </c>
      <c r="K634" t="s">
        <v>1098</v>
      </c>
      <c r="L634">
        <v>4.7</v>
      </c>
      <c r="M634" t="str">
        <f>IFERROR(VLOOKUP(TRIM(N634),$AP$2:$AQ$12,2,FALSE),"W001")</f>
        <v>W007</v>
      </c>
      <c r="N634" t="s">
        <v>1062</v>
      </c>
      <c r="O634" t="s">
        <v>1061</v>
      </c>
      <c r="P634" t="str">
        <f>VLOOKUP(O634,$AL$2:$AM$12,2,FALSE)</f>
        <v>West</v>
      </c>
      <c r="Q634" t="s">
        <v>1085</v>
      </c>
      <c r="R634">
        <v>764</v>
      </c>
      <c r="S634" t="s">
        <v>1066</v>
      </c>
      <c r="T634">
        <f t="shared" si="64"/>
        <v>7</v>
      </c>
      <c r="U634">
        <v>76.400000000000006</v>
      </c>
      <c r="V634">
        <f t="shared" si="65"/>
        <v>3</v>
      </c>
      <c r="W634" t="s">
        <v>1087</v>
      </c>
      <c r="X634" t="s">
        <v>1091</v>
      </c>
      <c r="Y634">
        <f t="shared" si="66"/>
        <v>0</v>
      </c>
      <c r="Z634" t="s">
        <v>1108</v>
      </c>
      <c r="AA634" t="str">
        <f t="shared" si="67"/>
        <v>Low</v>
      </c>
      <c r="AB634" t="s">
        <v>1103</v>
      </c>
      <c r="AC634" t="str">
        <f t="shared" si="68"/>
        <v>Yes</v>
      </c>
      <c r="AD634">
        <v>4</v>
      </c>
      <c r="AE634">
        <v>49840</v>
      </c>
      <c r="AF634">
        <v>19936</v>
      </c>
      <c r="AG634">
        <f t="shared" si="69"/>
        <v>29827.599999999999</v>
      </c>
    </row>
    <row r="635" spans="1:33" x14ac:dyDescent="0.25">
      <c r="A635">
        <v>1634</v>
      </c>
      <c r="B635" s="1">
        <v>45020</v>
      </c>
      <c r="C635" s="1">
        <v>45021</v>
      </c>
      <c r="D635" s="1">
        <v>45023</v>
      </c>
      <c r="E635" t="s">
        <v>1066</v>
      </c>
      <c r="F635" t="s">
        <v>663</v>
      </c>
      <c r="G635" t="s">
        <v>1068</v>
      </c>
      <c r="H635" t="str">
        <f t="shared" si="63"/>
        <v>Electronics</v>
      </c>
      <c r="I635">
        <v>2</v>
      </c>
      <c r="J635" t="str">
        <f>VLOOKUP(K635,$AJ$2:$AK$7,2,FALSE)</f>
        <v>S006</v>
      </c>
      <c r="K635" t="s">
        <v>1102</v>
      </c>
      <c r="L635">
        <v>4.9000000000000004</v>
      </c>
      <c r="M635" t="str">
        <f>IFERROR(VLOOKUP(TRIM(N635),$AP$2:$AQ$12,2,FALSE),"W001")</f>
        <v>W007</v>
      </c>
      <c r="N635" t="s">
        <v>1062</v>
      </c>
      <c r="O635" t="s">
        <v>1063</v>
      </c>
      <c r="P635" t="str">
        <f>VLOOKUP(O635,$AL$2:$AM$12,2,FALSE)</f>
        <v>South</v>
      </c>
      <c r="Q635" t="s">
        <v>1085</v>
      </c>
      <c r="R635">
        <v>1202</v>
      </c>
      <c r="S635" t="s">
        <v>1078</v>
      </c>
      <c r="T635">
        <f t="shared" si="64"/>
        <v>9</v>
      </c>
      <c r="U635">
        <v>120.2</v>
      </c>
      <c r="V635">
        <f t="shared" si="65"/>
        <v>3</v>
      </c>
      <c r="W635" t="s">
        <v>1088</v>
      </c>
      <c r="X635" t="s">
        <v>1090</v>
      </c>
      <c r="Y635">
        <f t="shared" si="66"/>
        <v>0</v>
      </c>
      <c r="Z635" t="s">
        <v>1108</v>
      </c>
      <c r="AA635" t="str">
        <f t="shared" si="67"/>
        <v>Low</v>
      </c>
      <c r="AB635" t="s">
        <v>1103</v>
      </c>
      <c r="AC635" t="str">
        <f t="shared" si="68"/>
        <v>Yes</v>
      </c>
      <c r="AD635">
        <v>5</v>
      </c>
      <c r="AE635">
        <v>98920</v>
      </c>
      <c r="AF635">
        <v>39568</v>
      </c>
      <c r="AG635">
        <f t="shared" si="69"/>
        <v>59231.8</v>
      </c>
    </row>
    <row r="636" spans="1:33" x14ac:dyDescent="0.25">
      <c r="A636">
        <v>1635</v>
      </c>
      <c r="B636" s="1">
        <v>44966</v>
      </c>
      <c r="C636" s="1">
        <v>44969</v>
      </c>
      <c r="D636" s="1">
        <v>44971</v>
      </c>
      <c r="E636" t="s">
        <v>1066</v>
      </c>
      <c r="F636" t="s">
        <v>664</v>
      </c>
      <c r="G636" t="s">
        <v>1070</v>
      </c>
      <c r="H636" t="str">
        <f t="shared" si="63"/>
        <v>Furniture</v>
      </c>
      <c r="I636">
        <v>10</v>
      </c>
      <c r="J636" t="str">
        <f>VLOOKUP(K636,$AJ$2:$AK$7,2,FALSE)</f>
        <v>S006</v>
      </c>
      <c r="K636" t="s">
        <v>1102</v>
      </c>
      <c r="L636">
        <v>4.5999999999999996</v>
      </c>
      <c r="M636" t="str">
        <f>IFERROR(VLOOKUP(TRIM(N636),$AP$2:$AQ$12,2,FALSE),"W001")</f>
        <v>W001</v>
      </c>
      <c r="N636" t="s">
        <v>1047</v>
      </c>
      <c r="O636" t="s">
        <v>1063</v>
      </c>
      <c r="P636" t="str">
        <f>VLOOKUP(O636,$AL$2:$AM$12,2,FALSE)</f>
        <v>South</v>
      </c>
      <c r="Q636" t="s">
        <v>1080</v>
      </c>
      <c r="R636">
        <v>433</v>
      </c>
      <c r="S636" t="s">
        <v>1066</v>
      </c>
      <c r="T636">
        <f t="shared" si="64"/>
        <v>3</v>
      </c>
      <c r="U636">
        <v>64.95</v>
      </c>
      <c r="V636">
        <f t="shared" si="65"/>
        <v>4</v>
      </c>
      <c r="W636" t="s">
        <v>1086</v>
      </c>
      <c r="X636" t="s">
        <v>1091</v>
      </c>
      <c r="Y636">
        <f t="shared" si="66"/>
        <v>64.95</v>
      </c>
      <c r="Z636" t="s">
        <v>1108</v>
      </c>
      <c r="AA636" t="str">
        <f t="shared" si="67"/>
        <v>Low</v>
      </c>
      <c r="AB636" t="s">
        <v>1103</v>
      </c>
      <c r="AC636" t="str">
        <f t="shared" si="68"/>
        <v>Yes</v>
      </c>
      <c r="AD636">
        <v>4</v>
      </c>
      <c r="AE636">
        <v>45730</v>
      </c>
      <c r="AF636">
        <v>18292</v>
      </c>
      <c r="AG636">
        <f t="shared" si="69"/>
        <v>27373.05</v>
      </c>
    </row>
    <row r="637" spans="1:33" x14ac:dyDescent="0.25">
      <c r="A637">
        <v>1636</v>
      </c>
      <c r="B637" s="1">
        <v>45762</v>
      </c>
      <c r="C637" s="1">
        <v>45764</v>
      </c>
      <c r="D637" s="1">
        <v>45771</v>
      </c>
      <c r="E637" t="s">
        <v>1066</v>
      </c>
      <c r="F637" t="s">
        <v>665</v>
      </c>
      <c r="G637" t="s">
        <v>1071</v>
      </c>
      <c r="H637" t="str">
        <f t="shared" si="63"/>
        <v>Clothing</v>
      </c>
      <c r="I637">
        <v>4</v>
      </c>
      <c r="J637" t="str">
        <f>VLOOKUP(K637,$AJ$2:$AK$7,2,FALSE)</f>
        <v>S001</v>
      </c>
      <c r="K637" t="s">
        <v>1097</v>
      </c>
      <c r="L637">
        <v>4.3</v>
      </c>
      <c r="M637" t="str">
        <f>IFERROR(VLOOKUP(TRIM(N637),$AP$2:$AQ$12,2,FALSE),"W001")</f>
        <v>W004</v>
      </c>
      <c r="N637" t="s">
        <v>1053</v>
      </c>
      <c r="O637" t="s">
        <v>1059</v>
      </c>
      <c r="P637" t="str">
        <f>VLOOKUP(O637,$AL$2:$AM$12,2,FALSE)</f>
        <v>North</v>
      </c>
      <c r="Q637" t="s">
        <v>1080</v>
      </c>
      <c r="R637">
        <v>1256</v>
      </c>
      <c r="S637" t="s">
        <v>1078</v>
      </c>
      <c r="T637">
        <f t="shared" si="64"/>
        <v>6</v>
      </c>
      <c r="U637">
        <v>188.4</v>
      </c>
      <c r="V637">
        <f t="shared" si="65"/>
        <v>4</v>
      </c>
      <c r="W637" t="s">
        <v>1087</v>
      </c>
      <c r="X637" t="s">
        <v>1091</v>
      </c>
      <c r="Y637">
        <f t="shared" si="66"/>
        <v>0</v>
      </c>
      <c r="Z637" t="s">
        <v>1108</v>
      </c>
      <c r="AA637" t="str">
        <f t="shared" si="67"/>
        <v>Low</v>
      </c>
      <c r="AB637" t="s">
        <v>1103</v>
      </c>
      <c r="AC637" t="str">
        <f t="shared" si="68"/>
        <v>Yes</v>
      </c>
      <c r="AD637">
        <v>5</v>
      </c>
      <c r="AE637">
        <v>5924</v>
      </c>
      <c r="AF637">
        <v>2369.6</v>
      </c>
      <c r="AG637">
        <f t="shared" si="69"/>
        <v>3366</v>
      </c>
    </row>
    <row r="638" spans="1:33" x14ac:dyDescent="0.25">
      <c r="A638">
        <v>1637</v>
      </c>
      <c r="B638" s="1">
        <v>44693</v>
      </c>
      <c r="C638" s="1">
        <v>44696</v>
      </c>
      <c r="D638" s="1">
        <v>44703</v>
      </c>
      <c r="E638" t="s">
        <v>1066</v>
      </c>
      <c r="F638" t="s">
        <v>666</v>
      </c>
      <c r="G638" t="s">
        <v>1070</v>
      </c>
      <c r="H638" t="str">
        <f t="shared" si="63"/>
        <v>Furniture</v>
      </c>
      <c r="I638">
        <v>10</v>
      </c>
      <c r="J638" t="str">
        <f>VLOOKUP(K638,$AJ$2:$AK$7,2,FALSE)</f>
        <v>S003</v>
      </c>
      <c r="K638" t="s">
        <v>1099</v>
      </c>
      <c r="L638">
        <v>4.7</v>
      </c>
      <c r="M638" t="str">
        <f>IFERROR(VLOOKUP(TRIM(N638),$AP$2:$AQ$12,2,FALSE),"W001")</f>
        <v>W001</v>
      </c>
      <c r="N638" t="s">
        <v>1047</v>
      </c>
      <c r="O638" t="s">
        <v>1051</v>
      </c>
      <c r="P638" t="str">
        <f>VLOOKUP(O638,$AL$2:$AM$12,2,FALSE)</f>
        <v>West</v>
      </c>
      <c r="Q638" t="s">
        <v>1084</v>
      </c>
      <c r="R638">
        <v>1155</v>
      </c>
      <c r="S638" t="s">
        <v>1078</v>
      </c>
      <c r="T638">
        <f t="shared" si="64"/>
        <v>4</v>
      </c>
      <c r="U638">
        <v>346.5</v>
      </c>
      <c r="V638">
        <f t="shared" si="65"/>
        <v>6</v>
      </c>
      <c r="W638" t="s">
        <v>1087</v>
      </c>
      <c r="X638" t="s">
        <v>1091</v>
      </c>
      <c r="Y638">
        <f t="shared" si="66"/>
        <v>0</v>
      </c>
      <c r="Z638" t="s">
        <v>1108</v>
      </c>
      <c r="AA638" t="str">
        <f t="shared" si="67"/>
        <v>Low</v>
      </c>
      <c r="AB638" t="s">
        <v>1103</v>
      </c>
      <c r="AC638" t="str">
        <f t="shared" si="68"/>
        <v>Yes</v>
      </c>
      <c r="AD638">
        <v>5</v>
      </c>
      <c r="AE638">
        <v>25860</v>
      </c>
      <c r="AF638">
        <v>10344</v>
      </c>
      <c r="AG638">
        <f t="shared" si="69"/>
        <v>15169.5</v>
      </c>
    </row>
    <row r="639" spans="1:33" x14ac:dyDescent="0.25">
      <c r="A639">
        <v>1638</v>
      </c>
      <c r="B639" s="1">
        <v>44224</v>
      </c>
      <c r="C639" s="1">
        <v>44226</v>
      </c>
      <c r="D639" s="1">
        <v>44230</v>
      </c>
      <c r="E639" t="s">
        <v>1065</v>
      </c>
      <c r="F639" t="s">
        <v>667</v>
      </c>
      <c r="G639" t="s">
        <v>1067</v>
      </c>
      <c r="H639" t="str">
        <f t="shared" si="63"/>
        <v>Clothing</v>
      </c>
      <c r="I639">
        <v>9</v>
      </c>
      <c r="J639" t="str">
        <f>VLOOKUP(K639,$AJ$2:$AK$7,2,FALSE)</f>
        <v>S005</v>
      </c>
      <c r="K639" t="s">
        <v>1101</v>
      </c>
      <c r="L639">
        <v>3.9</v>
      </c>
      <c r="M639" t="str">
        <f>IFERROR(VLOOKUP(TRIM(N639),$AP$2:$AQ$12,2,FALSE),"W001")</f>
        <v>W004</v>
      </c>
      <c r="N639" t="s">
        <v>1053</v>
      </c>
      <c r="O639" t="s">
        <v>1049</v>
      </c>
      <c r="P639" t="str">
        <f>VLOOKUP(O639,$AL$2:$AM$12,2,FALSE)</f>
        <v>North</v>
      </c>
      <c r="Q639" t="s">
        <v>1084</v>
      </c>
      <c r="R639">
        <v>1736</v>
      </c>
      <c r="S639" t="s">
        <v>1078</v>
      </c>
      <c r="T639">
        <f t="shared" si="64"/>
        <v>6</v>
      </c>
      <c r="U639">
        <v>520.79999999999995</v>
      </c>
      <c r="V639">
        <f t="shared" si="65"/>
        <v>6</v>
      </c>
      <c r="W639" t="s">
        <v>1088</v>
      </c>
      <c r="X639" t="s">
        <v>1090</v>
      </c>
      <c r="Y639">
        <f t="shared" si="66"/>
        <v>0</v>
      </c>
      <c r="Z639" t="s">
        <v>1109</v>
      </c>
      <c r="AA639" t="str">
        <f t="shared" si="67"/>
        <v>High</v>
      </c>
      <c r="AB639" t="s">
        <v>1103</v>
      </c>
      <c r="AC639" t="str">
        <f t="shared" si="68"/>
        <v>No</v>
      </c>
      <c r="AD639">
        <v>3</v>
      </c>
      <c r="AE639">
        <v>5715</v>
      </c>
      <c r="AF639">
        <v>2286</v>
      </c>
      <c r="AG639">
        <f t="shared" si="69"/>
        <v>2908.2</v>
      </c>
    </row>
    <row r="640" spans="1:33" x14ac:dyDescent="0.25">
      <c r="A640">
        <v>1639</v>
      </c>
      <c r="B640" s="1">
        <v>45995</v>
      </c>
      <c r="C640" s="1">
        <v>45996</v>
      </c>
      <c r="D640" s="1">
        <v>45998</v>
      </c>
      <c r="E640" t="s">
        <v>1066</v>
      </c>
      <c r="F640" t="s">
        <v>668</v>
      </c>
      <c r="G640" t="s">
        <v>1070</v>
      </c>
      <c r="H640" t="str">
        <f t="shared" si="63"/>
        <v>Furniture</v>
      </c>
      <c r="I640">
        <v>2</v>
      </c>
      <c r="J640" t="str">
        <f>VLOOKUP(K640,$AJ$2:$AK$7,2,FALSE)</f>
        <v>S005</v>
      </c>
      <c r="K640" t="s">
        <v>1101</v>
      </c>
      <c r="L640">
        <v>4.3</v>
      </c>
      <c r="M640" t="str">
        <f>IFERROR(VLOOKUP(TRIM(N640),$AP$2:$AQ$12,2,FALSE),"W001")</f>
        <v>W006</v>
      </c>
      <c r="N640" t="s">
        <v>1057</v>
      </c>
      <c r="O640" t="s">
        <v>1053</v>
      </c>
      <c r="P640" t="str">
        <f>VLOOKUP(O640,$AL$2:$AM$12,2,FALSE)</f>
        <v>South</v>
      </c>
      <c r="Q640" t="s">
        <v>1084</v>
      </c>
      <c r="R640">
        <v>1036</v>
      </c>
      <c r="S640" t="s">
        <v>1078</v>
      </c>
      <c r="T640">
        <f t="shared" si="64"/>
        <v>4</v>
      </c>
      <c r="U640">
        <v>310.8</v>
      </c>
      <c r="V640">
        <f t="shared" si="65"/>
        <v>6</v>
      </c>
      <c r="W640" t="s">
        <v>1086</v>
      </c>
      <c r="X640" t="s">
        <v>1091</v>
      </c>
      <c r="Y640">
        <f t="shared" si="66"/>
        <v>310.8</v>
      </c>
      <c r="Z640" t="s">
        <v>1108</v>
      </c>
      <c r="AA640" t="str">
        <f t="shared" si="67"/>
        <v>Low</v>
      </c>
      <c r="AB640" t="s">
        <v>1103</v>
      </c>
      <c r="AC640" t="str">
        <f t="shared" si="68"/>
        <v>Yes</v>
      </c>
      <c r="AD640">
        <v>5</v>
      </c>
      <c r="AE640">
        <v>5314</v>
      </c>
      <c r="AF640">
        <v>2125.6</v>
      </c>
      <c r="AG640">
        <f t="shared" si="69"/>
        <v>2877.6</v>
      </c>
    </row>
    <row r="641" spans="1:33" x14ac:dyDescent="0.25">
      <c r="A641">
        <v>1640</v>
      </c>
      <c r="B641" s="1">
        <v>46292</v>
      </c>
      <c r="C641" s="1">
        <v>46294</v>
      </c>
      <c r="D641" s="1">
        <v>46299</v>
      </c>
      <c r="E641" t="s">
        <v>1064</v>
      </c>
      <c r="F641" t="s">
        <v>669</v>
      </c>
      <c r="G641" t="s">
        <v>1070</v>
      </c>
      <c r="H641" t="str">
        <f t="shared" si="63"/>
        <v>Furniture</v>
      </c>
      <c r="I641">
        <v>9</v>
      </c>
      <c r="J641" t="str">
        <f>VLOOKUP(K641,$AJ$2:$AK$7,2,FALSE)</f>
        <v>S001</v>
      </c>
      <c r="K641" t="s">
        <v>1097</v>
      </c>
      <c r="L641">
        <v>3.7</v>
      </c>
      <c r="M641" t="str">
        <f>IFERROR(VLOOKUP(TRIM(N641),$AP$2:$AQ$12,2,FALSE),"W001")</f>
        <v>W008</v>
      </c>
      <c r="N641" t="s">
        <v>1061</v>
      </c>
      <c r="O641" t="s">
        <v>1061</v>
      </c>
      <c r="P641" t="str">
        <f>VLOOKUP(O641,$AL$2:$AM$12,2,FALSE)</f>
        <v>West</v>
      </c>
      <c r="Q641" t="s">
        <v>1085</v>
      </c>
      <c r="R641">
        <v>48</v>
      </c>
      <c r="S641" t="s">
        <v>1079</v>
      </c>
      <c r="T641">
        <f t="shared" si="64"/>
        <v>3</v>
      </c>
      <c r="U641">
        <v>4.8</v>
      </c>
      <c r="V641">
        <f t="shared" si="65"/>
        <v>3</v>
      </c>
      <c r="W641" t="s">
        <v>1086</v>
      </c>
      <c r="X641" t="s">
        <v>1091</v>
      </c>
      <c r="Y641">
        <f t="shared" si="66"/>
        <v>4.8</v>
      </c>
      <c r="Z641" t="s">
        <v>1108</v>
      </c>
      <c r="AA641" t="str">
        <f t="shared" si="67"/>
        <v>Low</v>
      </c>
      <c r="AB641" t="s">
        <v>1103</v>
      </c>
      <c r="AC641" t="str">
        <f t="shared" si="68"/>
        <v>Yes</v>
      </c>
      <c r="AD641">
        <v>4</v>
      </c>
      <c r="AE641">
        <v>54801</v>
      </c>
      <c r="AF641">
        <v>21920.400000000001</v>
      </c>
      <c r="AG641">
        <f t="shared" si="69"/>
        <v>32875.799999999996</v>
      </c>
    </row>
    <row r="642" spans="1:33" x14ac:dyDescent="0.25">
      <c r="A642">
        <v>1641</v>
      </c>
      <c r="B642" s="1">
        <v>44774</v>
      </c>
      <c r="C642" s="1">
        <v>44776</v>
      </c>
      <c r="D642" s="1">
        <v>44778</v>
      </c>
      <c r="E642" t="s">
        <v>1066</v>
      </c>
      <c r="F642" t="s">
        <v>670</v>
      </c>
      <c r="G642" t="s">
        <v>1070</v>
      </c>
      <c r="H642" t="str">
        <f t="shared" si="63"/>
        <v>Furniture</v>
      </c>
      <c r="I642">
        <v>8</v>
      </c>
      <c r="J642" t="str">
        <f>VLOOKUP(K642,$AJ$2:$AK$7,2,FALSE)</f>
        <v>S005</v>
      </c>
      <c r="K642" t="s">
        <v>1101</v>
      </c>
      <c r="L642">
        <v>3.7</v>
      </c>
      <c r="M642" t="str">
        <f>IFERROR(VLOOKUP(TRIM(N642),$AP$2:$AQ$12,2,FALSE),"W001")</f>
        <v>W005</v>
      </c>
      <c r="N642" t="s">
        <v>1055</v>
      </c>
      <c r="O642" t="s">
        <v>1057</v>
      </c>
      <c r="P642" t="str">
        <f>VLOOKUP(O642,$AL$2:$AM$12,2,FALSE)</f>
        <v>South</v>
      </c>
      <c r="Q642" t="s">
        <v>1081</v>
      </c>
      <c r="R642">
        <v>586</v>
      </c>
      <c r="S642" t="s">
        <v>1066</v>
      </c>
      <c r="T642">
        <f t="shared" si="64"/>
        <v>3</v>
      </c>
      <c r="U642">
        <v>117.2</v>
      </c>
      <c r="V642">
        <f t="shared" si="65"/>
        <v>5</v>
      </c>
      <c r="W642" t="s">
        <v>1087</v>
      </c>
      <c r="X642" t="s">
        <v>1091</v>
      </c>
      <c r="Y642">
        <f t="shared" si="66"/>
        <v>0</v>
      </c>
      <c r="Z642" t="s">
        <v>1108</v>
      </c>
      <c r="AA642" t="str">
        <f t="shared" si="67"/>
        <v>Low</v>
      </c>
      <c r="AB642" t="s">
        <v>1103</v>
      </c>
      <c r="AC642" t="str">
        <f t="shared" si="68"/>
        <v>Yes</v>
      </c>
      <c r="AD642">
        <v>5</v>
      </c>
      <c r="AE642">
        <v>61152</v>
      </c>
      <c r="AF642">
        <v>24460.800000000003</v>
      </c>
      <c r="AG642">
        <f t="shared" si="69"/>
        <v>36574</v>
      </c>
    </row>
    <row r="643" spans="1:33" x14ac:dyDescent="0.25">
      <c r="A643">
        <v>1642</v>
      </c>
      <c r="B643" s="1">
        <v>46159</v>
      </c>
      <c r="C643" s="1">
        <v>46161</v>
      </c>
      <c r="D643" s="1">
        <v>46164</v>
      </c>
      <c r="E643" t="s">
        <v>1066</v>
      </c>
      <c r="F643" t="s">
        <v>671</v>
      </c>
      <c r="G643" t="s">
        <v>1071</v>
      </c>
      <c r="H643" t="str">
        <f t="shared" ref="H643:H706" si="70">IF(OR(G643="Laptop",G643="Mobile"),"Electronics",
IF(OR(G643="T-Shirt",G643="Jeans"),"Clothing",
IF(OR(G643="Table",G643="Chair"),"Furniture","")))</f>
        <v>Clothing</v>
      </c>
      <c r="I643">
        <v>7</v>
      </c>
      <c r="J643" t="str">
        <f>VLOOKUP(K643,$AJ$2:$AK$7,2,FALSE)</f>
        <v>S004</v>
      </c>
      <c r="K643" t="s">
        <v>1100</v>
      </c>
      <c r="L643">
        <v>3.2</v>
      </c>
      <c r="M643" t="str">
        <f>IFERROR(VLOOKUP(TRIM(N643),$AP$2:$AQ$12,2,FALSE),"W001")</f>
        <v>W002</v>
      </c>
      <c r="N643" t="s">
        <v>1049</v>
      </c>
      <c r="O643" t="s">
        <v>1053</v>
      </c>
      <c r="P643" t="str">
        <f>VLOOKUP(O643,$AL$2:$AM$12,2,FALSE)</f>
        <v>South</v>
      </c>
      <c r="Q643" t="s">
        <v>1080</v>
      </c>
      <c r="R643">
        <v>888</v>
      </c>
      <c r="S643" t="s">
        <v>1078</v>
      </c>
      <c r="T643">
        <f t="shared" ref="T643:T706" si="71">IF(Q643="Air",ROUND(R643/700,0)+1,
IF(Q643="Express",ROUND(R643/500,0)+1,
IF(Q643="Courier",ROUND(R643/350,0)+1,
IF(Q643="Road",ROUND(R643/250,0)+1,
IF(Q643="Rail",ROUND(R643/300,0)+2,
IF(Q643="Ship",ROUND(R643/200,0)+3,""))))))</f>
        <v>5</v>
      </c>
      <c r="U643">
        <v>133.19999999999999</v>
      </c>
      <c r="V643">
        <f t="shared" ref="V643:V706" si="72">IF(Q643="Road",5,
IF(Q643="Rail",4,
IF(Q643="Air",10,
IF(Q643="Ship",3,
IF(Q643="Courier",6,
IF(Q643="Express",8))))))</f>
        <v>4</v>
      </c>
      <c r="W643" t="s">
        <v>1086</v>
      </c>
      <c r="X643" t="s">
        <v>1089</v>
      </c>
      <c r="Y643">
        <f t="shared" ref="Y643:Y706" si="73">IF(W643="COD",U643,0)</f>
        <v>133.19999999999999</v>
      </c>
      <c r="Z643" t="s">
        <v>1108</v>
      </c>
      <c r="AA643" t="str">
        <f t="shared" ref="AA643:AA706" si="74">IF(Z643="Delayed","High",
IF(OR(Q643="Air",Q643="Express"),"Medium","Low"))</f>
        <v>Low</v>
      </c>
      <c r="AB643" t="s">
        <v>1103</v>
      </c>
      <c r="AC643" t="str">
        <f t="shared" ref="AC643:AC706" si="75">IF(Z643="Delayed","No","Yes")</f>
        <v>Yes</v>
      </c>
      <c r="AD643">
        <v>4</v>
      </c>
      <c r="AE643">
        <v>17143</v>
      </c>
      <c r="AF643">
        <v>6857.2000000000007</v>
      </c>
      <c r="AG643">
        <f t="shared" ref="AG643:AG706" si="76">AE643 - AF643-U643</f>
        <v>10152.599999999999</v>
      </c>
    </row>
    <row r="644" spans="1:33" x14ac:dyDescent="0.25">
      <c r="A644">
        <v>1643</v>
      </c>
      <c r="B644" s="1">
        <v>45680</v>
      </c>
      <c r="C644" s="1">
        <v>45681</v>
      </c>
      <c r="D644" s="1">
        <v>45684</v>
      </c>
      <c r="E644" t="s">
        <v>1064</v>
      </c>
      <c r="F644" t="s">
        <v>672</v>
      </c>
      <c r="G644" t="s">
        <v>1068</v>
      </c>
      <c r="H644" t="str">
        <f t="shared" si="70"/>
        <v>Electronics</v>
      </c>
      <c r="I644">
        <v>5</v>
      </c>
      <c r="J644" t="str">
        <f>VLOOKUP(K644,$AJ$2:$AK$7,2,FALSE)</f>
        <v>S005</v>
      </c>
      <c r="K644" t="s">
        <v>1101</v>
      </c>
      <c r="L644">
        <v>4.2</v>
      </c>
      <c r="M644" t="str">
        <f>IFERROR(VLOOKUP(TRIM(N644),$AP$2:$AQ$12,2,FALSE),"W001")</f>
        <v>W001</v>
      </c>
      <c r="N644" t="s">
        <v>1047</v>
      </c>
      <c r="O644" t="s">
        <v>1055</v>
      </c>
      <c r="P644" t="str">
        <f>VLOOKUP(O644,$AL$2:$AM$12,2,FALSE)</f>
        <v>South</v>
      </c>
      <c r="Q644" t="s">
        <v>1080</v>
      </c>
      <c r="R644">
        <v>471</v>
      </c>
      <c r="S644" t="s">
        <v>1066</v>
      </c>
      <c r="T644">
        <f t="shared" si="71"/>
        <v>4</v>
      </c>
      <c r="U644">
        <v>70.650000000000006</v>
      </c>
      <c r="V644">
        <f t="shared" si="72"/>
        <v>4</v>
      </c>
      <c r="W644" t="s">
        <v>1088</v>
      </c>
      <c r="X644" t="s">
        <v>1091</v>
      </c>
      <c r="Y644">
        <f t="shared" si="73"/>
        <v>0</v>
      </c>
      <c r="Z644" t="s">
        <v>1108</v>
      </c>
      <c r="AA644" t="str">
        <f t="shared" si="74"/>
        <v>Low</v>
      </c>
      <c r="AB644" t="s">
        <v>1103</v>
      </c>
      <c r="AC644" t="str">
        <f t="shared" si="75"/>
        <v>Yes</v>
      </c>
      <c r="AD644">
        <v>5</v>
      </c>
      <c r="AE644">
        <v>266935</v>
      </c>
      <c r="AF644">
        <v>106774</v>
      </c>
      <c r="AG644">
        <f t="shared" si="76"/>
        <v>160090.35</v>
      </c>
    </row>
    <row r="645" spans="1:33" x14ac:dyDescent="0.25">
      <c r="A645">
        <v>1644</v>
      </c>
      <c r="B645" s="1">
        <v>45517</v>
      </c>
      <c r="C645" s="1">
        <v>45518</v>
      </c>
      <c r="D645" s="1">
        <v>45524</v>
      </c>
      <c r="E645" t="s">
        <v>1065</v>
      </c>
      <c r="F645" t="s">
        <v>673</v>
      </c>
      <c r="G645" t="s">
        <v>1071</v>
      </c>
      <c r="H645" t="str">
        <f t="shared" si="70"/>
        <v>Clothing</v>
      </c>
      <c r="I645">
        <v>5</v>
      </c>
      <c r="J645" t="str">
        <f>VLOOKUP(K645,$AJ$2:$AK$7,2,FALSE)</f>
        <v>S004</v>
      </c>
      <c r="K645" t="s">
        <v>1100</v>
      </c>
      <c r="L645">
        <v>4.9000000000000004</v>
      </c>
      <c r="M645" t="str">
        <f>IFERROR(VLOOKUP(TRIM(N645),$AP$2:$AQ$12,2,FALSE),"W001")</f>
        <v>W005</v>
      </c>
      <c r="N645" t="s">
        <v>1055</v>
      </c>
      <c r="O645" t="s">
        <v>1061</v>
      </c>
      <c r="P645" t="str">
        <f>VLOOKUP(O645,$AL$2:$AM$12,2,FALSE)</f>
        <v>West</v>
      </c>
      <c r="Q645" t="s">
        <v>1082</v>
      </c>
      <c r="R645">
        <v>1140</v>
      </c>
      <c r="S645" t="s">
        <v>1078</v>
      </c>
      <c r="T645">
        <f t="shared" si="71"/>
        <v>3</v>
      </c>
      <c r="U645">
        <v>456</v>
      </c>
      <c r="V645">
        <f t="shared" si="72"/>
        <v>8</v>
      </c>
      <c r="W645" t="s">
        <v>1088</v>
      </c>
      <c r="X645" t="s">
        <v>1090</v>
      </c>
      <c r="Y645">
        <f t="shared" si="73"/>
        <v>0</v>
      </c>
      <c r="Z645" t="s">
        <v>1109</v>
      </c>
      <c r="AA645" t="str">
        <f t="shared" si="74"/>
        <v>High</v>
      </c>
      <c r="AB645" t="s">
        <v>1103</v>
      </c>
      <c r="AC645" t="str">
        <f t="shared" si="75"/>
        <v>No</v>
      </c>
      <c r="AD645">
        <v>2</v>
      </c>
      <c r="AE645">
        <v>12850</v>
      </c>
      <c r="AF645">
        <v>5140</v>
      </c>
      <c r="AG645">
        <f t="shared" si="76"/>
        <v>7254</v>
      </c>
    </row>
    <row r="646" spans="1:33" x14ac:dyDescent="0.25">
      <c r="A646">
        <v>1645</v>
      </c>
      <c r="B646" s="1">
        <v>44409</v>
      </c>
      <c r="C646" s="1">
        <v>44411</v>
      </c>
      <c r="D646" s="1">
        <v>44413</v>
      </c>
      <c r="E646" t="s">
        <v>1066</v>
      </c>
      <c r="F646" t="s">
        <v>674</v>
      </c>
      <c r="G646" t="s">
        <v>1067</v>
      </c>
      <c r="H646" t="str">
        <f t="shared" si="70"/>
        <v>Clothing</v>
      </c>
      <c r="I646">
        <v>2</v>
      </c>
      <c r="J646" t="str">
        <f>VLOOKUP(K646,$AJ$2:$AK$7,2,FALSE)</f>
        <v>S003</v>
      </c>
      <c r="K646" t="s">
        <v>1099</v>
      </c>
      <c r="L646">
        <v>3.8</v>
      </c>
      <c r="M646" t="str">
        <f>IFERROR(VLOOKUP(TRIM(N646),$AP$2:$AQ$12,2,FALSE),"W001")</f>
        <v>W003</v>
      </c>
      <c r="N646" t="s">
        <v>1051</v>
      </c>
      <c r="O646" t="s">
        <v>1059</v>
      </c>
      <c r="P646" t="str">
        <f>VLOOKUP(O646,$AL$2:$AM$12,2,FALSE)</f>
        <v>North</v>
      </c>
      <c r="Q646" t="s">
        <v>1084</v>
      </c>
      <c r="R646">
        <v>480</v>
      </c>
      <c r="S646" t="s">
        <v>1066</v>
      </c>
      <c r="T646">
        <f t="shared" si="71"/>
        <v>2</v>
      </c>
      <c r="U646">
        <v>144</v>
      </c>
      <c r="V646">
        <f t="shared" si="72"/>
        <v>6</v>
      </c>
      <c r="W646" t="s">
        <v>1088</v>
      </c>
      <c r="X646" t="s">
        <v>1091</v>
      </c>
      <c r="Y646">
        <f t="shared" si="73"/>
        <v>0</v>
      </c>
      <c r="Z646" t="s">
        <v>1108</v>
      </c>
      <c r="AA646" t="str">
        <f t="shared" si="74"/>
        <v>Low</v>
      </c>
      <c r="AB646" t="s">
        <v>1103</v>
      </c>
      <c r="AC646" t="str">
        <f t="shared" si="75"/>
        <v>Yes</v>
      </c>
      <c r="AD646">
        <v>4</v>
      </c>
      <c r="AE646">
        <v>1916</v>
      </c>
      <c r="AF646">
        <v>766.40000000000009</v>
      </c>
      <c r="AG646">
        <f t="shared" si="76"/>
        <v>1005.5999999999999</v>
      </c>
    </row>
    <row r="647" spans="1:33" x14ac:dyDescent="0.25">
      <c r="A647">
        <v>1646</v>
      </c>
      <c r="B647" s="1">
        <v>46362</v>
      </c>
      <c r="C647" s="1">
        <v>46363</v>
      </c>
      <c r="D647" s="1">
        <v>46370</v>
      </c>
      <c r="E647" t="s">
        <v>1065</v>
      </c>
      <c r="F647" t="s">
        <v>675</v>
      </c>
      <c r="G647" t="s">
        <v>1068</v>
      </c>
      <c r="H647" t="str">
        <f t="shared" si="70"/>
        <v>Electronics</v>
      </c>
      <c r="I647">
        <v>2</v>
      </c>
      <c r="J647" t="str">
        <f>VLOOKUP(K647,$AJ$2:$AK$7,2,FALSE)</f>
        <v>S001</v>
      </c>
      <c r="K647" t="s">
        <v>1097</v>
      </c>
      <c r="L647">
        <v>3.4</v>
      </c>
      <c r="M647" t="str">
        <f>IFERROR(VLOOKUP(TRIM(N647),$AP$2:$AQ$12,2,FALSE),"W001")</f>
        <v>W002</v>
      </c>
      <c r="N647" t="s">
        <v>1049</v>
      </c>
      <c r="O647" t="s">
        <v>1062</v>
      </c>
      <c r="P647" t="str">
        <f>VLOOKUP(O647,$AL$2:$AM$12,2,FALSE)</f>
        <v>North</v>
      </c>
      <c r="Q647" t="s">
        <v>1083</v>
      </c>
      <c r="R647">
        <v>1210</v>
      </c>
      <c r="S647" t="s">
        <v>1078</v>
      </c>
      <c r="T647">
        <f t="shared" si="71"/>
        <v>3</v>
      </c>
      <c r="U647">
        <v>605</v>
      </c>
      <c r="V647">
        <f t="shared" si="72"/>
        <v>10</v>
      </c>
      <c r="W647" t="s">
        <v>1088</v>
      </c>
      <c r="X647" t="s">
        <v>1091</v>
      </c>
      <c r="Y647">
        <f t="shared" si="73"/>
        <v>0</v>
      </c>
      <c r="Z647" t="s">
        <v>1108</v>
      </c>
      <c r="AA647" t="str">
        <f t="shared" si="74"/>
        <v>Medium</v>
      </c>
      <c r="AB647" t="s">
        <v>1104</v>
      </c>
      <c r="AC647" t="str">
        <f t="shared" si="75"/>
        <v>Yes</v>
      </c>
      <c r="AD647">
        <v>1</v>
      </c>
      <c r="AE647">
        <v>91104</v>
      </c>
      <c r="AF647">
        <v>36441.599999999999</v>
      </c>
      <c r="AG647">
        <f t="shared" si="76"/>
        <v>54057.4</v>
      </c>
    </row>
    <row r="648" spans="1:33" x14ac:dyDescent="0.25">
      <c r="A648">
        <v>1647</v>
      </c>
      <c r="B648" s="1">
        <v>45994</v>
      </c>
      <c r="C648" s="1">
        <v>45995</v>
      </c>
      <c r="D648" s="1">
        <v>46002</v>
      </c>
      <c r="E648" t="s">
        <v>1065</v>
      </c>
      <c r="F648" t="s">
        <v>676</v>
      </c>
      <c r="G648" t="s">
        <v>1069</v>
      </c>
      <c r="H648" t="str">
        <f t="shared" si="70"/>
        <v>Furniture</v>
      </c>
      <c r="I648">
        <v>1</v>
      </c>
      <c r="J648" t="str">
        <f>VLOOKUP(K648,$AJ$2:$AK$7,2,FALSE)</f>
        <v>S001</v>
      </c>
      <c r="K648" t="s">
        <v>1097</v>
      </c>
      <c r="L648">
        <v>4.0999999999999996</v>
      </c>
      <c r="M648" t="str">
        <f>IFERROR(VLOOKUP(TRIM(N648),$AP$2:$AQ$12,2,FALSE),"W001")</f>
        <v>W009</v>
      </c>
      <c r="N648" t="s">
        <v>1060</v>
      </c>
      <c r="O648" t="s">
        <v>1053</v>
      </c>
      <c r="P648" t="str">
        <f>VLOOKUP(O648,$AL$2:$AM$12,2,FALSE)</f>
        <v>South</v>
      </c>
      <c r="Q648" t="s">
        <v>1082</v>
      </c>
      <c r="R648">
        <v>229</v>
      </c>
      <c r="S648" t="s">
        <v>1066</v>
      </c>
      <c r="T648">
        <f t="shared" si="71"/>
        <v>1</v>
      </c>
      <c r="U648">
        <v>91.6</v>
      </c>
      <c r="V648">
        <f t="shared" si="72"/>
        <v>8</v>
      </c>
      <c r="W648" t="s">
        <v>1086</v>
      </c>
      <c r="X648" t="s">
        <v>1091</v>
      </c>
      <c r="Y648">
        <f t="shared" si="73"/>
        <v>91.6</v>
      </c>
      <c r="Z648" t="s">
        <v>1108</v>
      </c>
      <c r="AA648" t="str">
        <f t="shared" si="74"/>
        <v>Medium</v>
      </c>
      <c r="AB648" t="s">
        <v>1104</v>
      </c>
      <c r="AC648" t="str">
        <f t="shared" si="75"/>
        <v>Yes</v>
      </c>
      <c r="AD648">
        <v>1</v>
      </c>
      <c r="AE648">
        <v>9257</v>
      </c>
      <c r="AF648">
        <v>3702.8</v>
      </c>
      <c r="AG648">
        <f t="shared" si="76"/>
        <v>5462.5999999999995</v>
      </c>
    </row>
    <row r="649" spans="1:33" x14ac:dyDescent="0.25">
      <c r="A649">
        <v>1648</v>
      </c>
      <c r="B649" s="1">
        <v>46174</v>
      </c>
      <c r="C649" s="1">
        <v>46177</v>
      </c>
      <c r="D649" s="1">
        <v>46183</v>
      </c>
      <c r="E649" t="s">
        <v>1064</v>
      </c>
      <c r="F649" t="s">
        <v>677</v>
      </c>
      <c r="G649" t="s">
        <v>1069</v>
      </c>
      <c r="H649" t="str">
        <f t="shared" si="70"/>
        <v>Furniture</v>
      </c>
      <c r="I649">
        <v>3</v>
      </c>
      <c r="J649" t="str">
        <f>VLOOKUP(K649,$AJ$2:$AK$7,2,FALSE)</f>
        <v>S001</v>
      </c>
      <c r="K649" t="s">
        <v>1097</v>
      </c>
      <c r="L649">
        <v>4</v>
      </c>
      <c r="M649" t="str">
        <f>IFERROR(VLOOKUP(TRIM(N649),$AP$2:$AQ$12,2,FALSE),"W001")</f>
        <v>W011</v>
      </c>
      <c r="N649" t="s">
        <v>1059</v>
      </c>
      <c r="O649" t="s">
        <v>1063</v>
      </c>
      <c r="P649" t="str">
        <f>VLOOKUP(O649,$AL$2:$AM$12,2,FALSE)</f>
        <v>South</v>
      </c>
      <c r="Q649" t="s">
        <v>1083</v>
      </c>
      <c r="R649">
        <v>1249</v>
      </c>
      <c r="S649" t="s">
        <v>1078</v>
      </c>
      <c r="T649">
        <f t="shared" si="71"/>
        <v>3</v>
      </c>
      <c r="U649">
        <v>624.5</v>
      </c>
      <c r="V649">
        <f t="shared" si="72"/>
        <v>10</v>
      </c>
      <c r="W649" t="s">
        <v>1087</v>
      </c>
      <c r="X649" t="s">
        <v>1091</v>
      </c>
      <c r="Y649">
        <f t="shared" si="73"/>
        <v>0</v>
      </c>
      <c r="Z649" t="s">
        <v>1108</v>
      </c>
      <c r="AA649" t="str">
        <f t="shared" si="74"/>
        <v>Medium</v>
      </c>
      <c r="AB649" t="s">
        <v>1104</v>
      </c>
      <c r="AC649" t="str">
        <f t="shared" si="75"/>
        <v>Yes</v>
      </c>
      <c r="AD649">
        <v>1</v>
      </c>
      <c r="AE649">
        <v>16662</v>
      </c>
      <c r="AF649">
        <v>6664.8</v>
      </c>
      <c r="AG649">
        <f t="shared" si="76"/>
        <v>9372.7000000000007</v>
      </c>
    </row>
    <row r="650" spans="1:33" x14ac:dyDescent="0.25">
      <c r="A650">
        <v>1649</v>
      </c>
      <c r="B650" s="1">
        <v>44508</v>
      </c>
      <c r="C650" s="1">
        <v>44511</v>
      </c>
      <c r="D650" s="1">
        <v>44516</v>
      </c>
      <c r="E650" t="s">
        <v>1066</v>
      </c>
      <c r="F650" t="s">
        <v>678</v>
      </c>
      <c r="G650" t="s">
        <v>1069</v>
      </c>
      <c r="H650" t="str">
        <f t="shared" si="70"/>
        <v>Furniture</v>
      </c>
      <c r="I650">
        <v>6</v>
      </c>
      <c r="J650" t="str">
        <f>VLOOKUP(K650,$AJ$2:$AK$7,2,FALSE)</f>
        <v>S005</v>
      </c>
      <c r="K650" t="s">
        <v>1101</v>
      </c>
      <c r="L650">
        <v>4.5999999999999996</v>
      </c>
      <c r="M650" t="str">
        <f>IFERROR(VLOOKUP(TRIM(N650),$AP$2:$AQ$12,2,FALSE),"W001")</f>
        <v>W004</v>
      </c>
      <c r="N650" t="s">
        <v>1053</v>
      </c>
      <c r="O650" t="s">
        <v>1047</v>
      </c>
      <c r="P650" t="str">
        <f>VLOOKUP(O650,$AL$2:$AM$12,2,FALSE)</f>
        <v>West</v>
      </c>
      <c r="Q650" t="s">
        <v>1083</v>
      </c>
      <c r="R650">
        <v>1865</v>
      </c>
      <c r="S650" t="s">
        <v>1078</v>
      </c>
      <c r="T650">
        <f t="shared" si="71"/>
        <v>4</v>
      </c>
      <c r="U650">
        <v>932.5</v>
      </c>
      <c r="V650">
        <f t="shared" si="72"/>
        <v>10</v>
      </c>
      <c r="W650" t="s">
        <v>1086</v>
      </c>
      <c r="X650" t="s">
        <v>1091</v>
      </c>
      <c r="Y650">
        <f t="shared" si="73"/>
        <v>932.5</v>
      </c>
      <c r="Z650" t="s">
        <v>1109</v>
      </c>
      <c r="AA650" t="str">
        <f t="shared" si="74"/>
        <v>High</v>
      </c>
      <c r="AB650" t="s">
        <v>1104</v>
      </c>
      <c r="AC650" t="str">
        <f t="shared" si="75"/>
        <v>No</v>
      </c>
      <c r="AD650">
        <v>1</v>
      </c>
      <c r="AE650">
        <v>75528</v>
      </c>
      <c r="AF650">
        <v>30211.200000000001</v>
      </c>
      <c r="AG650">
        <f t="shared" si="76"/>
        <v>44384.3</v>
      </c>
    </row>
    <row r="651" spans="1:33" x14ac:dyDescent="0.25">
      <c r="A651">
        <v>1650</v>
      </c>
      <c r="B651" s="1">
        <v>45506</v>
      </c>
      <c r="C651" s="1">
        <v>45507</v>
      </c>
      <c r="D651" s="1">
        <v>45509</v>
      </c>
      <c r="E651" t="s">
        <v>1065</v>
      </c>
      <c r="F651" t="s">
        <v>679</v>
      </c>
      <c r="G651" t="s">
        <v>1071</v>
      </c>
      <c r="H651" t="str">
        <f t="shared" si="70"/>
        <v>Clothing</v>
      </c>
      <c r="I651">
        <v>5</v>
      </c>
      <c r="J651" t="str">
        <f>VLOOKUP(K651,$AJ$2:$AK$7,2,FALSE)</f>
        <v>S005</v>
      </c>
      <c r="K651" t="s">
        <v>1101</v>
      </c>
      <c r="L651">
        <v>4.2</v>
      </c>
      <c r="M651" t="str">
        <f>IFERROR(VLOOKUP(TRIM(N651),$AP$2:$AQ$12,2,FALSE),"W001")</f>
        <v>W010</v>
      </c>
      <c r="N651" t="s">
        <v>1063</v>
      </c>
      <c r="O651" t="s">
        <v>1059</v>
      </c>
      <c r="P651" t="str">
        <f>VLOOKUP(O651,$AL$2:$AM$12,2,FALSE)</f>
        <v>North</v>
      </c>
      <c r="Q651" t="s">
        <v>1085</v>
      </c>
      <c r="R651">
        <v>393</v>
      </c>
      <c r="S651" t="s">
        <v>1066</v>
      </c>
      <c r="T651">
        <f t="shared" si="71"/>
        <v>5</v>
      </c>
      <c r="U651">
        <v>39.299999999999997</v>
      </c>
      <c r="V651">
        <f t="shared" si="72"/>
        <v>3</v>
      </c>
      <c r="W651" t="s">
        <v>1088</v>
      </c>
      <c r="X651" t="s">
        <v>1091</v>
      </c>
      <c r="Y651">
        <f t="shared" si="73"/>
        <v>0</v>
      </c>
      <c r="Z651" t="s">
        <v>1108</v>
      </c>
      <c r="AA651" t="str">
        <f t="shared" si="74"/>
        <v>Low</v>
      </c>
      <c r="AB651" t="s">
        <v>1103</v>
      </c>
      <c r="AC651" t="str">
        <f t="shared" si="75"/>
        <v>Yes</v>
      </c>
      <c r="AD651">
        <v>5</v>
      </c>
      <c r="AE651">
        <v>11750</v>
      </c>
      <c r="AF651">
        <v>4700</v>
      </c>
      <c r="AG651">
        <f t="shared" si="76"/>
        <v>7010.7</v>
      </c>
    </row>
    <row r="652" spans="1:33" x14ac:dyDescent="0.25">
      <c r="A652">
        <v>1651</v>
      </c>
      <c r="B652" s="1">
        <v>44381</v>
      </c>
      <c r="C652" s="1">
        <v>44382</v>
      </c>
      <c r="D652" s="1">
        <v>44389</v>
      </c>
      <c r="E652" t="s">
        <v>1065</v>
      </c>
      <c r="F652" t="s">
        <v>680</v>
      </c>
      <c r="G652" t="s">
        <v>1068</v>
      </c>
      <c r="H652" t="str">
        <f t="shared" si="70"/>
        <v>Electronics</v>
      </c>
      <c r="I652">
        <v>1</v>
      </c>
      <c r="J652" t="str">
        <f>VLOOKUP(K652,$AJ$2:$AK$7,2,FALSE)</f>
        <v>S005</v>
      </c>
      <c r="K652" t="s">
        <v>1101</v>
      </c>
      <c r="L652">
        <v>3.8</v>
      </c>
      <c r="M652" t="str">
        <f>IFERROR(VLOOKUP(TRIM(N652),$AP$2:$AQ$12,2,FALSE),"W001")</f>
        <v>W004</v>
      </c>
      <c r="N652" t="s">
        <v>1053</v>
      </c>
      <c r="O652" t="s">
        <v>1062</v>
      </c>
      <c r="P652" t="str">
        <f>VLOOKUP(O652,$AL$2:$AM$12,2,FALSE)</f>
        <v>North</v>
      </c>
      <c r="Q652" t="s">
        <v>1081</v>
      </c>
      <c r="R652">
        <v>1354</v>
      </c>
      <c r="S652" t="s">
        <v>1078</v>
      </c>
      <c r="T652">
        <f t="shared" si="71"/>
        <v>6</v>
      </c>
      <c r="U652">
        <v>270.8</v>
      </c>
      <c r="V652">
        <f t="shared" si="72"/>
        <v>5</v>
      </c>
      <c r="W652" t="s">
        <v>1087</v>
      </c>
      <c r="X652" t="s">
        <v>1091</v>
      </c>
      <c r="Y652">
        <f t="shared" si="73"/>
        <v>0</v>
      </c>
      <c r="Z652" t="s">
        <v>1108</v>
      </c>
      <c r="AA652" t="str">
        <f t="shared" si="74"/>
        <v>Low</v>
      </c>
      <c r="AB652" t="s">
        <v>1103</v>
      </c>
      <c r="AC652" t="str">
        <f t="shared" si="75"/>
        <v>Yes</v>
      </c>
      <c r="AD652">
        <v>5</v>
      </c>
      <c r="AE652">
        <v>69183</v>
      </c>
      <c r="AF652">
        <v>27673.200000000001</v>
      </c>
      <c r="AG652">
        <f t="shared" si="76"/>
        <v>41239</v>
      </c>
    </row>
    <row r="653" spans="1:33" x14ac:dyDescent="0.25">
      <c r="A653">
        <v>1652</v>
      </c>
      <c r="B653" s="1">
        <v>44883</v>
      </c>
      <c r="C653" s="1">
        <v>44886</v>
      </c>
      <c r="D653" s="1">
        <v>44893</v>
      </c>
      <c r="E653" t="s">
        <v>1065</v>
      </c>
      <c r="F653" t="s">
        <v>681</v>
      </c>
      <c r="G653" t="s">
        <v>1069</v>
      </c>
      <c r="H653" t="str">
        <f t="shared" si="70"/>
        <v>Furniture</v>
      </c>
      <c r="I653">
        <v>5</v>
      </c>
      <c r="J653" t="str">
        <f>VLOOKUP(K653,$AJ$2:$AK$7,2,FALSE)</f>
        <v>S001</v>
      </c>
      <c r="K653" t="s">
        <v>1097</v>
      </c>
      <c r="L653">
        <v>4.5</v>
      </c>
      <c r="M653" t="str">
        <f>IFERROR(VLOOKUP(TRIM(N653),$AP$2:$AQ$12,2,FALSE),"W001")</f>
        <v>W004</v>
      </c>
      <c r="N653" t="s">
        <v>1053</v>
      </c>
      <c r="O653" t="s">
        <v>1062</v>
      </c>
      <c r="P653" t="str">
        <f>VLOOKUP(O653,$AL$2:$AM$12,2,FALSE)</f>
        <v>North</v>
      </c>
      <c r="Q653" t="s">
        <v>1083</v>
      </c>
      <c r="R653">
        <v>745</v>
      </c>
      <c r="S653" t="s">
        <v>1066</v>
      </c>
      <c r="T653">
        <f t="shared" si="71"/>
        <v>2</v>
      </c>
      <c r="U653">
        <v>372.5</v>
      </c>
      <c r="V653">
        <f t="shared" si="72"/>
        <v>10</v>
      </c>
      <c r="W653" t="s">
        <v>1088</v>
      </c>
      <c r="X653" t="s">
        <v>1091</v>
      </c>
      <c r="Y653">
        <f t="shared" si="73"/>
        <v>0</v>
      </c>
      <c r="Z653" t="s">
        <v>1108</v>
      </c>
      <c r="AA653" t="str">
        <f t="shared" si="74"/>
        <v>Medium</v>
      </c>
      <c r="AB653" t="s">
        <v>1103</v>
      </c>
      <c r="AC653" t="str">
        <f t="shared" si="75"/>
        <v>Yes</v>
      </c>
      <c r="AD653">
        <v>5</v>
      </c>
      <c r="AE653">
        <v>43650</v>
      </c>
      <c r="AF653">
        <v>17460</v>
      </c>
      <c r="AG653">
        <f t="shared" si="76"/>
        <v>25817.5</v>
      </c>
    </row>
    <row r="654" spans="1:33" x14ac:dyDescent="0.25">
      <c r="A654">
        <v>1653</v>
      </c>
      <c r="B654" s="1">
        <v>44417</v>
      </c>
      <c r="C654" s="1">
        <v>44420</v>
      </c>
      <c r="D654" s="1">
        <v>44426</v>
      </c>
      <c r="E654" t="s">
        <v>1066</v>
      </c>
      <c r="F654" t="s">
        <v>682</v>
      </c>
      <c r="G654" t="s">
        <v>1070</v>
      </c>
      <c r="H654" t="str">
        <f t="shared" si="70"/>
        <v>Furniture</v>
      </c>
      <c r="I654">
        <v>3</v>
      </c>
      <c r="J654" t="str">
        <f>VLOOKUP(K654,$AJ$2:$AK$7,2,FALSE)</f>
        <v>S003</v>
      </c>
      <c r="K654" t="s">
        <v>1099</v>
      </c>
      <c r="L654">
        <v>4.5999999999999996</v>
      </c>
      <c r="M654" t="str">
        <f>IFERROR(VLOOKUP(TRIM(N654),$AP$2:$AQ$12,2,FALSE),"W001")</f>
        <v>W002</v>
      </c>
      <c r="N654" t="s">
        <v>1049</v>
      </c>
      <c r="O654" t="s">
        <v>1047</v>
      </c>
      <c r="P654" t="str">
        <f>VLOOKUP(O654,$AL$2:$AM$12,2,FALSE)</f>
        <v>West</v>
      </c>
      <c r="Q654" t="s">
        <v>1084</v>
      </c>
      <c r="R654">
        <v>1743</v>
      </c>
      <c r="S654" t="s">
        <v>1078</v>
      </c>
      <c r="T654">
        <f t="shared" si="71"/>
        <v>6</v>
      </c>
      <c r="U654">
        <v>522.9</v>
      </c>
      <c r="V654">
        <f t="shared" si="72"/>
        <v>6</v>
      </c>
      <c r="W654" t="s">
        <v>1087</v>
      </c>
      <c r="X654" t="s">
        <v>1091</v>
      </c>
      <c r="Y654">
        <f t="shared" si="73"/>
        <v>0</v>
      </c>
      <c r="Z654" t="s">
        <v>1109</v>
      </c>
      <c r="AA654" t="str">
        <f t="shared" si="74"/>
        <v>High</v>
      </c>
      <c r="AB654" t="s">
        <v>1104</v>
      </c>
      <c r="AC654" t="str">
        <f t="shared" si="75"/>
        <v>No</v>
      </c>
      <c r="AD654">
        <v>2</v>
      </c>
      <c r="AE654">
        <v>19023</v>
      </c>
      <c r="AF654">
        <v>7609.2000000000007</v>
      </c>
      <c r="AG654">
        <f t="shared" si="76"/>
        <v>10890.9</v>
      </c>
    </row>
    <row r="655" spans="1:33" x14ac:dyDescent="0.25">
      <c r="A655">
        <v>1654</v>
      </c>
      <c r="B655" s="1">
        <v>45696</v>
      </c>
      <c r="C655" s="1">
        <v>45697</v>
      </c>
      <c r="D655" s="1">
        <v>45704</v>
      </c>
      <c r="E655" t="s">
        <v>1065</v>
      </c>
      <c r="F655" t="s">
        <v>683</v>
      </c>
      <c r="G655" t="s">
        <v>1067</v>
      </c>
      <c r="H655" t="str">
        <f t="shared" si="70"/>
        <v>Clothing</v>
      </c>
      <c r="I655">
        <v>7</v>
      </c>
      <c r="J655" t="str">
        <f>VLOOKUP(K655,$AJ$2:$AK$7,2,FALSE)</f>
        <v>S003</v>
      </c>
      <c r="K655" t="s">
        <v>1099</v>
      </c>
      <c r="L655">
        <v>3.5</v>
      </c>
      <c r="M655" t="str">
        <f>IFERROR(VLOOKUP(TRIM(N655),$AP$2:$AQ$12,2,FALSE),"W001")</f>
        <v>W002</v>
      </c>
      <c r="N655" t="s">
        <v>1049</v>
      </c>
      <c r="O655" t="s">
        <v>1060</v>
      </c>
      <c r="P655" t="str">
        <f>VLOOKUP(O655,$AL$2:$AM$12,2,FALSE)</f>
        <v>North</v>
      </c>
      <c r="Q655" t="s">
        <v>1080</v>
      </c>
      <c r="R655">
        <v>1089</v>
      </c>
      <c r="S655" t="s">
        <v>1078</v>
      </c>
      <c r="T655">
        <f t="shared" si="71"/>
        <v>6</v>
      </c>
      <c r="U655">
        <v>163.35</v>
      </c>
      <c r="V655">
        <f t="shared" si="72"/>
        <v>4</v>
      </c>
      <c r="W655" t="s">
        <v>1086</v>
      </c>
      <c r="X655" t="s">
        <v>1091</v>
      </c>
      <c r="Y655">
        <f t="shared" si="73"/>
        <v>163.35</v>
      </c>
      <c r="Z655" t="s">
        <v>1108</v>
      </c>
      <c r="AA655" t="str">
        <f t="shared" si="74"/>
        <v>Low</v>
      </c>
      <c r="AB655" t="s">
        <v>1103</v>
      </c>
      <c r="AC655" t="str">
        <f t="shared" si="75"/>
        <v>Yes</v>
      </c>
      <c r="AD655">
        <v>4</v>
      </c>
      <c r="AE655">
        <v>9989</v>
      </c>
      <c r="AF655">
        <v>3995.6000000000004</v>
      </c>
      <c r="AG655">
        <f t="shared" si="76"/>
        <v>5830.0499999999993</v>
      </c>
    </row>
    <row r="656" spans="1:33" x14ac:dyDescent="0.25">
      <c r="A656">
        <v>1655</v>
      </c>
      <c r="B656" s="1">
        <v>44931</v>
      </c>
      <c r="C656" s="1">
        <v>44934</v>
      </c>
      <c r="D656" s="1">
        <v>44940</v>
      </c>
      <c r="E656" t="s">
        <v>1064</v>
      </c>
      <c r="F656" t="s">
        <v>684</v>
      </c>
      <c r="G656" t="s">
        <v>1071</v>
      </c>
      <c r="H656" t="str">
        <f t="shared" si="70"/>
        <v>Clothing</v>
      </c>
      <c r="I656">
        <v>10</v>
      </c>
      <c r="J656" t="str">
        <f>VLOOKUP(K656,$AJ$2:$AK$7,2,FALSE)</f>
        <v>S006</v>
      </c>
      <c r="K656" t="s">
        <v>1102</v>
      </c>
      <c r="L656">
        <v>3.4</v>
      </c>
      <c r="M656" t="str">
        <f>IFERROR(VLOOKUP(TRIM(N656),$AP$2:$AQ$12,2,FALSE),"W001")</f>
        <v>W004</v>
      </c>
      <c r="N656" t="s">
        <v>1053</v>
      </c>
      <c r="O656" t="s">
        <v>1053</v>
      </c>
      <c r="P656" t="str">
        <f>VLOOKUP(O656,$AL$2:$AM$12,2,FALSE)</f>
        <v>South</v>
      </c>
      <c r="Q656" t="s">
        <v>1080</v>
      </c>
      <c r="R656">
        <v>38</v>
      </c>
      <c r="S656" t="s">
        <v>1079</v>
      </c>
      <c r="T656">
        <f t="shared" si="71"/>
        <v>2</v>
      </c>
      <c r="U656">
        <v>5.7</v>
      </c>
      <c r="V656">
        <f t="shared" si="72"/>
        <v>4</v>
      </c>
      <c r="W656" t="s">
        <v>1086</v>
      </c>
      <c r="X656" t="s">
        <v>1089</v>
      </c>
      <c r="Y656">
        <f t="shared" si="73"/>
        <v>5.7</v>
      </c>
      <c r="Z656" t="s">
        <v>1108</v>
      </c>
      <c r="AA656" t="str">
        <f t="shared" si="74"/>
        <v>Low</v>
      </c>
      <c r="AB656" t="s">
        <v>1103</v>
      </c>
      <c r="AC656" t="str">
        <f t="shared" si="75"/>
        <v>Yes</v>
      </c>
      <c r="AD656">
        <v>4</v>
      </c>
      <c r="AE656">
        <v>25090</v>
      </c>
      <c r="AF656">
        <v>10036</v>
      </c>
      <c r="AG656">
        <f t="shared" si="76"/>
        <v>15048.3</v>
      </c>
    </row>
    <row r="657" spans="1:33" x14ac:dyDescent="0.25">
      <c r="A657">
        <v>1656</v>
      </c>
      <c r="B657" s="1">
        <v>44284</v>
      </c>
      <c r="C657" s="1">
        <v>44285</v>
      </c>
      <c r="D657" s="1">
        <v>44287</v>
      </c>
      <c r="E657" t="s">
        <v>1065</v>
      </c>
      <c r="F657" t="s">
        <v>685</v>
      </c>
      <c r="G657" t="s">
        <v>1068</v>
      </c>
      <c r="H657" t="str">
        <f t="shared" si="70"/>
        <v>Electronics</v>
      </c>
      <c r="I657">
        <v>5</v>
      </c>
      <c r="J657" t="str">
        <f>VLOOKUP(K657,$AJ$2:$AK$7,2,FALSE)</f>
        <v>S003</v>
      </c>
      <c r="K657" t="s">
        <v>1099</v>
      </c>
      <c r="L657">
        <v>3.2</v>
      </c>
      <c r="M657" t="str">
        <f>IFERROR(VLOOKUP(TRIM(N657),$AP$2:$AQ$12,2,FALSE),"W001")</f>
        <v>W005</v>
      </c>
      <c r="N657" t="s">
        <v>1055</v>
      </c>
      <c r="O657" t="s">
        <v>1055</v>
      </c>
      <c r="P657" t="str">
        <f>VLOOKUP(O657,$AL$2:$AM$12,2,FALSE)</f>
        <v>South</v>
      </c>
      <c r="Q657" t="s">
        <v>1083</v>
      </c>
      <c r="R657">
        <v>24</v>
      </c>
      <c r="S657" t="s">
        <v>1079</v>
      </c>
      <c r="T657">
        <f t="shared" si="71"/>
        <v>1</v>
      </c>
      <c r="U657">
        <v>12</v>
      </c>
      <c r="V657">
        <f t="shared" si="72"/>
        <v>10</v>
      </c>
      <c r="W657" t="s">
        <v>1087</v>
      </c>
      <c r="X657" t="s">
        <v>1089</v>
      </c>
      <c r="Y657">
        <f t="shared" si="73"/>
        <v>0</v>
      </c>
      <c r="Z657" t="s">
        <v>1108</v>
      </c>
      <c r="AA657" t="str">
        <f t="shared" si="74"/>
        <v>Medium</v>
      </c>
      <c r="AB657" t="s">
        <v>1104</v>
      </c>
      <c r="AC657" t="str">
        <f t="shared" si="75"/>
        <v>Yes</v>
      </c>
      <c r="AD657">
        <v>1</v>
      </c>
      <c r="AE657">
        <v>259675</v>
      </c>
      <c r="AF657">
        <v>103870</v>
      </c>
      <c r="AG657">
        <f t="shared" si="76"/>
        <v>155793</v>
      </c>
    </row>
    <row r="658" spans="1:33" x14ac:dyDescent="0.25">
      <c r="A658">
        <v>1657</v>
      </c>
      <c r="B658" s="1">
        <v>45669</v>
      </c>
      <c r="C658" s="1">
        <v>45670</v>
      </c>
      <c r="D658" s="1">
        <v>45672</v>
      </c>
      <c r="E658" t="s">
        <v>1064</v>
      </c>
      <c r="F658" t="s">
        <v>686</v>
      </c>
      <c r="G658" t="s">
        <v>1071</v>
      </c>
      <c r="H658" t="str">
        <f t="shared" si="70"/>
        <v>Clothing</v>
      </c>
      <c r="I658">
        <v>8</v>
      </c>
      <c r="J658" t="str">
        <f>VLOOKUP(K658,$AJ$2:$AK$7,2,FALSE)</f>
        <v>S006</v>
      </c>
      <c r="K658" t="s">
        <v>1102</v>
      </c>
      <c r="L658">
        <v>4.4000000000000004</v>
      </c>
      <c r="M658" t="str">
        <f>IFERROR(VLOOKUP(TRIM(N658),$AP$2:$AQ$12,2,FALSE),"W001")</f>
        <v>W001</v>
      </c>
      <c r="N658" t="s">
        <v>1047</v>
      </c>
      <c r="O658" t="s">
        <v>1051</v>
      </c>
      <c r="P658" t="str">
        <f>VLOOKUP(O658,$AL$2:$AM$12,2,FALSE)</f>
        <v>West</v>
      </c>
      <c r="Q658" t="s">
        <v>1080</v>
      </c>
      <c r="R658">
        <v>1088</v>
      </c>
      <c r="S658" t="s">
        <v>1078</v>
      </c>
      <c r="T658">
        <f t="shared" si="71"/>
        <v>6</v>
      </c>
      <c r="U658">
        <v>163.19999999999999</v>
      </c>
      <c r="V658">
        <f t="shared" si="72"/>
        <v>4</v>
      </c>
      <c r="W658" t="s">
        <v>1086</v>
      </c>
      <c r="X658" t="s">
        <v>1091</v>
      </c>
      <c r="Y658">
        <f t="shared" si="73"/>
        <v>163.19999999999999</v>
      </c>
      <c r="Z658" t="s">
        <v>1108</v>
      </c>
      <c r="AA658" t="str">
        <f t="shared" si="74"/>
        <v>Low</v>
      </c>
      <c r="AB658" t="s">
        <v>1103</v>
      </c>
      <c r="AC658" t="str">
        <f t="shared" si="75"/>
        <v>Yes</v>
      </c>
      <c r="AD658">
        <v>4</v>
      </c>
      <c r="AE658">
        <v>22832</v>
      </c>
      <c r="AF658">
        <v>9132.8000000000011</v>
      </c>
      <c r="AG658">
        <f t="shared" si="76"/>
        <v>13535.999999999998</v>
      </c>
    </row>
    <row r="659" spans="1:33" x14ac:dyDescent="0.25">
      <c r="A659">
        <v>1658</v>
      </c>
      <c r="B659" s="1">
        <v>46043</v>
      </c>
      <c r="C659" s="1">
        <v>46045</v>
      </c>
      <c r="D659" s="1">
        <v>46050</v>
      </c>
      <c r="E659" t="s">
        <v>1066</v>
      </c>
      <c r="F659" t="s">
        <v>687</v>
      </c>
      <c r="G659" t="s">
        <v>1068</v>
      </c>
      <c r="H659" t="str">
        <f t="shared" si="70"/>
        <v>Electronics</v>
      </c>
      <c r="I659">
        <v>5</v>
      </c>
      <c r="J659" t="str">
        <f>VLOOKUP(K659,$AJ$2:$AK$7,2,FALSE)</f>
        <v>S006</v>
      </c>
      <c r="K659" t="s">
        <v>1102</v>
      </c>
      <c r="L659">
        <v>4.7</v>
      </c>
      <c r="M659" t="str">
        <f>IFERROR(VLOOKUP(TRIM(N659),$AP$2:$AQ$12,2,FALSE),"W001")</f>
        <v>W008</v>
      </c>
      <c r="N659" t="s">
        <v>1061</v>
      </c>
      <c r="O659" t="s">
        <v>1061</v>
      </c>
      <c r="P659" t="str">
        <f>VLOOKUP(O659,$AL$2:$AM$12,2,FALSE)</f>
        <v>West</v>
      </c>
      <c r="Q659" t="s">
        <v>1083</v>
      </c>
      <c r="R659">
        <v>35</v>
      </c>
      <c r="S659" t="s">
        <v>1079</v>
      </c>
      <c r="T659">
        <f t="shared" si="71"/>
        <v>1</v>
      </c>
      <c r="U659">
        <v>17.5</v>
      </c>
      <c r="V659">
        <f t="shared" si="72"/>
        <v>10</v>
      </c>
      <c r="W659" t="s">
        <v>1086</v>
      </c>
      <c r="X659" t="s">
        <v>1091</v>
      </c>
      <c r="Y659">
        <f t="shared" si="73"/>
        <v>17.5</v>
      </c>
      <c r="Z659" t="s">
        <v>1108</v>
      </c>
      <c r="AA659" t="str">
        <f t="shared" si="74"/>
        <v>Medium</v>
      </c>
      <c r="AB659" t="s">
        <v>1103</v>
      </c>
      <c r="AC659" t="str">
        <f t="shared" si="75"/>
        <v>Yes</v>
      </c>
      <c r="AD659">
        <v>5</v>
      </c>
      <c r="AE659">
        <v>274675</v>
      </c>
      <c r="AF659">
        <v>109870</v>
      </c>
      <c r="AG659">
        <f t="shared" si="76"/>
        <v>164787.5</v>
      </c>
    </row>
    <row r="660" spans="1:33" x14ac:dyDescent="0.25">
      <c r="A660">
        <v>1659</v>
      </c>
      <c r="B660" s="1">
        <v>46181</v>
      </c>
      <c r="C660" s="1">
        <v>46182</v>
      </c>
      <c r="D660" s="1">
        <v>46184</v>
      </c>
      <c r="E660" t="s">
        <v>1064</v>
      </c>
      <c r="F660" t="s">
        <v>688</v>
      </c>
      <c r="G660" t="s">
        <v>1072</v>
      </c>
      <c r="H660" t="str">
        <f t="shared" si="70"/>
        <v>Electronics</v>
      </c>
      <c r="I660">
        <v>4</v>
      </c>
      <c r="J660" t="str">
        <f>VLOOKUP(K660,$AJ$2:$AK$7,2,FALSE)</f>
        <v>S001</v>
      </c>
      <c r="K660" t="s">
        <v>1097</v>
      </c>
      <c r="L660">
        <v>5</v>
      </c>
      <c r="M660" t="str">
        <f>IFERROR(VLOOKUP(TRIM(N660),$AP$2:$AQ$12,2,FALSE),"W001")</f>
        <v>W011</v>
      </c>
      <c r="N660" t="s">
        <v>1059</v>
      </c>
      <c r="O660" t="s">
        <v>1047</v>
      </c>
      <c r="P660" t="str">
        <f>VLOOKUP(O660,$AL$2:$AM$12,2,FALSE)</f>
        <v>West</v>
      </c>
      <c r="Q660" t="s">
        <v>1084</v>
      </c>
      <c r="R660">
        <v>899</v>
      </c>
      <c r="S660" t="s">
        <v>1078</v>
      </c>
      <c r="T660">
        <f t="shared" si="71"/>
        <v>4</v>
      </c>
      <c r="U660">
        <v>269.7</v>
      </c>
      <c r="V660">
        <f t="shared" si="72"/>
        <v>6</v>
      </c>
      <c r="W660" t="s">
        <v>1086</v>
      </c>
      <c r="X660" t="s">
        <v>1090</v>
      </c>
      <c r="Y660">
        <f t="shared" si="73"/>
        <v>269.7</v>
      </c>
      <c r="Z660" t="s">
        <v>1108</v>
      </c>
      <c r="AA660" t="str">
        <f t="shared" si="74"/>
        <v>Low</v>
      </c>
      <c r="AB660" t="s">
        <v>1103</v>
      </c>
      <c r="AC660" t="str">
        <f t="shared" si="75"/>
        <v>Yes</v>
      </c>
      <c r="AD660">
        <v>4</v>
      </c>
      <c r="AE660">
        <v>115128</v>
      </c>
      <c r="AF660">
        <v>46051.200000000004</v>
      </c>
      <c r="AG660">
        <f t="shared" si="76"/>
        <v>68807.099999999991</v>
      </c>
    </row>
    <row r="661" spans="1:33" x14ac:dyDescent="0.25">
      <c r="A661">
        <v>1660</v>
      </c>
      <c r="B661" s="1">
        <v>45551</v>
      </c>
      <c r="C661" s="1">
        <v>45552</v>
      </c>
      <c r="D661" s="1">
        <v>45555</v>
      </c>
      <c r="E661" t="s">
        <v>1064</v>
      </c>
      <c r="F661" t="s">
        <v>689</v>
      </c>
      <c r="G661" t="s">
        <v>1071</v>
      </c>
      <c r="H661" t="str">
        <f t="shared" si="70"/>
        <v>Clothing</v>
      </c>
      <c r="I661">
        <v>8</v>
      </c>
      <c r="J661" t="str">
        <f>VLOOKUP(K661,$AJ$2:$AK$7,2,FALSE)</f>
        <v>S005</v>
      </c>
      <c r="K661" t="s">
        <v>1101</v>
      </c>
      <c r="L661">
        <v>3.6</v>
      </c>
      <c r="M661" t="str">
        <f>IFERROR(VLOOKUP(TRIM(N661),$AP$2:$AQ$12,2,FALSE),"W001")</f>
        <v>W005</v>
      </c>
      <c r="N661" t="s">
        <v>1055</v>
      </c>
      <c r="O661" t="s">
        <v>1047</v>
      </c>
      <c r="P661" t="str">
        <f>VLOOKUP(O661,$AL$2:$AM$12,2,FALSE)</f>
        <v>West</v>
      </c>
      <c r="Q661" t="s">
        <v>1084</v>
      </c>
      <c r="R661">
        <v>1026</v>
      </c>
      <c r="S661" t="s">
        <v>1078</v>
      </c>
      <c r="T661">
        <f t="shared" si="71"/>
        <v>4</v>
      </c>
      <c r="U661">
        <v>307.8</v>
      </c>
      <c r="V661">
        <f t="shared" si="72"/>
        <v>6</v>
      </c>
      <c r="W661" t="s">
        <v>1088</v>
      </c>
      <c r="X661" t="s">
        <v>1089</v>
      </c>
      <c r="Y661">
        <f t="shared" si="73"/>
        <v>0</v>
      </c>
      <c r="Z661" t="s">
        <v>1108</v>
      </c>
      <c r="AA661" t="str">
        <f t="shared" si="74"/>
        <v>Low</v>
      </c>
      <c r="AB661" t="s">
        <v>1103</v>
      </c>
      <c r="AC661" t="str">
        <f t="shared" si="75"/>
        <v>Yes</v>
      </c>
      <c r="AD661">
        <v>5</v>
      </c>
      <c r="AE661">
        <v>20096</v>
      </c>
      <c r="AF661">
        <v>8038.4000000000005</v>
      </c>
      <c r="AG661">
        <f t="shared" si="76"/>
        <v>11749.8</v>
      </c>
    </row>
    <row r="662" spans="1:33" x14ac:dyDescent="0.25">
      <c r="A662">
        <v>1661</v>
      </c>
      <c r="B662" s="1">
        <v>45046</v>
      </c>
      <c r="C662" s="1">
        <v>45047</v>
      </c>
      <c r="D662" s="1">
        <v>45052</v>
      </c>
      <c r="E662" t="s">
        <v>1066</v>
      </c>
      <c r="F662" t="s">
        <v>690</v>
      </c>
      <c r="G662" t="s">
        <v>1072</v>
      </c>
      <c r="H662" t="str">
        <f t="shared" si="70"/>
        <v>Electronics</v>
      </c>
      <c r="I662">
        <v>3</v>
      </c>
      <c r="J662" t="str">
        <f>VLOOKUP(K662,$AJ$2:$AK$7,2,FALSE)</f>
        <v>S003</v>
      </c>
      <c r="K662" t="s">
        <v>1099</v>
      </c>
      <c r="L662">
        <v>3.3</v>
      </c>
      <c r="M662" t="str">
        <f>IFERROR(VLOOKUP(TRIM(N662),$AP$2:$AQ$12,2,FALSE),"W001")</f>
        <v>W010</v>
      </c>
      <c r="N662" t="s">
        <v>1063</v>
      </c>
      <c r="O662" t="s">
        <v>1063</v>
      </c>
      <c r="P662" t="str">
        <f>VLOOKUP(O662,$AL$2:$AM$12,2,FALSE)</f>
        <v>South</v>
      </c>
      <c r="Q662" t="s">
        <v>1080</v>
      </c>
      <c r="R662">
        <v>41</v>
      </c>
      <c r="S662" t="s">
        <v>1079</v>
      </c>
      <c r="T662">
        <f t="shared" si="71"/>
        <v>2</v>
      </c>
      <c r="U662">
        <v>6.15</v>
      </c>
      <c r="V662">
        <f t="shared" si="72"/>
        <v>4</v>
      </c>
      <c r="W662" t="s">
        <v>1086</v>
      </c>
      <c r="X662" t="s">
        <v>1090</v>
      </c>
      <c r="Y662">
        <f t="shared" si="73"/>
        <v>6.15</v>
      </c>
      <c r="Z662" t="s">
        <v>1108</v>
      </c>
      <c r="AA662" t="str">
        <f t="shared" si="74"/>
        <v>Low</v>
      </c>
      <c r="AB662" t="s">
        <v>1103</v>
      </c>
      <c r="AC662" t="str">
        <f t="shared" si="75"/>
        <v>Yes</v>
      </c>
      <c r="AD662">
        <v>5</v>
      </c>
      <c r="AE662">
        <v>54459</v>
      </c>
      <c r="AF662">
        <v>21783.600000000002</v>
      </c>
      <c r="AG662">
        <f t="shared" si="76"/>
        <v>32669.249999999996</v>
      </c>
    </row>
    <row r="663" spans="1:33" x14ac:dyDescent="0.25">
      <c r="A663">
        <v>1662</v>
      </c>
      <c r="B663" s="1">
        <v>44865</v>
      </c>
      <c r="C663" s="1">
        <v>44867</v>
      </c>
      <c r="D663" s="1">
        <v>44869</v>
      </c>
      <c r="E663" t="s">
        <v>1065</v>
      </c>
      <c r="F663" t="s">
        <v>691</v>
      </c>
      <c r="G663" t="s">
        <v>1071</v>
      </c>
      <c r="H663" t="str">
        <f t="shared" si="70"/>
        <v>Clothing</v>
      </c>
      <c r="I663">
        <v>8</v>
      </c>
      <c r="J663" t="str">
        <f>VLOOKUP(K663,$AJ$2:$AK$7,2,FALSE)</f>
        <v>S006</v>
      </c>
      <c r="K663" t="s">
        <v>1102</v>
      </c>
      <c r="L663">
        <v>4</v>
      </c>
      <c r="M663" t="str">
        <f>IFERROR(VLOOKUP(TRIM(N663),$AP$2:$AQ$12,2,FALSE),"W001")</f>
        <v>W011</v>
      </c>
      <c r="N663" t="s">
        <v>1059</v>
      </c>
      <c r="O663" t="s">
        <v>1049</v>
      </c>
      <c r="P663" t="str">
        <f>VLOOKUP(O663,$AL$2:$AM$12,2,FALSE)</f>
        <v>North</v>
      </c>
      <c r="Q663" t="s">
        <v>1083</v>
      </c>
      <c r="R663">
        <v>1445</v>
      </c>
      <c r="S663" t="s">
        <v>1078</v>
      </c>
      <c r="T663">
        <f t="shared" si="71"/>
        <v>3</v>
      </c>
      <c r="U663">
        <v>722.5</v>
      </c>
      <c r="V663">
        <f t="shared" si="72"/>
        <v>10</v>
      </c>
      <c r="W663" t="s">
        <v>1088</v>
      </c>
      <c r="X663" t="s">
        <v>1091</v>
      </c>
      <c r="Y663">
        <f t="shared" si="73"/>
        <v>0</v>
      </c>
      <c r="Z663" t="s">
        <v>1108</v>
      </c>
      <c r="AA663" t="str">
        <f t="shared" si="74"/>
        <v>Medium</v>
      </c>
      <c r="AB663" t="s">
        <v>1103</v>
      </c>
      <c r="AC663" t="str">
        <f t="shared" si="75"/>
        <v>Yes</v>
      </c>
      <c r="AD663">
        <v>4</v>
      </c>
      <c r="AE663">
        <v>15768</v>
      </c>
      <c r="AF663">
        <v>6307.2000000000007</v>
      </c>
      <c r="AG663">
        <f t="shared" si="76"/>
        <v>8738.2999999999993</v>
      </c>
    </row>
    <row r="664" spans="1:33" x14ac:dyDescent="0.25">
      <c r="A664">
        <v>1663</v>
      </c>
      <c r="B664" s="1">
        <v>44369</v>
      </c>
      <c r="C664" s="1">
        <v>44372</v>
      </c>
      <c r="D664" s="1">
        <v>44376</v>
      </c>
      <c r="E664" t="s">
        <v>1065</v>
      </c>
      <c r="F664" t="s">
        <v>692</v>
      </c>
      <c r="G664" t="s">
        <v>1072</v>
      </c>
      <c r="H664" t="str">
        <f t="shared" si="70"/>
        <v>Electronics</v>
      </c>
      <c r="I664">
        <v>4</v>
      </c>
      <c r="J664" t="str">
        <f>VLOOKUP(K664,$AJ$2:$AK$7,2,FALSE)</f>
        <v>S001</v>
      </c>
      <c r="K664" t="s">
        <v>1097</v>
      </c>
      <c r="L664">
        <v>3</v>
      </c>
      <c r="M664" t="str">
        <f>IFERROR(VLOOKUP(TRIM(N664),$AP$2:$AQ$12,2,FALSE),"W001")</f>
        <v>W008</v>
      </c>
      <c r="N664" t="s">
        <v>1061</v>
      </c>
      <c r="O664" t="s">
        <v>1060</v>
      </c>
      <c r="P664" t="str">
        <f>VLOOKUP(O664,$AL$2:$AM$12,2,FALSE)</f>
        <v>North</v>
      </c>
      <c r="Q664" t="s">
        <v>1083</v>
      </c>
      <c r="R664">
        <v>1497</v>
      </c>
      <c r="S664" t="s">
        <v>1078</v>
      </c>
      <c r="T664">
        <f t="shared" si="71"/>
        <v>3</v>
      </c>
      <c r="U664">
        <v>748.5</v>
      </c>
      <c r="V664">
        <f t="shared" si="72"/>
        <v>10</v>
      </c>
      <c r="W664" t="s">
        <v>1088</v>
      </c>
      <c r="X664" t="s">
        <v>1089</v>
      </c>
      <c r="Y664">
        <f t="shared" si="73"/>
        <v>0</v>
      </c>
      <c r="Z664" t="s">
        <v>1108</v>
      </c>
      <c r="AA664" t="str">
        <f t="shared" si="74"/>
        <v>Medium</v>
      </c>
      <c r="AB664" t="s">
        <v>1103</v>
      </c>
      <c r="AC664" t="str">
        <f t="shared" si="75"/>
        <v>Yes</v>
      </c>
      <c r="AD664">
        <v>4</v>
      </c>
      <c r="AE664">
        <v>83940</v>
      </c>
      <c r="AF664">
        <v>33576</v>
      </c>
      <c r="AG664">
        <f t="shared" si="76"/>
        <v>49615.5</v>
      </c>
    </row>
    <row r="665" spans="1:33" x14ac:dyDescent="0.25">
      <c r="A665">
        <v>1664</v>
      </c>
      <c r="B665" s="1">
        <v>45591</v>
      </c>
      <c r="C665" s="1">
        <v>45592</v>
      </c>
      <c r="D665" s="1">
        <v>45598</v>
      </c>
      <c r="E665" t="s">
        <v>1066</v>
      </c>
      <c r="F665" t="s">
        <v>693</v>
      </c>
      <c r="G665" t="s">
        <v>1068</v>
      </c>
      <c r="H665" t="str">
        <f t="shared" si="70"/>
        <v>Electronics</v>
      </c>
      <c r="I665">
        <v>4</v>
      </c>
      <c r="J665" t="str">
        <f>VLOOKUP(K665,$AJ$2:$AK$7,2,FALSE)</f>
        <v>S006</v>
      </c>
      <c r="K665" t="s">
        <v>1102</v>
      </c>
      <c r="L665">
        <v>4.0999999999999996</v>
      </c>
      <c r="M665" t="str">
        <f>IFERROR(VLOOKUP(TRIM(N665),$AP$2:$AQ$12,2,FALSE),"W001")</f>
        <v>W007</v>
      </c>
      <c r="N665" t="s">
        <v>1062</v>
      </c>
      <c r="O665" t="s">
        <v>1062</v>
      </c>
      <c r="P665" t="str">
        <f>VLOOKUP(O665,$AL$2:$AM$12,2,FALSE)</f>
        <v>North</v>
      </c>
      <c r="Q665" t="s">
        <v>1083</v>
      </c>
      <c r="R665">
        <v>30</v>
      </c>
      <c r="S665" t="s">
        <v>1079</v>
      </c>
      <c r="T665">
        <f t="shared" si="71"/>
        <v>1</v>
      </c>
      <c r="U665">
        <v>15</v>
      </c>
      <c r="V665">
        <f t="shared" si="72"/>
        <v>10</v>
      </c>
      <c r="W665" t="s">
        <v>1088</v>
      </c>
      <c r="X665" t="s">
        <v>1091</v>
      </c>
      <c r="Y665">
        <f t="shared" si="73"/>
        <v>0</v>
      </c>
      <c r="Z665" t="s">
        <v>1108</v>
      </c>
      <c r="AA665" t="str">
        <f t="shared" si="74"/>
        <v>Medium</v>
      </c>
      <c r="AB665" t="s">
        <v>1103</v>
      </c>
      <c r="AC665" t="str">
        <f t="shared" si="75"/>
        <v>Yes</v>
      </c>
      <c r="AD665">
        <v>5</v>
      </c>
      <c r="AE665">
        <v>260276</v>
      </c>
      <c r="AF665">
        <v>104110.40000000001</v>
      </c>
      <c r="AG665">
        <f t="shared" si="76"/>
        <v>156150.59999999998</v>
      </c>
    </row>
    <row r="666" spans="1:33" x14ac:dyDescent="0.25">
      <c r="A666">
        <v>1665</v>
      </c>
      <c r="B666" s="1">
        <v>45697</v>
      </c>
      <c r="C666" s="1">
        <v>45698</v>
      </c>
      <c r="D666" s="1">
        <v>45704</v>
      </c>
      <c r="E666" t="s">
        <v>1064</v>
      </c>
      <c r="F666" t="s">
        <v>694</v>
      </c>
      <c r="G666" t="s">
        <v>1069</v>
      </c>
      <c r="H666" t="str">
        <f t="shared" si="70"/>
        <v>Furniture</v>
      </c>
      <c r="I666">
        <v>3</v>
      </c>
      <c r="J666" t="str">
        <f>VLOOKUP(K666,$AJ$2:$AK$7,2,FALSE)</f>
        <v>S006</v>
      </c>
      <c r="K666" t="s">
        <v>1102</v>
      </c>
      <c r="L666">
        <v>3.9</v>
      </c>
      <c r="M666" t="str">
        <f>IFERROR(VLOOKUP(TRIM(N666),$AP$2:$AQ$12,2,FALSE),"W001")</f>
        <v>W003</v>
      </c>
      <c r="N666" t="s">
        <v>1051</v>
      </c>
      <c r="O666" t="s">
        <v>1057</v>
      </c>
      <c r="P666" t="str">
        <f>VLOOKUP(O666,$AL$2:$AM$12,2,FALSE)</f>
        <v>South</v>
      </c>
      <c r="Q666" t="s">
        <v>1083</v>
      </c>
      <c r="R666">
        <v>599</v>
      </c>
      <c r="S666" t="s">
        <v>1066</v>
      </c>
      <c r="T666">
        <f t="shared" si="71"/>
        <v>2</v>
      </c>
      <c r="U666">
        <v>299.5</v>
      </c>
      <c r="V666">
        <f t="shared" si="72"/>
        <v>10</v>
      </c>
      <c r="W666" t="s">
        <v>1088</v>
      </c>
      <c r="X666" t="s">
        <v>1091</v>
      </c>
      <c r="Y666">
        <f t="shared" si="73"/>
        <v>0</v>
      </c>
      <c r="Z666" t="s">
        <v>1108</v>
      </c>
      <c r="AA666" t="str">
        <f t="shared" si="74"/>
        <v>Medium</v>
      </c>
      <c r="AB666" t="s">
        <v>1103</v>
      </c>
      <c r="AC666" t="str">
        <f t="shared" si="75"/>
        <v>Yes</v>
      </c>
      <c r="AD666">
        <v>5</v>
      </c>
      <c r="AE666">
        <v>26097</v>
      </c>
      <c r="AF666">
        <v>10438.800000000001</v>
      </c>
      <c r="AG666">
        <f t="shared" si="76"/>
        <v>15358.699999999999</v>
      </c>
    </row>
    <row r="667" spans="1:33" x14ac:dyDescent="0.25">
      <c r="A667">
        <v>1666</v>
      </c>
      <c r="B667" s="1">
        <v>44492</v>
      </c>
      <c r="C667" s="1">
        <v>44494</v>
      </c>
      <c r="D667" s="1">
        <v>44500</v>
      </c>
      <c r="E667" t="s">
        <v>1066</v>
      </c>
      <c r="F667" t="s">
        <v>695</v>
      </c>
      <c r="G667" t="s">
        <v>1068</v>
      </c>
      <c r="H667" t="str">
        <f t="shared" si="70"/>
        <v>Electronics</v>
      </c>
      <c r="I667">
        <v>3</v>
      </c>
      <c r="J667" t="str">
        <f>VLOOKUP(K667,$AJ$2:$AK$7,2,FALSE)</f>
        <v>S001</v>
      </c>
      <c r="K667" t="s">
        <v>1097</v>
      </c>
      <c r="L667">
        <v>3.4</v>
      </c>
      <c r="M667" t="str">
        <f>IFERROR(VLOOKUP(TRIM(N667),$AP$2:$AQ$12,2,FALSE),"W001")</f>
        <v>W003</v>
      </c>
      <c r="N667" t="s">
        <v>1051</v>
      </c>
      <c r="O667" t="s">
        <v>1053</v>
      </c>
      <c r="P667" t="str">
        <f>VLOOKUP(O667,$AL$2:$AM$12,2,FALSE)</f>
        <v>South</v>
      </c>
      <c r="Q667" t="s">
        <v>1084</v>
      </c>
      <c r="R667">
        <v>1362</v>
      </c>
      <c r="S667" t="s">
        <v>1078</v>
      </c>
      <c r="T667">
        <f t="shared" si="71"/>
        <v>5</v>
      </c>
      <c r="U667">
        <v>408.6</v>
      </c>
      <c r="V667">
        <f t="shared" si="72"/>
        <v>6</v>
      </c>
      <c r="W667" t="s">
        <v>1088</v>
      </c>
      <c r="X667" t="s">
        <v>1091</v>
      </c>
      <c r="Y667">
        <f t="shared" si="73"/>
        <v>0</v>
      </c>
      <c r="Z667" t="s">
        <v>1108</v>
      </c>
      <c r="AA667" t="str">
        <f t="shared" si="74"/>
        <v>Low</v>
      </c>
      <c r="AB667" t="s">
        <v>1103</v>
      </c>
      <c r="AC667" t="str">
        <f t="shared" si="75"/>
        <v>Yes</v>
      </c>
      <c r="AD667">
        <v>5</v>
      </c>
      <c r="AE667">
        <v>190725</v>
      </c>
      <c r="AF667">
        <v>76290</v>
      </c>
      <c r="AG667">
        <f t="shared" si="76"/>
        <v>114026.4</v>
      </c>
    </row>
    <row r="668" spans="1:33" x14ac:dyDescent="0.25">
      <c r="A668">
        <v>1667</v>
      </c>
      <c r="B668" s="1">
        <v>44611</v>
      </c>
      <c r="C668" s="1">
        <v>44613</v>
      </c>
      <c r="D668" s="1">
        <v>44615</v>
      </c>
      <c r="E668" t="s">
        <v>1064</v>
      </c>
      <c r="F668" t="s">
        <v>696</v>
      </c>
      <c r="G668" t="s">
        <v>1067</v>
      </c>
      <c r="H668" t="str">
        <f t="shared" si="70"/>
        <v>Clothing</v>
      </c>
      <c r="I668">
        <v>9</v>
      </c>
      <c r="J668" t="str">
        <f>VLOOKUP(K668,$AJ$2:$AK$7,2,FALSE)</f>
        <v>S003</v>
      </c>
      <c r="K668" t="s">
        <v>1099</v>
      </c>
      <c r="L668">
        <v>4.4000000000000004</v>
      </c>
      <c r="M668" t="str">
        <f>IFERROR(VLOOKUP(TRIM(N668),$AP$2:$AQ$12,2,FALSE),"W001")</f>
        <v>W002</v>
      </c>
      <c r="N668" t="s">
        <v>1049</v>
      </c>
      <c r="O668" t="s">
        <v>1060</v>
      </c>
      <c r="P668" t="str">
        <f>VLOOKUP(O668,$AL$2:$AM$12,2,FALSE)</f>
        <v>North</v>
      </c>
      <c r="Q668" t="s">
        <v>1083</v>
      </c>
      <c r="R668">
        <v>973</v>
      </c>
      <c r="S668" t="s">
        <v>1078</v>
      </c>
      <c r="T668">
        <f t="shared" si="71"/>
        <v>2</v>
      </c>
      <c r="U668">
        <v>486.5</v>
      </c>
      <c r="V668">
        <f t="shared" si="72"/>
        <v>10</v>
      </c>
      <c r="W668" t="s">
        <v>1087</v>
      </c>
      <c r="X668" t="s">
        <v>1089</v>
      </c>
      <c r="Y668">
        <f t="shared" si="73"/>
        <v>0</v>
      </c>
      <c r="Z668" t="s">
        <v>1108</v>
      </c>
      <c r="AA668" t="str">
        <f t="shared" si="74"/>
        <v>Medium</v>
      </c>
      <c r="AB668" t="s">
        <v>1103</v>
      </c>
      <c r="AC668" t="str">
        <f t="shared" si="75"/>
        <v>Yes</v>
      </c>
      <c r="AD668">
        <v>4</v>
      </c>
      <c r="AE668">
        <v>8226</v>
      </c>
      <c r="AF668">
        <v>3290.4</v>
      </c>
      <c r="AG668">
        <f t="shared" si="76"/>
        <v>4449.1000000000004</v>
      </c>
    </row>
    <row r="669" spans="1:33" x14ac:dyDescent="0.25">
      <c r="A669">
        <v>1668</v>
      </c>
      <c r="B669" s="1">
        <v>46158</v>
      </c>
      <c r="C669" s="1">
        <v>46161</v>
      </c>
      <c r="D669" s="1">
        <v>46167</v>
      </c>
      <c r="E669" t="s">
        <v>1064</v>
      </c>
      <c r="F669" t="s">
        <v>697</v>
      </c>
      <c r="G669" t="s">
        <v>1068</v>
      </c>
      <c r="H669" t="str">
        <f t="shared" si="70"/>
        <v>Electronics</v>
      </c>
      <c r="I669">
        <v>8</v>
      </c>
      <c r="J669" t="str">
        <f>VLOOKUP(K669,$AJ$2:$AK$7,2,FALSE)</f>
        <v>S002</v>
      </c>
      <c r="K669" t="s">
        <v>1098</v>
      </c>
      <c r="L669">
        <v>3.7</v>
      </c>
      <c r="M669" t="str">
        <f>IFERROR(VLOOKUP(TRIM(N669),$AP$2:$AQ$12,2,FALSE),"W001")</f>
        <v>W010</v>
      </c>
      <c r="N669" t="s">
        <v>1063</v>
      </c>
      <c r="O669" t="s">
        <v>1047</v>
      </c>
      <c r="P669" t="str">
        <f>VLOOKUP(O669,$AL$2:$AM$12,2,FALSE)</f>
        <v>West</v>
      </c>
      <c r="Q669" t="s">
        <v>1083</v>
      </c>
      <c r="R669">
        <v>1927</v>
      </c>
      <c r="S669" t="s">
        <v>1078</v>
      </c>
      <c r="T669">
        <f t="shared" si="71"/>
        <v>4</v>
      </c>
      <c r="U669">
        <v>963.5</v>
      </c>
      <c r="V669">
        <f t="shared" si="72"/>
        <v>10</v>
      </c>
      <c r="W669" t="s">
        <v>1087</v>
      </c>
      <c r="X669" t="s">
        <v>1090</v>
      </c>
      <c r="Y669">
        <f t="shared" si="73"/>
        <v>0</v>
      </c>
      <c r="Z669" t="s">
        <v>1109</v>
      </c>
      <c r="AA669" t="str">
        <f t="shared" si="74"/>
        <v>High</v>
      </c>
      <c r="AB669" t="s">
        <v>1103</v>
      </c>
      <c r="AC669" t="str">
        <f t="shared" si="75"/>
        <v>No</v>
      </c>
      <c r="AD669">
        <v>2</v>
      </c>
      <c r="AE669">
        <v>401544</v>
      </c>
      <c r="AF669">
        <v>160617.60000000001</v>
      </c>
      <c r="AG669">
        <f t="shared" si="76"/>
        <v>239962.9</v>
      </c>
    </row>
    <row r="670" spans="1:33" x14ac:dyDescent="0.25">
      <c r="A670">
        <v>1669</v>
      </c>
      <c r="B670" s="1">
        <v>44998</v>
      </c>
      <c r="C670" s="1">
        <v>45001</v>
      </c>
      <c r="D670" s="1">
        <v>45007</v>
      </c>
      <c r="E670" t="s">
        <v>1066</v>
      </c>
      <c r="F670" t="s">
        <v>698</v>
      </c>
      <c r="G670" t="s">
        <v>1067</v>
      </c>
      <c r="H670" t="str">
        <f t="shared" si="70"/>
        <v>Clothing</v>
      </c>
      <c r="I670">
        <v>10</v>
      </c>
      <c r="J670" t="str">
        <f>VLOOKUP(K670,$AJ$2:$AK$7,2,FALSE)</f>
        <v>S001</v>
      </c>
      <c r="K670" t="s">
        <v>1097</v>
      </c>
      <c r="L670">
        <v>4.4000000000000004</v>
      </c>
      <c r="M670" t="str">
        <f>IFERROR(VLOOKUP(TRIM(N670),$AP$2:$AQ$12,2,FALSE),"W001")</f>
        <v>W001</v>
      </c>
      <c r="N670" t="s">
        <v>1047</v>
      </c>
      <c r="O670" t="s">
        <v>1051</v>
      </c>
      <c r="P670" t="str">
        <f>VLOOKUP(O670,$AL$2:$AM$12,2,FALSE)</f>
        <v>West</v>
      </c>
      <c r="Q670" t="s">
        <v>1080</v>
      </c>
      <c r="R670">
        <v>170</v>
      </c>
      <c r="S670" t="s">
        <v>1079</v>
      </c>
      <c r="T670">
        <f t="shared" si="71"/>
        <v>3</v>
      </c>
      <c r="U670">
        <v>25.5</v>
      </c>
      <c r="V670">
        <f t="shared" si="72"/>
        <v>4</v>
      </c>
      <c r="W670" t="s">
        <v>1087</v>
      </c>
      <c r="X670" t="s">
        <v>1091</v>
      </c>
      <c r="Y670">
        <f t="shared" si="73"/>
        <v>0</v>
      </c>
      <c r="Z670" t="s">
        <v>1108</v>
      </c>
      <c r="AA670" t="str">
        <f t="shared" si="74"/>
        <v>Low</v>
      </c>
      <c r="AB670" t="s">
        <v>1103</v>
      </c>
      <c r="AC670" t="str">
        <f t="shared" si="75"/>
        <v>Yes</v>
      </c>
      <c r="AD670">
        <v>4</v>
      </c>
      <c r="AE670">
        <v>6950</v>
      </c>
      <c r="AF670">
        <v>2780</v>
      </c>
      <c r="AG670">
        <f t="shared" si="76"/>
        <v>4144.5</v>
      </c>
    </row>
    <row r="671" spans="1:33" x14ac:dyDescent="0.25">
      <c r="A671">
        <v>1670</v>
      </c>
      <c r="B671" s="1">
        <v>44425</v>
      </c>
      <c r="C671" s="1">
        <v>44426</v>
      </c>
      <c r="D671" s="1">
        <v>44428</v>
      </c>
      <c r="E671" t="s">
        <v>1065</v>
      </c>
      <c r="F671" t="s">
        <v>699</v>
      </c>
      <c r="G671" t="s">
        <v>1071</v>
      </c>
      <c r="H671" t="str">
        <f t="shared" si="70"/>
        <v>Clothing</v>
      </c>
      <c r="I671">
        <v>9</v>
      </c>
      <c r="J671" t="str">
        <f>VLOOKUP(K671,$AJ$2:$AK$7,2,FALSE)</f>
        <v>S002</v>
      </c>
      <c r="K671" t="s">
        <v>1098</v>
      </c>
      <c r="L671">
        <v>4.5</v>
      </c>
      <c r="M671" t="str">
        <f>IFERROR(VLOOKUP(TRIM(N671),$AP$2:$AQ$12,2,FALSE),"W001")</f>
        <v>W001</v>
      </c>
      <c r="N671" t="s">
        <v>1047</v>
      </c>
      <c r="O671" t="s">
        <v>1053</v>
      </c>
      <c r="P671" t="str">
        <f>VLOOKUP(O671,$AL$2:$AM$12,2,FALSE)</f>
        <v>South</v>
      </c>
      <c r="Q671" t="s">
        <v>1080</v>
      </c>
      <c r="R671">
        <v>1185</v>
      </c>
      <c r="S671" t="s">
        <v>1078</v>
      </c>
      <c r="T671">
        <f t="shared" si="71"/>
        <v>6</v>
      </c>
      <c r="U671">
        <v>177.75</v>
      </c>
      <c r="V671">
        <f t="shared" si="72"/>
        <v>4</v>
      </c>
      <c r="W671" t="s">
        <v>1087</v>
      </c>
      <c r="X671" t="s">
        <v>1089</v>
      </c>
      <c r="Y671">
        <f t="shared" si="73"/>
        <v>0</v>
      </c>
      <c r="Z671" t="s">
        <v>1108</v>
      </c>
      <c r="AA671" t="str">
        <f t="shared" si="74"/>
        <v>Low</v>
      </c>
      <c r="AB671" t="s">
        <v>1103</v>
      </c>
      <c r="AC671" t="str">
        <f t="shared" si="75"/>
        <v>Yes</v>
      </c>
      <c r="AD671">
        <v>4</v>
      </c>
      <c r="AE671">
        <v>24255</v>
      </c>
      <c r="AF671">
        <v>9702</v>
      </c>
      <c r="AG671">
        <f t="shared" si="76"/>
        <v>14375.25</v>
      </c>
    </row>
    <row r="672" spans="1:33" x14ac:dyDescent="0.25">
      <c r="A672">
        <v>1671</v>
      </c>
      <c r="B672" s="1">
        <v>44839</v>
      </c>
      <c r="C672" s="1">
        <v>44841</v>
      </c>
      <c r="D672" s="1">
        <v>44847</v>
      </c>
      <c r="E672" t="s">
        <v>1065</v>
      </c>
      <c r="F672" t="s">
        <v>700</v>
      </c>
      <c r="G672" t="s">
        <v>1070</v>
      </c>
      <c r="H672" t="str">
        <f t="shared" si="70"/>
        <v>Furniture</v>
      </c>
      <c r="I672">
        <v>5</v>
      </c>
      <c r="J672" t="str">
        <f>VLOOKUP(K672,$AJ$2:$AK$7,2,FALSE)</f>
        <v>S005</v>
      </c>
      <c r="K672" t="s">
        <v>1101</v>
      </c>
      <c r="L672">
        <v>4.0999999999999996</v>
      </c>
      <c r="M672" t="str">
        <f>IFERROR(VLOOKUP(TRIM(N672),$AP$2:$AQ$12,2,FALSE),"W001")</f>
        <v>W009</v>
      </c>
      <c r="N672" t="s">
        <v>1060</v>
      </c>
      <c r="O672" t="s">
        <v>1062</v>
      </c>
      <c r="P672" t="str">
        <f>VLOOKUP(O672,$AL$2:$AM$12,2,FALSE)</f>
        <v>North</v>
      </c>
      <c r="Q672" t="s">
        <v>1082</v>
      </c>
      <c r="R672">
        <v>614</v>
      </c>
      <c r="S672" t="s">
        <v>1066</v>
      </c>
      <c r="T672">
        <f t="shared" si="71"/>
        <v>2</v>
      </c>
      <c r="U672">
        <v>245.6</v>
      </c>
      <c r="V672">
        <f t="shared" si="72"/>
        <v>8</v>
      </c>
      <c r="W672" t="s">
        <v>1087</v>
      </c>
      <c r="X672" t="s">
        <v>1089</v>
      </c>
      <c r="Y672">
        <f t="shared" si="73"/>
        <v>0</v>
      </c>
      <c r="Z672" t="s">
        <v>1108</v>
      </c>
      <c r="AA672" t="str">
        <f t="shared" si="74"/>
        <v>Medium</v>
      </c>
      <c r="AB672" t="s">
        <v>1103</v>
      </c>
      <c r="AC672" t="str">
        <f t="shared" si="75"/>
        <v>Yes</v>
      </c>
      <c r="AD672">
        <v>5</v>
      </c>
      <c r="AE672">
        <v>39420</v>
      </c>
      <c r="AF672">
        <v>15768</v>
      </c>
      <c r="AG672">
        <f t="shared" si="76"/>
        <v>23406.400000000001</v>
      </c>
    </row>
    <row r="673" spans="1:33" x14ac:dyDescent="0.25">
      <c r="A673">
        <v>1672</v>
      </c>
      <c r="B673" s="1">
        <v>44536</v>
      </c>
      <c r="C673" s="1">
        <v>44539</v>
      </c>
      <c r="D673" s="1">
        <v>44542</v>
      </c>
      <c r="E673" t="s">
        <v>1066</v>
      </c>
      <c r="F673" t="s">
        <v>701</v>
      </c>
      <c r="G673" t="s">
        <v>1068</v>
      </c>
      <c r="H673" t="str">
        <f t="shared" si="70"/>
        <v>Electronics</v>
      </c>
      <c r="I673">
        <v>3</v>
      </c>
      <c r="J673" t="str">
        <f>VLOOKUP(K673,$AJ$2:$AK$7,2,FALSE)</f>
        <v>S006</v>
      </c>
      <c r="K673" t="s">
        <v>1102</v>
      </c>
      <c r="L673">
        <v>3.4</v>
      </c>
      <c r="M673" t="str">
        <f>IFERROR(VLOOKUP(TRIM(N673),$AP$2:$AQ$12,2,FALSE),"W001")</f>
        <v>W007</v>
      </c>
      <c r="N673" t="s">
        <v>1062</v>
      </c>
      <c r="O673" t="s">
        <v>1061</v>
      </c>
      <c r="P673" t="str">
        <f>VLOOKUP(O673,$AL$2:$AM$12,2,FALSE)</f>
        <v>West</v>
      </c>
      <c r="Q673" t="s">
        <v>1084</v>
      </c>
      <c r="R673">
        <v>1394</v>
      </c>
      <c r="S673" t="s">
        <v>1078</v>
      </c>
      <c r="T673">
        <f t="shared" si="71"/>
        <v>5</v>
      </c>
      <c r="U673">
        <v>418.2</v>
      </c>
      <c r="V673">
        <f t="shared" si="72"/>
        <v>6</v>
      </c>
      <c r="W673" t="s">
        <v>1087</v>
      </c>
      <c r="X673" t="s">
        <v>1089</v>
      </c>
      <c r="Y673">
        <f t="shared" si="73"/>
        <v>0</v>
      </c>
      <c r="Z673" t="s">
        <v>1108</v>
      </c>
      <c r="AA673" t="str">
        <f t="shared" si="74"/>
        <v>Low</v>
      </c>
      <c r="AB673" t="s">
        <v>1103</v>
      </c>
      <c r="AC673" t="str">
        <f t="shared" si="75"/>
        <v>Yes</v>
      </c>
      <c r="AD673">
        <v>5</v>
      </c>
      <c r="AE673">
        <v>157143</v>
      </c>
      <c r="AF673">
        <v>62857.200000000004</v>
      </c>
      <c r="AG673">
        <f t="shared" si="76"/>
        <v>93867.599999999991</v>
      </c>
    </row>
    <row r="674" spans="1:33" x14ac:dyDescent="0.25">
      <c r="A674">
        <v>1673</v>
      </c>
      <c r="B674" s="1">
        <v>44310</v>
      </c>
      <c r="C674" s="1">
        <v>44311</v>
      </c>
      <c r="D674" s="1">
        <v>44317</v>
      </c>
      <c r="E674" t="s">
        <v>1065</v>
      </c>
      <c r="F674" t="s">
        <v>702</v>
      </c>
      <c r="G674" t="s">
        <v>1067</v>
      </c>
      <c r="H674" t="str">
        <f t="shared" si="70"/>
        <v>Clothing</v>
      </c>
      <c r="I674">
        <v>7</v>
      </c>
      <c r="J674" t="str">
        <f>VLOOKUP(K674,$AJ$2:$AK$7,2,FALSE)</f>
        <v>S003</v>
      </c>
      <c r="K674" t="s">
        <v>1099</v>
      </c>
      <c r="L674">
        <v>4.5</v>
      </c>
      <c r="M674" t="str">
        <f>IFERROR(VLOOKUP(TRIM(N674),$AP$2:$AQ$12,2,FALSE),"W001")</f>
        <v>W001</v>
      </c>
      <c r="N674" t="s">
        <v>1047</v>
      </c>
      <c r="O674" t="s">
        <v>1049</v>
      </c>
      <c r="P674" t="str">
        <f>VLOOKUP(O674,$AL$2:$AM$12,2,FALSE)</f>
        <v>North</v>
      </c>
      <c r="Q674" t="s">
        <v>1082</v>
      </c>
      <c r="R674">
        <v>628</v>
      </c>
      <c r="S674" t="s">
        <v>1066</v>
      </c>
      <c r="T674">
        <f t="shared" si="71"/>
        <v>2</v>
      </c>
      <c r="U674">
        <v>251.2</v>
      </c>
      <c r="V674">
        <f t="shared" si="72"/>
        <v>8</v>
      </c>
      <c r="W674" t="s">
        <v>1088</v>
      </c>
      <c r="X674" t="s">
        <v>1091</v>
      </c>
      <c r="Y674">
        <f t="shared" si="73"/>
        <v>0</v>
      </c>
      <c r="Z674" t="s">
        <v>1108</v>
      </c>
      <c r="AA674" t="str">
        <f t="shared" si="74"/>
        <v>Medium</v>
      </c>
      <c r="AB674" t="s">
        <v>1103</v>
      </c>
      <c r="AC674" t="str">
        <f t="shared" si="75"/>
        <v>Yes</v>
      </c>
      <c r="AD674">
        <v>5</v>
      </c>
      <c r="AE674">
        <v>9786</v>
      </c>
      <c r="AF674">
        <v>3914.4</v>
      </c>
      <c r="AG674">
        <f t="shared" si="76"/>
        <v>5620.4000000000005</v>
      </c>
    </row>
    <row r="675" spans="1:33" x14ac:dyDescent="0.25">
      <c r="A675">
        <v>1674</v>
      </c>
      <c r="B675" s="1">
        <v>44774</v>
      </c>
      <c r="C675" s="1">
        <v>44776</v>
      </c>
      <c r="D675" s="1">
        <v>44778</v>
      </c>
      <c r="E675" t="s">
        <v>1065</v>
      </c>
      <c r="F675" t="s">
        <v>703</v>
      </c>
      <c r="G675" t="s">
        <v>1067</v>
      </c>
      <c r="H675" t="str">
        <f t="shared" si="70"/>
        <v>Clothing</v>
      </c>
      <c r="I675">
        <v>7</v>
      </c>
      <c r="J675" t="str">
        <f>VLOOKUP(K675,$AJ$2:$AK$7,2,FALSE)</f>
        <v>S004</v>
      </c>
      <c r="K675" t="s">
        <v>1100</v>
      </c>
      <c r="L675">
        <v>4.9000000000000004</v>
      </c>
      <c r="M675" t="str">
        <f>IFERROR(VLOOKUP(TRIM(N675),$AP$2:$AQ$12,2,FALSE),"W001")</f>
        <v>W010</v>
      </c>
      <c r="N675" t="s">
        <v>1063</v>
      </c>
      <c r="O675" t="s">
        <v>1057</v>
      </c>
      <c r="P675" t="str">
        <f>VLOOKUP(O675,$AL$2:$AM$12,2,FALSE)</f>
        <v>South</v>
      </c>
      <c r="Q675" t="s">
        <v>1083</v>
      </c>
      <c r="R675">
        <v>1850</v>
      </c>
      <c r="S675" t="s">
        <v>1078</v>
      </c>
      <c r="T675">
        <f t="shared" si="71"/>
        <v>4</v>
      </c>
      <c r="U675">
        <v>925</v>
      </c>
      <c r="V675">
        <f t="shared" si="72"/>
        <v>10</v>
      </c>
      <c r="W675" t="s">
        <v>1087</v>
      </c>
      <c r="X675" t="s">
        <v>1090</v>
      </c>
      <c r="Y675">
        <f t="shared" si="73"/>
        <v>0</v>
      </c>
      <c r="Z675" t="s">
        <v>1109</v>
      </c>
      <c r="AA675" t="str">
        <f t="shared" si="74"/>
        <v>High</v>
      </c>
      <c r="AB675" t="s">
        <v>1104</v>
      </c>
      <c r="AC675" t="str">
        <f t="shared" si="75"/>
        <v>No</v>
      </c>
      <c r="AD675">
        <v>2</v>
      </c>
      <c r="AE675">
        <v>4312</v>
      </c>
      <c r="AF675">
        <v>1724.8000000000002</v>
      </c>
      <c r="AG675">
        <f t="shared" si="76"/>
        <v>1662.1999999999998</v>
      </c>
    </row>
    <row r="676" spans="1:33" x14ac:dyDescent="0.25">
      <c r="A676">
        <v>1675</v>
      </c>
      <c r="B676" s="1">
        <v>44641</v>
      </c>
      <c r="C676" s="1">
        <v>44644</v>
      </c>
      <c r="D676" s="1">
        <v>44646</v>
      </c>
      <c r="E676" t="s">
        <v>1066</v>
      </c>
      <c r="F676" t="s">
        <v>704</v>
      </c>
      <c r="G676" t="s">
        <v>1069</v>
      </c>
      <c r="H676" t="str">
        <f t="shared" si="70"/>
        <v>Furniture</v>
      </c>
      <c r="I676">
        <v>5</v>
      </c>
      <c r="J676" t="str">
        <f>VLOOKUP(K676,$AJ$2:$AK$7,2,FALSE)</f>
        <v>S004</v>
      </c>
      <c r="K676" t="s">
        <v>1100</v>
      </c>
      <c r="L676">
        <v>3.2</v>
      </c>
      <c r="M676" t="str">
        <f>IFERROR(VLOOKUP(TRIM(N676),$AP$2:$AQ$12,2,FALSE),"W001")</f>
        <v>W006</v>
      </c>
      <c r="N676" t="s">
        <v>1057</v>
      </c>
      <c r="O676" t="s">
        <v>1057</v>
      </c>
      <c r="P676" t="str">
        <f>VLOOKUP(O676,$AL$2:$AM$12,2,FALSE)</f>
        <v>South</v>
      </c>
      <c r="Q676" t="s">
        <v>1083</v>
      </c>
      <c r="R676">
        <v>30</v>
      </c>
      <c r="S676" t="s">
        <v>1079</v>
      </c>
      <c r="T676">
        <f t="shared" si="71"/>
        <v>1</v>
      </c>
      <c r="U676">
        <v>15</v>
      </c>
      <c r="V676">
        <f t="shared" si="72"/>
        <v>10</v>
      </c>
      <c r="W676" t="s">
        <v>1088</v>
      </c>
      <c r="X676" t="s">
        <v>1091</v>
      </c>
      <c r="Y676">
        <f t="shared" si="73"/>
        <v>0</v>
      </c>
      <c r="Z676" t="s">
        <v>1108</v>
      </c>
      <c r="AA676" t="str">
        <f t="shared" si="74"/>
        <v>Medium</v>
      </c>
      <c r="AB676" t="s">
        <v>1103</v>
      </c>
      <c r="AC676" t="str">
        <f t="shared" si="75"/>
        <v>Yes</v>
      </c>
      <c r="AD676">
        <v>5</v>
      </c>
      <c r="AE676">
        <v>51005</v>
      </c>
      <c r="AF676">
        <v>20402</v>
      </c>
      <c r="AG676">
        <f t="shared" si="76"/>
        <v>30588</v>
      </c>
    </row>
    <row r="677" spans="1:33" x14ac:dyDescent="0.25">
      <c r="A677">
        <v>1676</v>
      </c>
      <c r="B677" s="1">
        <v>44700</v>
      </c>
      <c r="C677" s="1">
        <v>44702</v>
      </c>
      <c r="D677" s="1">
        <v>44709</v>
      </c>
      <c r="E677" t="s">
        <v>1066</v>
      </c>
      <c r="F677" t="s">
        <v>705</v>
      </c>
      <c r="G677" t="s">
        <v>1068</v>
      </c>
      <c r="H677" t="str">
        <f t="shared" si="70"/>
        <v>Electronics</v>
      </c>
      <c r="I677">
        <v>2</v>
      </c>
      <c r="J677" t="str">
        <f>VLOOKUP(K677,$AJ$2:$AK$7,2,FALSE)</f>
        <v>S001</v>
      </c>
      <c r="K677" t="s">
        <v>1097</v>
      </c>
      <c r="L677">
        <v>3.4</v>
      </c>
      <c r="M677" t="str">
        <f>IFERROR(VLOOKUP(TRIM(N677),$AP$2:$AQ$12,2,FALSE),"W001")</f>
        <v>W009</v>
      </c>
      <c r="N677" t="s">
        <v>1060</v>
      </c>
      <c r="O677" t="s">
        <v>1051</v>
      </c>
      <c r="P677" t="str">
        <f>VLOOKUP(O677,$AL$2:$AM$12,2,FALSE)</f>
        <v>West</v>
      </c>
      <c r="Q677" t="s">
        <v>1082</v>
      </c>
      <c r="R677">
        <v>190</v>
      </c>
      <c r="S677" t="s">
        <v>1079</v>
      </c>
      <c r="T677">
        <f t="shared" si="71"/>
        <v>1</v>
      </c>
      <c r="U677">
        <v>76</v>
      </c>
      <c r="V677">
        <f t="shared" si="72"/>
        <v>8</v>
      </c>
      <c r="W677" t="s">
        <v>1086</v>
      </c>
      <c r="X677" t="s">
        <v>1091</v>
      </c>
      <c r="Y677">
        <f t="shared" si="73"/>
        <v>76</v>
      </c>
      <c r="Z677" t="s">
        <v>1108</v>
      </c>
      <c r="AA677" t="str">
        <f t="shared" si="74"/>
        <v>Medium</v>
      </c>
      <c r="AB677" t="s">
        <v>1103</v>
      </c>
      <c r="AC677" t="str">
        <f t="shared" si="75"/>
        <v>Yes</v>
      </c>
      <c r="AD677">
        <v>4</v>
      </c>
      <c r="AE677">
        <v>97856</v>
      </c>
      <c r="AF677">
        <v>39142.400000000001</v>
      </c>
      <c r="AG677">
        <f t="shared" si="76"/>
        <v>58637.599999999999</v>
      </c>
    </row>
    <row r="678" spans="1:33" x14ac:dyDescent="0.25">
      <c r="A678">
        <v>1677</v>
      </c>
      <c r="B678" s="1">
        <v>44512</v>
      </c>
      <c r="C678" s="1">
        <v>44514</v>
      </c>
      <c r="D678" s="1">
        <v>44517</v>
      </c>
      <c r="E678" t="s">
        <v>1065</v>
      </c>
      <c r="F678" t="s">
        <v>706</v>
      </c>
      <c r="G678" t="s">
        <v>1071</v>
      </c>
      <c r="H678" t="str">
        <f t="shared" si="70"/>
        <v>Clothing</v>
      </c>
      <c r="I678">
        <v>10</v>
      </c>
      <c r="J678" t="str">
        <f>VLOOKUP(K678,$AJ$2:$AK$7,2,FALSE)</f>
        <v>S001</v>
      </c>
      <c r="K678" t="s">
        <v>1097</v>
      </c>
      <c r="L678">
        <v>4.7</v>
      </c>
      <c r="M678" t="str">
        <f>IFERROR(VLOOKUP(TRIM(N678),$AP$2:$AQ$12,2,FALSE),"W001")</f>
        <v>W003</v>
      </c>
      <c r="N678" t="s">
        <v>1051</v>
      </c>
      <c r="O678" t="s">
        <v>1060</v>
      </c>
      <c r="P678" t="str">
        <f>VLOOKUP(O678,$AL$2:$AM$12,2,FALSE)</f>
        <v>North</v>
      </c>
      <c r="Q678" t="s">
        <v>1085</v>
      </c>
      <c r="R678">
        <v>146</v>
      </c>
      <c r="S678" t="s">
        <v>1079</v>
      </c>
      <c r="T678">
        <f t="shared" si="71"/>
        <v>4</v>
      </c>
      <c r="U678">
        <v>14.6</v>
      </c>
      <c r="V678">
        <f t="shared" si="72"/>
        <v>3</v>
      </c>
      <c r="W678" t="s">
        <v>1086</v>
      </c>
      <c r="X678" t="s">
        <v>1091</v>
      </c>
      <c r="Y678">
        <f t="shared" si="73"/>
        <v>14.6</v>
      </c>
      <c r="Z678" t="s">
        <v>1108</v>
      </c>
      <c r="AA678" t="str">
        <f t="shared" si="74"/>
        <v>Low</v>
      </c>
      <c r="AB678" t="s">
        <v>1103</v>
      </c>
      <c r="AC678" t="str">
        <f t="shared" si="75"/>
        <v>Yes</v>
      </c>
      <c r="AD678">
        <v>5</v>
      </c>
      <c r="AE678">
        <v>14940</v>
      </c>
      <c r="AF678">
        <v>5976</v>
      </c>
      <c r="AG678">
        <f t="shared" si="76"/>
        <v>8949.4</v>
      </c>
    </row>
    <row r="679" spans="1:33" x14ac:dyDescent="0.25">
      <c r="A679">
        <v>1678</v>
      </c>
      <c r="B679" s="1">
        <v>45207</v>
      </c>
      <c r="C679" s="1">
        <v>45210</v>
      </c>
      <c r="D679" s="1">
        <v>45214</v>
      </c>
      <c r="E679" t="s">
        <v>1066</v>
      </c>
      <c r="F679" t="s">
        <v>707</v>
      </c>
      <c r="G679" t="s">
        <v>1071</v>
      </c>
      <c r="H679" t="str">
        <f t="shared" si="70"/>
        <v>Clothing</v>
      </c>
      <c r="I679">
        <v>2</v>
      </c>
      <c r="J679" t="str">
        <f>VLOOKUP(K679,$AJ$2:$AK$7,2,FALSE)</f>
        <v>S003</v>
      </c>
      <c r="K679" t="s">
        <v>1099</v>
      </c>
      <c r="L679">
        <v>4.5</v>
      </c>
      <c r="M679" t="str">
        <f>IFERROR(VLOOKUP(TRIM(N679),$AP$2:$AQ$12,2,FALSE),"W001")</f>
        <v>W004</v>
      </c>
      <c r="N679" t="s">
        <v>1053</v>
      </c>
      <c r="O679" t="s">
        <v>1051</v>
      </c>
      <c r="P679" t="str">
        <f>VLOOKUP(O679,$AL$2:$AM$12,2,FALSE)</f>
        <v>West</v>
      </c>
      <c r="Q679" t="s">
        <v>1080</v>
      </c>
      <c r="R679">
        <v>1220</v>
      </c>
      <c r="S679" t="s">
        <v>1078</v>
      </c>
      <c r="T679">
        <f t="shared" si="71"/>
        <v>6</v>
      </c>
      <c r="U679">
        <v>183</v>
      </c>
      <c r="V679">
        <f t="shared" si="72"/>
        <v>4</v>
      </c>
      <c r="W679" t="s">
        <v>1087</v>
      </c>
      <c r="X679" t="s">
        <v>1091</v>
      </c>
      <c r="Y679">
        <f t="shared" si="73"/>
        <v>0</v>
      </c>
      <c r="Z679" t="s">
        <v>1108</v>
      </c>
      <c r="AA679" t="str">
        <f t="shared" si="74"/>
        <v>Low</v>
      </c>
      <c r="AB679" t="s">
        <v>1103</v>
      </c>
      <c r="AC679" t="str">
        <f t="shared" si="75"/>
        <v>Yes</v>
      </c>
      <c r="AD679">
        <v>4</v>
      </c>
      <c r="AE679">
        <v>2906</v>
      </c>
      <c r="AF679">
        <v>1162.4000000000001</v>
      </c>
      <c r="AG679">
        <f t="shared" si="76"/>
        <v>1560.6</v>
      </c>
    </row>
    <row r="680" spans="1:33" x14ac:dyDescent="0.25">
      <c r="A680">
        <v>1679</v>
      </c>
      <c r="B680" s="1">
        <v>45547</v>
      </c>
      <c r="C680" s="1">
        <v>45548</v>
      </c>
      <c r="D680" s="1">
        <v>45553</v>
      </c>
      <c r="E680" t="s">
        <v>1065</v>
      </c>
      <c r="F680" t="s">
        <v>708</v>
      </c>
      <c r="G680" t="s">
        <v>1070</v>
      </c>
      <c r="H680" t="str">
        <f t="shared" si="70"/>
        <v>Furniture</v>
      </c>
      <c r="I680">
        <v>2</v>
      </c>
      <c r="J680" t="str">
        <f>VLOOKUP(K680,$AJ$2:$AK$7,2,FALSE)</f>
        <v>S005</v>
      </c>
      <c r="K680" t="s">
        <v>1101</v>
      </c>
      <c r="L680">
        <v>3.2</v>
      </c>
      <c r="M680" t="str">
        <f>IFERROR(VLOOKUP(TRIM(N680),$AP$2:$AQ$12,2,FALSE),"W001")</f>
        <v>W002</v>
      </c>
      <c r="N680" t="s">
        <v>1049</v>
      </c>
      <c r="O680" t="s">
        <v>1055</v>
      </c>
      <c r="P680" t="str">
        <f>VLOOKUP(O680,$AL$2:$AM$12,2,FALSE)</f>
        <v>South</v>
      </c>
      <c r="Q680" t="s">
        <v>1080</v>
      </c>
      <c r="R680">
        <v>1019</v>
      </c>
      <c r="S680" t="s">
        <v>1078</v>
      </c>
      <c r="T680">
        <f t="shared" si="71"/>
        <v>5</v>
      </c>
      <c r="U680">
        <v>152.85</v>
      </c>
      <c r="V680">
        <f t="shared" si="72"/>
        <v>4</v>
      </c>
      <c r="W680" t="s">
        <v>1086</v>
      </c>
      <c r="X680" t="s">
        <v>1091</v>
      </c>
      <c r="Y680">
        <f t="shared" si="73"/>
        <v>152.85</v>
      </c>
      <c r="Z680" t="s">
        <v>1108</v>
      </c>
      <c r="AA680" t="str">
        <f t="shared" si="74"/>
        <v>Low</v>
      </c>
      <c r="AB680" t="s">
        <v>1103</v>
      </c>
      <c r="AC680" t="str">
        <f t="shared" si="75"/>
        <v>Yes</v>
      </c>
      <c r="AD680">
        <v>5</v>
      </c>
      <c r="AE680">
        <v>15362</v>
      </c>
      <c r="AF680">
        <v>6144.8</v>
      </c>
      <c r="AG680">
        <f t="shared" si="76"/>
        <v>9064.35</v>
      </c>
    </row>
    <row r="681" spans="1:33" x14ac:dyDescent="0.25">
      <c r="A681">
        <v>1680</v>
      </c>
      <c r="B681" s="1">
        <v>44623</v>
      </c>
      <c r="C681" s="1">
        <v>44626</v>
      </c>
      <c r="D681" s="1">
        <v>44631</v>
      </c>
      <c r="E681" t="s">
        <v>1065</v>
      </c>
      <c r="F681" t="s">
        <v>709</v>
      </c>
      <c r="G681" t="s">
        <v>1068</v>
      </c>
      <c r="H681" t="str">
        <f t="shared" si="70"/>
        <v>Electronics</v>
      </c>
      <c r="I681">
        <v>9</v>
      </c>
      <c r="J681" t="str">
        <f>VLOOKUP(K681,$AJ$2:$AK$7,2,FALSE)</f>
        <v>S004</v>
      </c>
      <c r="K681" t="s">
        <v>1100</v>
      </c>
      <c r="L681">
        <v>4.0999999999999996</v>
      </c>
      <c r="M681" t="str">
        <f>IFERROR(VLOOKUP(TRIM(N681),$AP$2:$AQ$12,2,FALSE),"W001")</f>
        <v>W003</v>
      </c>
      <c r="N681" t="s">
        <v>1051</v>
      </c>
      <c r="O681" t="s">
        <v>1049</v>
      </c>
      <c r="P681" t="str">
        <f>VLOOKUP(O681,$AL$2:$AM$12,2,FALSE)</f>
        <v>North</v>
      </c>
      <c r="Q681" t="s">
        <v>1080</v>
      </c>
      <c r="R681">
        <v>1710</v>
      </c>
      <c r="S681" t="s">
        <v>1078</v>
      </c>
      <c r="T681">
        <f t="shared" si="71"/>
        <v>8</v>
      </c>
      <c r="U681">
        <v>256.5</v>
      </c>
      <c r="V681">
        <f t="shared" si="72"/>
        <v>4</v>
      </c>
      <c r="W681" t="s">
        <v>1088</v>
      </c>
      <c r="X681" t="s">
        <v>1091</v>
      </c>
      <c r="Y681">
        <f t="shared" si="73"/>
        <v>0</v>
      </c>
      <c r="Z681" t="s">
        <v>1108</v>
      </c>
      <c r="AA681" t="str">
        <f t="shared" si="74"/>
        <v>Low</v>
      </c>
      <c r="AB681" t="s">
        <v>1103</v>
      </c>
      <c r="AC681" t="str">
        <f t="shared" si="75"/>
        <v>Yes</v>
      </c>
      <c r="AD681">
        <v>5</v>
      </c>
      <c r="AE681">
        <v>607581</v>
      </c>
      <c r="AF681">
        <v>243032.40000000002</v>
      </c>
      <c r="AG681">
        <f t="shared" si="76"/>
        <v>364292.1</v>
      </c>
    </row>
    <row r="682" spans="1:33" x14ac:dyDescent="0.25">
      <c r="A682">
        <v>1681</v>
      </c>
      <c r="B682" s="1">
        <v>44485</v>
      </c>
      <c r="C682" s="1">
        <v>44488</v>
      </c>
      <c r="D682" s="1">
        <v>44495</v>
      </c>
      <c r="E682" t="s">
        <v>1064</v>
      </c>
      <c r="F682" t="s">
        <v>710</v>
      </c>
      <c r="G682" t="s">
        <v>1071</v>
      </c>
      <c r="H682" t="str">
        <f t="shared" si="70"/>
        <v>Clothing</v>
      </c>
      <c r="I682">
        <v>8</v>
      </c>
      <c r="J682" t="str">
        <f>VLOOKUP(K682,$AJ$2:$AK$7,2,FALSE)</f>
        <v>S003</v>
      </c>
      <c r="K682" t="s">
        <v>1099</v>
      </c>
      <c r="L682">
        <v>4.2</v>
      </c>
      <c r="M682" t="str">
        <f>IFERROR(VLOOKUP(TRIM(N682),$AP$2:$AQ$12,2,FALSE),"W001")</f>
        <v>W002</v>
      </c>
      <c r="N682" t="s">
        <v>1049</v>
      </c>
      <c r="O682" t="s">
        <v>1055</v>
      </c>
      <c r="P682" t="str">
        <f>VLOOKUP(O682,$AL$2:$AM$12,2,FALSE)</f>
        <v>South</v>
      </c>
      <c r="Q682" t="s">
        <v>1083</v>
      </c>
      <c r="R682">
        <v>1432</v>
      </c>
      <c r="S682" t="s">
        <v>1078</v>
      </c>
      <c r="T682">
        <f t="shared" si="71"/>
        <v>3</v>
      </c>
      <c r="U682">
        <v>716</v>
      </c>
      <c r="V682">
        <f t="shared" si="72"/>
        <v>10</v>
      </c>
      <c r="W682" t="s">
        <v>1087</v>
      </c>
      <c r="X682" t="s">
        <v>1089</v>
      </c>
      <c r="Y682">
        <f t="shared" si="73"/>
        <v>0</v>
      </c>
      <c r="Z682" t="s">
        <v>1108</v>
      </c>
      <c r="AA682" t="str">
        <f t="shared" si="74"/>
        <v>Medium</v>
      </c>
      <c r="AB682" t="s">
        <v>1103</v>
      </c>
      <c r="AC682" t="str">
        <f t="shared" si="75"/>
        <v>Yes</v>
      </c>
      <c r="AD682">
        <v>5</v>
      </c>
      <c r="AE682">
        <v>21864</v>
      </c>
      <c r="AF682">
        <v>8745.6</v>
      </c>
      <c r="AG682">
        <f t="shared" si="76"/>
        <v>12402.4</v>
      </c>
    </row>
    <row r="683" spans="1:33" x14ac:dyDescent="0.25">
      <c r="A683">
        <v>1682</v>
      </c>
      <c r="B683" s="1">
        <v>45102</v>
      </c>
      <c r="C683" s="1">
        <v>45104</v>
      </c>
      <c r="D683" s="1">
        <v>45108</v>
      </c>
      <c r="E683" t="s">
        <v>1066</v>
      </c>
      <c r="F683" t="s">
        <v>711</v>
      </c>
      <c r="G683" t="s">
        <v>1071</v>
      </c>
      <c r="H683" t="str">
        <f t="shared" si="70"/>
        <v>Clothing</v>
      </c>
      <c r="I683">
        <v>10</v>
      </c>
      <c r="J683" t="str">
        <f>VLOOKUP(K683,$AJ$2:$AK$7,2,FALSE)</f>
        <v>S006</v>
      </c>
      <c r="K683" t="s">
        <v>1102</v>
      </c>
      <c r="L683">
        <v>4.7</v>
      </c>
      <c r="M683" t="str">
        <f>IFERROR(VLOOKUP(TRIM(N683),$AP$2:$AQ$12,2,FALSE),"W001")</f>
        <v>W007</v>
      </c>
      <c r="N683" t="s">
        <v>1062</v>
      </c>
      <c r="O683" t="s">
        <v>1060</v>
      </c>
      <c r="P683" t="str">
        <f>VLOOKUP(O683,$AL$2:$AM$12,2,FALSE)</f>
        <v>North</v>
      </c>
      <c r="Q683" t="s">
        <v>1081</v>
      </c>
      <c r="R683">
        <v>146</v>
      </c>
      <c r="S683" t="s">
        <v>1079</v>
      </c>
      <c r="T683">
        <f t="shared" si="71"/>
        <v>2</v>
      </c>
      <c r="U683">
        <v>29.2</v>
      </c>
      <c r="V683">
        <f t="shared" si="72"/>
        <v>5</v>
      </c>
      <c r="W683" t="s">
        <v>1087</v>
      </c>
      <c r="X683" t="s">
        <v>1091</v>
      </c>
      <c r="Y683">
        <f t="shared" si="73"/>
        <v>0</v>
      </c>
      <c r="Z683" t="s">
        <v>1108</v>
      </c>
      <c r="AA683" t="str">
        <f t="shared" si="74"/>
        <v>Low</v>
      </c>
      <c r="AB683" t="s">
        <v>1103</v>
      </c>
      <c r="AC683" t="str">
        <f t="shared" si="75"/>
        <v>Yes</v>
      </c>
      <c r="AD683">
        <v>5</v>
      </c>
      <c r="AE683">
        <v>22540</v>
      </c>
      <c r="AF683">
        <v>9016</v>
      </c>
      <c r="AG683">
        <f t="shared" si="76"/>
        <v>13494.8</v>
      </c>
    </row>
    <row r="684" spans="1:33" x14ac:dyDescent="0.25">
      <c r="A684">
        <v>1683</v>
      </c>
      <c r="B684" s="1">
        <v>44871</v>
      </c>
      <c r="C684" s="1">
        <v>44873</v>
      </c>
      <c r="D684" s="1">
        <v>44877</v>
      </c>
      <c r="E684" t="s">
        <v>1066</v>
      </c>
      <c r="F684" t="s">
        <v>712</v>
      </c>
      <c r="G684" t="s">
        <v>1070</v>
      </c>
      <c r="H684" t="str">
        <f t="shared" si="70"/>
        <v>Furniture</v>
      </c>
      <c r="I684">
        <v>8</v>
      </c>
      <c r="J684" t="str">
        <f>VLOOKUP(K684,$AJ$2:$AK$7,2,FALSE)</f>
        <v>S004</v>
      </c>
      <c r="K684" t="s">
        <v>1100</v>
      </c>
      <c r="L684">
        <v>4</v>
      </c>
      <c r="M684" t="str">
        <f>IFERROR(VLOOKUP(TRIM(N684),$AP$2:$AQ$12,2,FALSE),"W001")</f>
        <v>W010</v>
      </c>
      <c r="N684" t="s">
        <v>1063</v>
      </c>
      <c r="O684" t="s">
        <v>1051</v>
      </c>
      <c r="P684" t="str">
        <f>VLOOKUP(O684,$AL$2:$AM$12,2,FALSE)</f>
        <v>West</v>
      </c>
      <c r="Q684" t="s">
        <v>1081</v>
      </c>
      <c r="R684">
        <v>623</v>
      </c>
      <c r="S684" t="s">
        <v>1066</v>
      </c>
      <c r="T684">
        <f t="shared" si="71"/>
        <v>3</v>
      </c>
      <c r="U684">
        <v>124.6</v>
      </c>
      <c r="V684">
        <f t="shared" si="72"/>
        <v>5</v>
      </c>
      <c r="W684" t="s">
        <v>1087</v>
      </c>
      <c r="X684" t="s">
        <v>1091</v>
      </c>
      <c r="Y684">
        <f t="shared" si="73"/>
        <v>0</v>
      </c>
      <c r="Z684" t="s">
        <v>1108</v>
      </c>
      <c r="AA684" t="str">
        <f t="shared" si="74"/>
        <v>Low</v>
      </c>
      <c r="AB684" t="s">
        <v>1103</v>
      </c>
      <c r="AC684" t="str">
        <f t="shared" si="75"/>
        <v>Yes</v>
      </c>
      <c r="AD684">
        <v>5</v>
      </c>
      <c r="AE684">
        <v>62824</v>
      </c>
      <c r="AF684">
        <v>25129.600000000002</v>
      </c>
      <c r="AG684">
        <f t="shared" si="76"/>
        <v>37569.799999999996</v>
      </c>
    </row>
    <row r="685" spans="1:33" x14ac:dyDescent="0.25">
      <c r="A685">
        <v>1684</v>
      </c>
      <c r="B685" s="1">
        <v>45784</v>
      </c>
      <c r="C685" s="1">
        <v>45786</v>
      </c>
      <c r="D685" s="1">
        <v>45793</v>
      </c>
      <c r="E685" t="s">
        <v>1066</v>
      </c>
      <c r="F685" t="s">
        <v>713</v>
      </c>
      <c r="G685" t="s">
        <v>1071</v>
      </c>
      <c r="H685" t="str">
        <f t="shared" si="70"/>
        <v>Clothing</v>
      </c>
      <c r="I685">
        <v>10</v>
      </c>
      <c r="J685" t="str">
        <f>VLOOKUP(K685,$AJ$2:$AK$7,2,FALSE)</f>
        <v>S006</v>
      </c>
      <c r="K685" t="s">
        <v>1102</v>
      </c>
      <c r="L685">
        <v>4.0999999999999996</v>
      </c>
      <c r="M685" t="str">
        <f>IFERROR(VLOOKUP(TRIM(N685),$AP$2:$AQ$12,2,FALSE),"W001")</f>
        <v>W010</v>
      </c>
      <c r="N685" t="s">
        <v>1063</v>
      </c>
      <c r="O685" t="s">
        <v>1062</v>
      </c>
      <c r="P685" t="str">
        <f>VLOOKUP(O685,$AL$2:$AM$12,2,FALSE)</f>
        <v>North</v>
      </c>
      <c r="Q685" t="s">
        <v>1080</v>
      </c>
      <c r="R685">
        <v>660</v>
      </c>
      <c r="S685" t="s">
        <v>1066</v>
      </c>
      <c r="T685">
        <f t="shared" si="71"/>
        <v>4</v>
      </c>
      <c r="U685">
        <v>99</v>
      </c>
      <c r="V685">
        <f t="shared" si="72"/>
        <v>4</v>
      </c>
      <c r="W685" t="s">
        <v>1087</v>
      </c>
      <c r="X685" t="s">
        <v>1089</v>
      </c>
      <c r="Y685">
        <f t="shared" si="73"/>
        <v>0</v>
      </c>
      <c r="Z685" t="s">
        <v>1108</v>
      </c>
      <c r="AA685" t="str">
        <f t="shared" si="74"/>
        <v>Low</v>
      </c>
      <c r="AB685" t="s">
        <v>1103</v>
      </c>
      <c r="AC685" t="str">
        <f t="shared" si="75"/>
        <v>Yes</v>
      </c>
      <c r="AD685">
        <v>4</v>
      </c>
      <c r="AE685">
        <v>20330</v>
      </c>
      <c r="AF685">
        <v>8132</v>
      </c>
      <c r="AG685">
        <f t="shared" si="76"/>
        <v>12099</v>
      </c>
    </row>
    <row r="686" spans="1:33" x14ac:dyDescent="0.25">
      <c r="A686">
        <v>1685</v>
      </c>
      <c r="B686" s="1">
        <v>46174</v>
      </c>
      <c r="C686" s="1">
        <v>46175</v>
      </c>
      <c r="D686" s="1">
        <v>46179</v>
      </c>
      <c r="E686" t="s">
        <v>1065</v>
      </c>
      <c r="F686" t="s">
        <v>714</v>
      </c>
      <c r="G686" t="s">
        <v>1069</v>
      </c>
      <c r="H686" t="str">
        <f t="shared" si="70"/>
        <v>Furniture</v>
      </c>
      <c r="I686">
        <v>7</v>
      </c>
      <c r="J686" t="str">
        <f>VLOOKUP(K686,$AJ$2:$AK$7,2,FALSE)</f>
        <v>S002</v>
      </c>
      <c r="K686" t="s">
        <v>1098</v>
      </c>
      <c r="L686">
        <v>4.2</v>
      </c>
      <c r="M686" t="str">
        <f>IFERROR(VLOOKUP(TRIM(N686),$AP$2:$AQ$12,2,FALSE),"W001")</f>
        <v>W005</v>
      </c>
      <c r="N686" t="s">
        <v>1055</v>
      </c>
      <c r="O686" t="s">
        <v>1062</v>
      </c>
      <c r="P686" t="str">
        <f>VLOOKUP(O686,$AL$2:$AM$12,2,FALSE)</f>
        <v>North</v>
      </c>
      <c r="Q686" t="s">
        <v>1080</v>
      </c>
      <c r="R686">
        <v>441</v>
      </c>
      <c r="S686" t="s">
        <v>1066</v>
      </c>
      <c r="T686">
        <f t="shared" si="71"/>
        <v>3</v>
      </c>
      <c r="U686">
        <v>66.150000000000006</v>
      </c>
      <c r="V686">
        <f t="shared" si="72"/>
        <v>4</v>
      </c>
      <c r="W686" t="s">
        <v>1087</v>
      </c>
      <c r="X686" t="s">
        <v>1091</v>
      </c>
      <c r="Y686">
        <f t="shared" si="73"/>
        <v>0</v>
      </c>
      <c r="Z686" t="s">
        <v>1108</v>
      </c>
      <c r="AA686" t="str">
        <f t="shared" si="74"/>
        <v>Low</v>
      </c>
      <c r="AB686" t="s">
        <v>1103</v>
      </c>
      <c r="AC686" t="str">
        <f t="shared" si="75"/>
        <v>Yes</v>
      </c>
      <c r="AD686">
        <v>5</v>
      </c>
      <c r="AE686">
        <v>36057</v>
      </c>
      <c r="AF686">
        <v>14422.800000000001</v>
      </c>
      <c r="AG686">
        <f t="shared" si="76"/>
        <v>21568.049999999996</v>
      </c>
    </row>
    <row r="687" spans="1:33" x14ac:dyDescent="0.25">
      <c r="A687">
        <v>1686</v>
      </c>
      <c r="B687" s="1">
        <v>45036</v>
      </c>
      <c r="C687" s="1">
        <v>45038</v>
      </c>
      <c r="D687" s="1">
        <v>45042</v>
      </c>
      <c r="E687" t="s">
        <v>1066</v>
      </c>
      <c r="F687" t="s">
        <v>715</v>
      </c>
      <c r="G687" t="s">
        <v>1072</v>
      </c>
      <c r="H687" t="str">
        <f t="shared" si="70"/>
        <v>Electronics</v>
      </c>
      <c r="I687">
        <v>5</v>
      </c>
      <c r="J687" t="str">
        <f>VLOOKUP(K687,$AJ$2:$AK$7,2,FALSE)</f>
        <v>S005</v>
      </c>
      <c r="K687" t="s">
        <v>1101</v>
      </c>
      <c r="L687">
        <v>3.8</v>
      </c>
      <c r="M687" t="str">
        <f>IFERROR(VLOOKUP(TRIM(N687),$AP$2:$AQ$12,2,FALSE),"W001")</f>
        <v>W003</v>
      </c>
      <c r="N687" t="s">
        <v>1051</v>
      </c>
      <c r="O687" t="s">
        <v>1057</v>
      </c>
      <c r="P687" t="str">
        <f>VLOOKUP(O687,$AL$2:$AM$12,2,FALSE)</f>
        <v>South</v>
      </c>
      <c r="Q687" t="s">
        <v>1083</v>
      </c>
      <c r="R687">
        <v>1147</v>
      </c>
      <c r="S687" t="s">
        <v>1078</v>
      </c>
      <c r="T687">
        <f t="shared" si="71"/>
        <v>3</v>
      </c>
      <c r="U687">
        <v>573.5</v>
      </c>
      <c r="V687">
        <f t="shared" si="72"/>
        <v>10</v>
      </c>
      <c r="W687" t="s">
        <v>1086</v>
      </c>
      <c r="X687" t="s">
        <v>1091</v>
      </c>
      <c r="Y687">
        <f t="shared" si="73"/>
        <v>573.5</v>
      </c>
      <c r="Z687" t="s">
        <v>1108</v>
      </c>
      <c r="AA687" t="str">
        <f t="shared" si="74"/>
        <v>Medium</v>
      </c>
      <c r="AB687" t="s">
        <v>1103</v>
      </c>
      <c r="AC687" t="str">
        <f t="shared" si="75"/>
        <v>Yes</v>
      </c>
      <c r="AD687">
        <v>5</v>
      </c>
      <c r="AE687">
        <v>149345</v>
      </c>
      <c r="AF687">
        <v>59738</v>
      </c>
      <c r="AG687">
        <f t="shared" si="76"/>
        <v>89033.5</v>
      </c>
    </row>
    <row r="688" spans="1:33" x14ac:dyDescent="0.25">
      <c r="A688">
        <v>1687</v>
      </c>
      <c r="B688" s="1">
        <v>46061</v>
      </c>
      <c r="C688" s="1">
        <v>46063</v>
      </c>
      <c r="D688" s="1">
        <v>46067</v>
      </c>
      <c r="E688" t="s">
        <v>1064</v>
      </c>
      <c r="F688" t="s">
        <v>716</v>
      </c>
      <c r="G688" t="s">
        <v>1071</v>
      </c>
      <c r="H688" t="str">
        <f t="shared" si="70"/>
        <v>Clothing</v>
      </c>
      <c r="I688">
        <v>9</v>
      </c>
      <c r="J688" t="str">
        <f>VLOOKUP(K688,$AJ$2:$AK$7,2,FALSE)</f>
        <v>S005</v>
      </c>
      <c r="K688" t="s">
        <v>1101</v>
      </c>
      <c r="L688">
        <v>4.7</v>
      </c>
      <c r="M688" t="str">
        <f>IFERROR(VLOOKUP(TRIM(N688),$AP$2:$AQ$12,2,FALSE),"W001")</f>
        <v>W011</v>
      </c>
      <c r="N688" t="s">
        <v>1059</v>
      </c>
      <c r="O688" t="s">
        <v>1059</v>
      </c>
      <c r="P688" t="str">
        <f>VLOOKUP(O688,$AL$2:$AM$12,2,FALSE)</f>
        <v>North</v>
      </c>
      <c r="Q688" t="s">
        <v>1082</v>
      </c>
      <c r="R688">
        <v>25</v>
      </c>
      <c r="S688" t="s">
        <v>1079</v>
      </c>
      <c r="T688">
        <f t="shared" si="71"/>
        <v>1</v>
      </c>
      <c r="U688">
        <v>10</v>
      </c>
      <c r="V688">
        <f t="shared" si="72"/>
        <v>8</v>
      </c>
      <c r="W688" t="s">
        <v>1087</v>
      </c>
      <c r="X688" t="s">
        <v>1091</v>
      </c>
      <c r="Y688">
        <f t="shared" si="73"/>
        <v>0</v>
      </c>
      <c r="Z688" t="s">
        <v>1108</v>
      </c>
      <c r="AA688" t="str">
        <f t="shared" si="74"/>
        <v>Medium</v>
      </c>
      <c r="AB688" t="s">
        <v>1103</v>
      </c>
      <c r="AC688" t="str">
        <f t="shared" si="75"/>
        <v>Yes</v>
      </c>
      <c r="AD688">
        <v>4</v>
      </c>
      <c r="AE688">
        <v>15948</v>
      </c>
      <c r="AF688">
        <v>6379.2000000000007</v>
      </c>
      <c r="AG688">
        <f t="shared" si="76"/>
        <v>9558.7999999999993</v>
      </c>
    </row>
    <row r="689" spans="1:33" x14ac:dyDescent="0.25">
      <c r="A689">
        <v>1688</v>
      </c>
      <c r="B689" s="1">
        <v>45266</v>
      </c>
      <c r="C689" s="1">
        <v>45269</v>
      </c>
      <c r="D689" s="1">
        <v>45271</v>
      </c>
      <c r="E689" t="s">
        <v>1064</v>
      </c>
      <c r="F689" t="s">
        <v>717</v>
      </c>
      <c r="G689" t="s">
        <v>1070</v>
      </c>
      <c r="H689" t="str">
        <f t="shared" si="70"/>
        <v>Furniture</v>
      </c>
      <c r="I689">
        <v>5</v>
      </c>
      <c r="J689" t="str">
        <f>VLOOKUP(K689,$AJ$2:$AK$7,2,FALSE)</f>
        <v>S004</v>
      </c>
      <c r="K689" t="s">
        <v>1100</v>
      </c>
      <c r="L689">
        <v>3.1</v>
      </c>
      <c r="M689" t="str">
        <f>IFERROR(VLOOKUP(TRIM(N689),$AP$2:$AQ$12,2,FALSE),"W001")</f>
        <v>W009</v>
      </c>
      <c r="N689" t="s">
        <v>1060</v>
      </c>
      <c r="O689" t="s">
        <v>1049</v>
      </c>
      <c r="P689" t="str">
        <f>VLOOKUP(O689,$AL$2:$AM$12,2,FALSE)</f>
        <v>North</v>
      </c>
      <c r="Q689" t="s">
        <v>1083</v>
      </c>
      <c r="R689">
        <v>168</v>
      </c>
      <c r="S689" t="s">
        <v>1079</v>
      </c>
      <c r="T689">
        <f t="shared" si="71"/>
        <v>1</v>
      </c>
      <c r="U689">
        <v>84</v>
      </c>
      <c r="V689">
        <f t="shared" si="72"/>
        <v>10</v>
      </c>
      <c r="W689" t="s">
        <v>1086</v>
      </c>
      <c r="X689" t="s">
        <v>1089</v>
      </c>
      <c r="Y689">
        <f t="shared" si="73"/>
        <v>84</v>
      </c>
      <c r="Z689" t="s">
        <v>1108</v>
      </c>
      <c r="AA689" t="str">
        <f t="shared" si="74"/>
        <v>Medium</v>
      </c>
      <c r="AB689" t="s">
        <v>1103</v>
      </c>
      <c r="AC689" t="str">
        <f t="shared" si="75"/>
        <v>Yes</v>
      </c>
      <c r="AD689">
        <v>5</v>
      </c>
      <c r="AE689">
        <v>16430</v>
      </c>
      <c r="AF689">
        <v>6572</v>
      </c>
      <c r="AG689">
        <f t="shared" si="76"/>
        <v>9774</v>
      </c>
    </row>
    <row r="690" spans="1:33" x14ac:dyDescent="0.25">
      <c r="A690">
        <v>1689</v>
      </c>
      <c r="B690" s="1">
        <v>45195</v>
      </c>
      <c r="C690" s="1">
        <v>45197</v>
      </c>
      <c r="D690" s="1">
        <v>45203</v>
      </c>
      <c r="E690" t="s">
        <v>1064</v>
      </c>
      <c r="F690" t="s">
        <v>718</v>
      </c>
      <c r="G690" t="s">
        <v>1067</v>
      </c>
      <c r="H690" t="str">
        <f t="shared" si="70"/>
        <v>Clothing</v>
      </c>
      <c r="I690">
        <v>5</v>
      </c>
      <c r="J690" t="str">
        <f>VLOOKUP(K690,$AJ$2:$AK$7,2,FALSE)</f>
        <v>S001</v>
      </c>
      <c r="K690" t="s">
        <v>1097</v>
      </c>
      <c r="L690">
        <v>3.1</v>
      </c>
      <c r="M690" t="str">
        <f>IFERROR(VLOOKUP(TRIM(N690),$AP$2:$AQ$12,2,FALSE),"W001")</f>
        <v>W004</v>
      </c>
      <c r="N690" t="s">
        <v>1053</v>
      </c>
      <c r="O690" t="s">
        <v>1049</v>
      </c>
      <c r="P690" t="str">
        <f>VLOOKUP(O690,$AL$2:$AM$12,2,FALSE)</f>
        <v>North</v>
      </c>
      <c r="Q690" t="s">
        <v>1083</v>
      </c>
      <c r="R690">
        <v>276</v>
      </c>
      <c r="S690" t="s">
        <v>1066</v>
      </c>
      <c r="T690">
        <f t="shared" si="71"/>
        <v>1</v>
      </c>
      <c r="U690">
        <v>138</v>
      </c>
      <c r="V690">
        <f t="shared" si="72"/>
        <v>10</v>
      </c>
      <c r="W690" t="s">
        <v>1086</v>
      </c>
      <c r="X690" t="s">
        <v>1091</v>
      </c>
      <c r="Y690">
        <f t="shared" si="73"/>
        <v>138</v>
      </c>
      <c r="Z690" t="s">
        <v>1108</v>
      </c>
      <c r="AA690" t="str">
        <f t="shared" si="74"/>
        <v>Medium</v>
      </c>
      <c r="AB690" t="s">
        <v>1104</v>
      </c>
      <c r="AC690" t="str">
        <f t="shared" si="75"/>
        <v>Yes</v>
      </c>
      <c r="AD690">
        <v>1</v>
      </c>
      <c r="AE690">
        <v>7500</v>
      </c>
      <c r="AF690">
        <v>3000</v>
      </c>
      <c r="AG690">
        <f t="shared" si="76"/>
        <v>4362</v>
      </c>
    </row>
    <row r="691" spans="1:33" x14ac:dyDescent="0.25">
      <c r="A691">
        <v>1690</v>
      </c>
      <c r="B691" s="1">
        <v>44651</v>
      </c>
      <c r="C691" s="1">
        <v>44652</v>
      </c>
      <c r="D691" s="1">
        <v>44656</v>
      </c>
      <c r="E691" t="s">
        <v>1066</v>
      </c>
      <c r="F691" t="s">
        <v>719</v>
      </c>
      <c r="G691" t="s">
        <v>1068</v>
      </c>
      <c r="H691" t="str">
        <f t="shared" si="70"/>
        <v>Electronics</v>
      </c>
      <c r="I691">
        <v>1</v>
      </c>
      <c r="J691" t="str">
        <f>VLOOKUP(K691,$AJ$2:$AK$7,2,FALSE)</f>
        <v>S004</v>
      </c>
      <c r="K691" t="s">
        <v>1100</v>
      </c>
      <c r="L691">
        <v>4.0999999999999996</v>
      </c>
      <c r="M691" t="str">
        <f>IFERROR(VLOOKUP(TRIM(N691),$AP$2:$AQ$12,2,FALSE),"W001")</f>
        <v>W006</v>
      </c>
      <c r="N691" t="s">
        <v>1057</v>
      </c>
      <c r="O691" t="s">
        <v>1060</v>
      </c>
      <c r="P691" t="str">
        <f>VLOOKUP(O691,$AL$2:$AM$12,2,FALSE)</f>
        <v>North</v>
      </c>
      <c r="Q691" t="s">
        <v>1081</v>
      </c>
      <c r="R691">
        <v>1216</v>
      </c>
      <c r="S691" t="s">
        <v>1078</v>
      </c>
      <c r="T691">
        <f t="shared" si="71"/>
        <v>6</v>
      </c>
      <c r="U691">
        <v>243.2</v>
      </c>
      <c r="V691">
        <f t="shared" si="72"/>
        <v>5</v>
      </c>
      <c r="W691" t="s">
        <v>1088</v>
      </c>
      <c r="X691" t="s">
        <v>1091</v>
      </c>
      <c r="Y691">
        <f t="shared" si="73"/>
        <v>0</v>
      </c>
      <c r="Z691" t="s">
        <v>1108</v>
      </c>
      <c r="AA691" t="str">
        <f t="shared" si="74"/>
        <v>Low</v>
      </c>
      <c r="AB691" t="s">
        <v>1103</v>
      </c>
      <c r="AC691" t="str">
        <f t="shared" si="75"/>
        <v>Yes</v>
      </c>
      <c r="AD691">
        <v>5</v>
      </c>
      <c r="AE691">
        <v>56378</v>
      </c>
      <c r="AF691">
        <v>22551.200000000001</v>
      </c>
      <c r="AG691">
        <f t="shared" si="76"/>
        <v>33583.600000000006</v>
      </c>
    </row>
    <row r="692" spans="1:33" x14ac:dyDescent="0.25">
      <c r="A692">
        <v>1691</v>
      </c>
      <c r="B692" s="1">
        <v>44673</v>
      </c>
      <c r="C692" s="1">
        <v>44675</v>
      </c>
      <c r="D692" s="1">
        <v>44678</v>
      </c>
      <c r="E692" t="s">
        <v>1064</v>
      </c>
      <c r="F692" t="s">
        <v>720</v>
      </c>
      <c r="G692" t="s">
        <v>1071</v>
      </c>
      <c r="H692" t="str">
        <f t="shared" si="70"/>
        <v>Clothing</v>
      </c>
      <c r="I692">
        <v>10</v>
      </c>
      <c r="J692" t="str">
        <f>VLOOKUP(K692,$AJ$2:$AK$7,2,FALSE)</f>
        <v>S006</v>
      </c>
      <c r="K692" t="s">
        <v>1102</v>
      </c>
      <c r="L692">
        <v>4</v>
      </c>
      <c r="M692" t="str">
        <f>IFERROR(VLOOKUP(TRIM(N692),$AP$2:$AQ$12,2,FALSE),"W001")</f>
        <v>W006</v>
      </c>
      <c r="N692" t="s">
        <v>1057</v>
      </c>
      <c r="O692" t="s">
        <v>1060</v>
      </c>
      <c r="P692" t="str">
        <f>VLOOKUP(O692,$AL$2:$AM$12,2,FALSE)</f>
        <v>North</v>
      </c>
      <c r="Q692" t="s">
        <v>1084</v>
      </c>
      <c r="R692">
        <v>1097</v>
      </c>
      <c r="S692" t="s">
        <v>1078</v>
      </c>
      <c r="T692">
        <f t="shared" si="71"/>
        <v>4</v>
      </c>
      <c r="U692">
        <v>329.1</v>
      </c>
      <c r="V692">
        <f t="shared" si="72"/>
        <v>6</v>
      </c>
      <c r="W692" t="s">
        <v>1087</v>
      </c>
      <c r="X692" t="s">
        <v>1090</v>
      </c>
      <c r="Y692">
        <f t="shared" si="73"/>
        <v>0</v>
      </c>
      <c r="Z692" t="s">
        <v>1108</v>
      </c>
      <c r="AA692" t="str">
        <f t="shared" si="74"/>
        <v>Low</v>
      </c>
      <c r="AB692" t="s">
        <v>1103</v>
      </c>
      <c r="AC692" t="str">
        <f t="shared" si="75"/>
        <v>Yes</v>
      </c>
      <c r="AD692">
        <v>4</v>
      </c>
      <c r="AE692">
        <v>12320</v>
      </c>
      <c r="AF692">
        <v>4928</v>
      </c>
      <c r="AG692">
        <f t="shared" si="76"/>
        <v>7062.9</v>
      </c>
    </row>
    <row r="693" spans="1:33" x14ac:dyDescent="0.25">
      <c r="A693">
        <v>1692</v>
      </c>
      <c r="B693" s="1">
        <v>46284</v>
      </c>
      <c r="C693" s="1">
        <v>46286</v>
      </c>
      <c r="D693" s="1">
        <v>46290</v>
      </c>
      <c r="E693" t="s">
        <v>1065</v>
      </c>
      <c r="F693" t="s">
        <v>721</v>
      </c>
      <c r="G693" t="s">
        <v>1070</v>
      </c>
      <c r="H693" t="str">
        <f t="shared" si="70"/>
        <v>Furniture</v>
      </c>
      <c r="I693">
        <v>10</v>
      </c>
      <c r="J693" t="str">
        <f>VLOOKUP(K693,$AJ$2:$AK$7,2,FALSE)</f>
        <v>S006</v>
      </c>
      <c r="K693" t="s">
        <v>1102</v>
      </c>
      <c r="L693">
        <v>5</v>
      </c>
      <c r="M693" t="str">
        <f>IFERROR(VLOOKUP(TRIM(N693),$AP$2:$AQ$12,2,FALSE),"W001")</f>
        <v>W007</v>
      </c>
      <c r="N693" t="s">
        <v>1062</v>
      </c>
      <c r="O693" t="s">
        <v>1049</v>
      </c>
      <c r="P693" t="str">
        <f>VLOOKUP(O693,$AL$2:$AM$12,2,FALSE)</f>
        <v>North</v>
      </c>
      <c r="Q693" t="s">
        <v>1085</v>
      </c>
      <c r="R693">
        <v>276</v>
      </c>
      <c r="S693" t="s">
        <v>1066</v>
      </c>
      <c r="T693">
        <f t="shared" si="71"/>
        <v>4</v>
      </c>
      <c r="U693">
        <v>27.6</v>
      </c>
      <c r="V693">
        <f t="shared" si="72"/>
        <v>3</v>
      </c>
      <c r="W693" t="s">
        <v>1086</v>
      </c>
      <c r="X693" t="s">
        <v>1091</v>
      </c>
      <c r="Y693">
        <f t="shared" si="73"/>
        <v>27.6</v>
      </c>
      <c r="Z693" t="s">
        <v>1108</v>
      </c>
      <c r="AA693" t="str">
        <f t="shared" si="74"/>
        <v>Low</v>
      </c>
      <c r="AB693" t="s">
        <v>1103</v>
      </c>
      <c r="AC693" t="str">
        <f t="shared" si="75"/>
        <v>Yes</v>
      </c>
      <c r="AD693">
        <v>4</v>
      </c>
      <c r="AE693">
        <v>64240</v>
      </c>
      <c r="AF693">
        <v>25696</v>
      </c>
      <c r="AG693">
        <f t="shared" si="76"/>
        <v>38516.400000000001</v>
      </c>
    </row>
    <row r="694" spans="1:33" x14ac:dyDescent="0.25">
      <c r="A694">
        <v>1693</v>
      </c>
      <c r="B694" s="1">
        <v>45553</v>
      </c>
      <c r="C694" s="1">
        <v>45554</v>
      </c>
      <c r="D694" s="1">
        <v>45561</v>
      </c>
      <c r="E694" t="s">
        <v>1066</v>
      </c>
      <c r="F694" t="s">
        <v>722</v>
      </c>
      <c r="G694" t="s">
        <v>1071</v>
      </c>
      <c r="H694" t="str">
        <f t="shared" si="70"/>
        <v>Clothing</v>
      </c>
      <c r="I694">
        <v>5</v>
      </c>
      <c r="J694" t="str">
        <f>VLOOKUP(K694,$AJ$2:$AK$7,2,FALSE)</f>
        <v>S006</v>
      </c>
      <c r="K694" t="s">
        <v>1102</v>
      </c>
      <c r="L694">
        <v>4.8</v>
      </c>
      <c r="M694" t="str">
        <f>IFERROR(VLOOKUP(TRIM(N694),$AP$2:$AQ$12,2,FALSE),"W001")</f>
        <v>W001</v>
      </c>
      <c r="N694" t="s">
        <v>1047</v>
      </c>
      <c r="O694" t="s">
        <v>1053</v>
      </c>
      <c r="P694" t="str">
        <f>VLOOKUP(O694,$AL$2:$AM$12,2,FALSE)</f>
        <v>South</v>
      </c>
      <c r="Q694" t="s">
        <v>1083</v>
      </c>
      <c r="R694">
        <v>506</v>
      </c>
      <c r="S694" t="s">
        <v>1066</v>
      </c>
      <c r="T694">
        <f t="shared" si="71"/>
        <v>2</v>
      </c>
      <c r="U694">
        <v>253</v>
      </c>
      <c r="V694">
        <f t="shared" si="72"/>
        <v>10</v>
      </c>
      <c r="W694" t="s">
        <v>1087</v>
      </c>
      <c r="X694" t="s">
        <v>1089</v>
      </c>
      <c r="Y694">
        <f t="shared" si="73"/>
        <v>0</v>
      </c>
      <c r="Z694" t="s">
        <v>1108</v>
      </c>
      <c r="AA694" t="str">
        <f t="shared" si="74"/>
        <v>Medium</v>
      </c>
      <c r="AB694" t="s">
        <v>1103</v>
      </c>
      <c r="AC694" t="str">
        <f t="shared" si="75"/>
        <v>Yes</v>
      </c>
      <c r="AD694">
        <v>5</v>
      </c>
      <c r="AE694">
        <v>13510</v>
      </c>
      <c r="AF694">
        <v>5404</v>
      </c>
      <c r="AG694">
        <f t="shared" si="76"/>
        <v>7853</v>
      </c>
    </row>
    <row r="695" spans="1:33" x14ac:dyDescent="0.25">
      <c r="A695">
        <v>1694</v>
      </c>
      <c r="B695" s="1">
        <v>44379</v>
      </c>
      <c r="C695" s="1">
        <v>44380</v>
      </c>
      <c r="D695" s="1">
        <v>44387</v>
      </c>
      <c r="E695" t="s">
        <v>1066</v>
      </c>
      <c r="F695" t="s">
        <v>723</v>
      </c>
      <c r="G695" t="s">
        <v>1072</v>
      </c>
      <c r="H695" t="str">
        <f t="shared" si="70"/>
        <v>Electronics</v>
      </c>
      <c r="I695">
        <v>9</v>
      </c>
      <c r="J695" t="str">
        <f>VLOOKUP(K695,$AJ$2:$AK$7,2,FALSE)</f>
        <v>S004</v>
      </c>
      <c r="K695" t="s">
        <v>1100</v>
      </c>
      <c r="L695">
        <v>3.3</v>
      </c>
      <c r="M695" t="str">
        <f>IFERROR(VLOOKUP(TRIM(N695),$AP$2:$AQ$12,2,FALSE),"W001")</f>
        <v>W004</v>
      </c>
      <c r="N695" t="s">
        <v>1053</v>
      </c>
      <c r="O695" t="s">
        <v>1049</v>
      </c>
      <c r="P695" t="str">
        <f>VLOOKUP(O695,$AL$2:$AM$12,2,FALSE)</f>
        <v>North</v>
      </c>
      <c r="Q695" t="s">
        <v>1083</v>
      </c>
      <c r="R695">
        <v>1151</v>
      </c>
      <c r="S695" t="s">
        <v>1078</v>
      </c>
      <c r="T695">
        <f t="shared" si="71"/>
        <v>3</v>
      </c>
      <c r="U695">
        <v>575.5</v>
      </c>
      <c r="V695">
        <f t="shared" si="72"/>
        <v>10</v>
      </c>
      <c r="W695" t="s">
        <v>1087</v>
      </c>
      <c r="X695" t="s">
        <v>1090</v>
      </c>
      <c r="Y695">
        <f t="shared" si="73"/>
        <v>0</v>
      </c>
      <c r="Z695" t="s">
        <v>1108</v>
      </c>
      <c r="AA695" t="str">
        <f t="shared" si="74"/>
        <v>Medium</v>
      </c>
      <c r="AB695" t="s">
        <v>1103</v>
      </c>
      <c r="AC695" t="str">
        <f t="shared" si="75"/>
        <v>Yes</v>
      </c>
      <c r="AD695">
        <v>4</v>
      </c>
      <c r="AE695">
        <v>180153</v>
      </c>
      <c r="AF695">
        <v>72061.2</v>
      </c>
      <c r="AG695">
        <f t="shared" si="76"/>
        <v>107516.3</v>
      </c>
    </row>
    <row r="696" spans="1:33" x14ac:dyDescent="0.25">
      <c r="A696">
        <v>1695</v>
      </c>
      <c r="B696" s="1">
        <v>45557</v>
      </c>
      <c r="C696" s="1">
        <v>45560</v>
      </c>
      <c r="D696" s="1">
        <v>45566</v>
      </c>
      <c r="E696" t="s">
        <v>1066</v>
      </c>
      <c r="F696" t="s">
        <v>724</v>
      </c>
      <c r="G696" t="s">
        <v>1070</v>
      </c>
      <c r="H696" t="str">
        <f t="shared" si="70"/>
        <v>Furniture</v>
      </c>
      <c r="I696">
        <v>5</v>
      </c>
      <c r="J696" t="str">
        <f>VLOOKUP(K696,$AJ$2:$AK$7,2,FALSE)</f>
        <v>S004</v>
      </c>
      <c r="K696" t="s">
        <v>1100</v>
      </c>
      <c r="L696">
        <v>3.9</v>
      </c>
      <c r="M696" t="str">
        <f>IFERROR(VLOOKUP(TRIM(N696),$AP$2:$AQ$12,2,FALSE),"W001")</f>
        <v>W002</v>
      </c>
      <c r="N696" t="s">
        <v>1049</v>
      </c>
      <c r="O696" t="s">
        <v>1063</v>
      </c>
      <c r="P696" t="str">
        <f>VLOOKUP(O696,$AL$2:$AM$12,2,FALSE)</f>
        <v>South</v>
      </c>
      <c r="Q696" t="s">
        <v>1084</v>
      </c>
      <c r="R696">
        <v>1834</v>
      </c>
      <c r="S696" t="s">
        <v>1078</v>
      </c>
      <c r="T696">
        <f t="shared" si="71"/>
        <v>6</v>
      </c>
      <c r="U696">
        <v>550.20000000000005</v>
      </c>
      <c r="V696">
        <f t="shared" si="72"/>
        <v>6</v>
      </c>
      <c r="W696" t="s">
        <v>1088</v>
      </c>
      <c r="X696" t="s">
        <v>1091</v>
      </c>
      <c r="Y696">
        <f t="shared" si="73"/>
        <v>0</v>
      </c>
      <c r="Z696" t="s">
        <v>1109</v>
      </c>
      <c r="AA696" t="str">
        <f t="shared" si="74"/>
        <v>High</v>
      </c>
      <c r="AB696" t="s">
        <v>1103</v>
      </c>
      <c r="AC696" t="str">
        <f t="shared" si="75"/>
        <v>No</v>
      </c>
      <c r="AD696">
        <v>3</v>
      </c>
      <c r="AE696">
        <v>13025</v>
      </c>
      <c r="AF696">
        <v>5210</v>
      </c>
      <c r="AG696">
        <f t="shared" si="76"/>
        <v>7264.8</v>
      </c>
    </row>
    <row r="697" spans="1:33" x14ac:dyDescent="0.25">
      <c r="A697">
        <v>1696</v>
      </c>
      <c r="B697" s="1">
        <v>45569</v>
      </c>
      <c r="C697" s="1">
        <v>45570</v>
      </c>
      <c r="D697" s="1">
        <v>45576</v>
      </c>
      <c r="E697" t="s">
        <v>1065</v>
      </c>
      <c r="F697" t="s">
        <v>725</v>
      </c>
      <c r="G697" t="s">
        <v>1071</v>
      </c>
      <c r="H697" t="str">
        <f t="shared" si="70"/>
        <v>Clothing</v>
      </c>
      <c r="I697">
        <v>5</v>
      </c>
      <c r="J697" t="str">
        <f>VLOOKUP(K697,$AJ$2:$AK$7,2,FALSE)</f>
        <v>S003</v>
      </c>
      <c r="K697" t="s">
        <v>1099</v>
      </c>
      <c r="L697">
        <v>3.7</v>
      </c>
      <c r="M697" t="str">
        <f>IFERROR(VLOOKUP(TRIM(N697),$AP$2:$AQ$12,2,FALSE),"W001")</f>
        <v>W006</v>
      </c>
      <c r="N697" t="s">
        <v>1057</v>
      </c>
      <c r="O697" t="s">
        <v>1057</v>
      </c>
      <c r="P697" t="str">
        <f>VLOOKUP(O697,$AL$2:$AM$12,2,FALSE)</f>
        <v>South</v>
      </c>
      <c r="Q697" t="s">
        <v>1083</v>
      </c>
      <c r="R697">
        <v>18</v>
      </c>
      <c r="S697" t="s">
        <v>1079</v>
      </c>
      <c r="T697">
        <f t="shared" si="71"/>
        <v>1</v>
      </c>
      <c r="U697">
        <v>9</v>
      </c>
      <c r="V697">
        <f t="shared" si="72"/>
        <v>10</v>
      </c>
      <c r="W697" t="s">
        <v>1088</v>
      </c>
      <c r="X697" t="s">
        <v>1091</v>
      </c>
      <c r="Y697">
        <f t="shared" si="73"/>
        <v>0</v>
      </c>
      <c r="Z697" t="s">
        <v>1108</v>
      </c>
      <c r="AA697" t="str">
        <f t="shared" si="74"/>
        <v>Medium</v>
      </c>
      <c r="AB697" t="s">
        <v>1103</v>
      </c>
      <c r="AC697" t="str">
        <f t="shared" si="75"/>
        <v>Yes</v>
      </c>
      <c r="AD697">
        <v>4</v>
      </c>
      <c r="AE697">
        <v>15000</v>
      </c>
      <c r="AF697">
        <v>6000</v>
      </c>
      <c r="AG697">
        <f t="shared" si="76"/>
        <v>8991</v>
      </c>
    </row>
    <row r="698" spans="1:33" x14ac:dyDescent="0.25">
      <c r="A698">
        <v>1697</v>
      </c>
      <c r="B698" s="1">
        <v>45393</v>
      </c>
      <c r="C698" s="1">
        <v>45396</v>
      </c>
      <c r="D698" s="1">
        <v>45403</v>
      </c>
      <c r="E698" t="s">
        <v>1065</v>
      </c>
      <c r="F698" t="s">
        <v>726</v>
      </c>
      <c r="G698" t="s">
        <v>1070</v>
      </c>
      <c r="H698" t="str">
        <f t="shared" si="70"/>
        <v>Furniture</v>
      </c>
      <c r="I698">
        <v>6</v>
      </c>
      <c r="J698" t="str">
        <f>VLOOKUP(K698,$AJ$2:$AK$7,2,FALSE)</f>
        <v>S006</v>
      </c>
      <c r="K698" t="s">
        <v>1102</v>
      </c>
      <c r="L698">
        <v>4.9000000000000004</v>
      </c>
      <c r="M698" t="str">
        <f>IFERROR(VLOOKUP(TRIM(N698),$AP$2:$AQ$12,2,FALSE),"W001")</f>
        <v>W003</v>
      </c>
      <c r="N698" t="s">
        <v>1051</v>
      </c>
      <c r="O698" t="s">
        <v>1061</v>
      </c>
      <c r="P698" t="str">
        <f>VLOOKUP(O698,$AL$2:$AM$12,2,FALSE)</f>
        <v>West</v>
      </c>
      <c r="Q698" t="s">
        <v>1083</v>
      </c>
      <c r="R698">
        <v>1226</v>
      </c>
      <c r="S698" t="s">
        <v>1078</v>
      </c>
      <c r="T698">
        <f t="shared" si="71"/>
        <v>3</v>
      </c>
      <c r="U698">
        <v>613</v>
      </c>
      <c r="V698">
        <f t="shared" si="72"/>
        <v>10</v>
      </c>
      <c r="W698" t="s">
        <v>1087</v>
      </c>
      <c r="X698" t="s">
        <v>1091</v>
      </c>
      <c r="Y698">
        <f t="shared" si="73"/>
        <v>0</v>
      </c>
      <c r="Z698" t="s">
        <v>1108</v>
      </c>
      <c r="AA698" t="str">
        <f t="shared" si="74"/>
        <v>Medium</v>
      </c>
      <c r="AB698" t="s">
        <v>1103</v>
      </c>
      <c r="AC698" t="str">
        <f t="shared" si="75"/>
        <v>Yes</v>
      </c>
      <c r="AD698">
        <v>4</v>
      </c>
      <c r="AE698">
        <v>16422</v>
      </c>
      <c r="AF698">
        <v>6568.8</v>
      </c>
      <c r="AG698">
        <f t="shared" si="76"/>
        <v>9240.2000000000007</v>
      </c>
    </row>
    <row r="699" spans="1:33" x14ac:dyDescent="0.25">
      <c r="A699">
        <v>1698</v>
      </c>
      <c r="B699" s="1">
        <v>45034</v>
      </c>
      <c r="C699" s="1">
        <v>45035</v>
      </c>
      <c r="D699" s="1">
        <v>45037</v>
      </c>
      <c r="E699" t="s">
        <v>1064</v>
      </c>
      <c r="F699" t="s">
        <v>727</v>
      </c>
      <c r="G699" t="s">
        <v>1068</v>
      </c>
      <c r="H699" t="str">
        <f t="shared" si="70"/>
        <v>Electronics</v>
      </c>
      <c r="I699">
        <v>3</v>
      </c>
      <c r="J699" t="str">
        <f>VLOOKUP(K699,$AJ$2:$AK$7,2,FALSE)</f>
        <v>S004</v>
      </c>
      <c r="K699" t="s">
        <v>1100</v>
      </c>
      <c r="L699">
        <v>3.9</v>
      </c>
      <c r="M699" t="str">
        <f>IFERROR(VLOOKUP(TRIM(N699),$AP$2:$AQ$12,2,FALSE),"W001")</f>
        <v>W001</v>
      </c>
      <c r="N699" t="s">
        <v>1047</v>
      </c>
      <c r="O699" t="s">
        <v>1047</v>
      </c>
      <c r="P699" t="str">
        <f>VLOOKUP(O699,$AL$2:$AM$12,2,FALSE)</f>
        <v>West</v>
      </c>
      <c r="Q699" t="s">
        <v>1080</v>
      </c>
      <c r="R699">
        <v>49</v>
      </c>
      <c r="S699" t="s">
        <v>1079</v>
      </c>
      <c r="T699">
        <f t="shared" si="71"/>
        <v>2</v>
      </c>
      <c r="U699">
        <v>7.35</v>
      </c>
      <c r="V699">
        <f t="shared" si="72"/>
        <v>4</v>
      </c>
      <c r="W699" t="s">
        <v>1088</v>
      </c>
      <c r="X699" t="s">
        <v>1091</v>
      </c>
      <c r="Y699">
        <f t="shared" si="73"/>
        <v>0</v>
      </c>
      <c r="Z699" t="s">
        <v>1108</v>
      </c>
      <c r="AA699" t="str">
        <f t="shared" si="74"/>
        <v>Low</v>
      </c>
      <c r="AB699" t="s">
        <v>1103</v>
      </c>
      <c r="AC699" t="str">
        <f t="shared" si="75"/>
        <v>Yes</v>
      </c>
      <c r="AD699">
        <v>4</v>
      </c>
      <c r="AE699">
        <v>121380</v>
      </c>
      <c r="AF699">
        <v>48552</v>
      </c>
      <c r="AG699">
        <f t="shared" si="76"/>
        <v>72820.649999999994</v>
      </c>
    </row>
    <row r="700" spans="1:33" x14ac:dyDescent="0.25">
      <c r="A700">
        <v>1699</v>
      </c>
      <c r="B700" s="1">
        <v>44474</v>
      </c>
      <c r="C700" s="1">
        <v>44475</v>
      </c>
      <c r="D700" s="1">
        <v>44478</v>
      </c>
      <c r="E700" t="s">
        <v>1066</v>
      </c>
      <c r="F700" t="s">
        <v>728</v>
      </c>
      <c r="G700" t="s">
        <v>1071</v>
      </c>
      <c r="H700" t="str">
        <f t="shared" si="70"/>
        <v>Clothing</v>
      </c>
      <c r="I700">
        <v>10</v>
      </c>
      <c r="J700" t="str">
        <f>VLOOKUP(K700,$AJ$2:$AK$7,2,FALSE)</f>
        <v>S003</v>
      </c>
      <c r="K700" t="s">
        <v>1099</v>
      </c>
      <c r="L700">
        <v>3.6</v>
      </c>
      <c r="M700" t="str">
        <f>IFERROR(VLOOKUP(TRIM(N700),$AP$2:$AQ$12,2,FALSE),"W001")</f>
        <v>W004</v>
      </c>
      <c r="N700" t="s">
        <v>1053</v>
      </c>
      <c r="O700" t="s">
        <v>1049</v>
      </c>
      <c r="P700" t="str">
        <f>VLOOKUP(O700,$AL$2:$AM$12,2,FALSE)</f>
        <v>North</v>
      </c>
      <c r="Q700" t="s">
        <v>1081</v>
      </c>
      <c r="R700">
        <v>730</v>
      </c>
      <c r="S700" t="s">
        <v>1066</v>
      </c>
      <c r="T700">
        <f t="shared" si="71"/>
        <v>4</v>
      </c>
      <c r="U700">
        <v>146</v>
      </c>
      <c r="V700">
        <f t="shared" si="72"/>
        <v>5</v>
      </c>
      <c r="W700" t="s">
        <v>1088</v>
      </c>
      <c r="X700" t="s">
        <v>1091</v>
      </c>
      <c r="Y700">
        <f t="shared" si="73"/>
        <v>0</v>
      </c>
      <c r="Z700" t="s">
        <v>1108</v>
      </c>
      <c r="AA700" t="str">
        <f t="shared" si="74"/>
        <v>Low</v>
      </c>
      <c r="AB700" t="s">
        <v>1103</v>
      </c>
      <c r="AC700" t="str">
        <f t="shared" si="75"/>
        <v>Yes</v>
      </c>
      <c r="AD700">
        <v>4</v>
      </c>
      <c r="AE700">
        <v>26080</v>
      </c>
      <c r="AF700">
        <v>10432</v>
      </c>
      <c r="AG700">
        <f t="shared" si="76"/>
        <v>15502</v>
      </c>
    </row>
    <row r="701" spans="1:33" x14ac:dyDescent="0.25">
      <c r="A701">
        <v>1700</v>
      </c>
      <c r="B701" s="1">
        <v>44842</v>
      </c>
      <c r="C701" s="1">
        <v>44845</v>
      </c>
      <c r="D701" s="1">
        <v>44847</v>
      </c>
      <c r="E701" t="s">
        <v>1064</v>
      </c>
      <c r="F701" t="s">
        <v>729</v>
      </c>
      <c r="G701" t="s">
        <v>1067</v>
      </c>
      <c r="H701" t="str">
        <f t="shared" si="70"/>
        <v>Clothing</v>
      </c>
      <c r="I701">
        <v>7</v>
      </c>
      <c r="J701" t="str">
        <f>VLOOKUP(K701,$AJ$2:$AK$7,2,FALSE)</f>
        <v>S002</v>
      </c>
      <c r="K701" t="s">
        <v>1098</v>
      </c>
      <c r="L701">
        <v>4.0999999999999996</v>
      </c>
      <c r="M701" t="str">
        <f>IFERROR(VLOOKUP(TRIM(N701),$AP$2:$AQ$12,2,FALSE),"W001")</f>
        <v>W002</v>
      </c>
      <c r="N701" t="s">
        <v>1049</v>
      </c>
      <c r="O701" t="s">
        <v>1062</v>
      </c>
      <c r="P701" t="str">
        <f>VLOOKUP(O701,$AL$2:$AM$12,2,FALSE)</f>
        <v>North</v>
      </c>
      <c r="Q701" t="s">
        <v>1084</v>
      </c>
      <c r="R701">
        <v>1507</v>
      </c>
      <c r="S701" t="s">
        <v>1078</v>
      </c>
      <c r="T701">
        <f t="shared" si="71"/>
        <v>5</v>
      </c>
      <c r="U701">
        <v>452.1</v>
      </c>
      <c r="V701">
        <f t="shared" si="72"/>
        <v>6</v>
      </c>
      <c r="W701" t="s">
        <v>1086</v>
      </c>
      <c r="X701" t="s">
        <v>1091</v>
      </c>
      <c r="Y701">
        <f t="shared" si="73"/>
        <v>452.1</v>
      </c>
      <c r="Z701" t="s">
        <v>1108</v>
      </c>
      <c r="AA701" t="str">
        <f t="shared" si="74"/>
        <v>Low</v>
      </c>
      <c r="AB701" t="s">
        <v>1103</v>
      </c>
      <c r="AC701" t="str">
        <f t="shared" si="75"/>
        <v>Yes</v>
      </c>
      <c r="AD701">
        <v>4</v>
      </c>
      <c r="AE701">
        <v>6524</v>
      </c>
      <c r="AF701">
        <v>2609.6000000000004</v>
      </c>
      <c r="AG701">
        <f t="shared" si="76"/>
        <v>3462.2999999999997</v>
      </c>
    </row>
    <row r="702" spans="1:33" x14ac:dyDescent="0.25">
      <c r="A702">
        <v>1701</v>
      </c>
      <c r="B702" s="1">
        <v>45746</v>
      </c>
      <c r="C702" s="1">
        <v>45748</v>
      </c>
      <c r="D702" s="1">
        <v>45753</v>
      </c>
      <c r="E702" t="s">
        <v>1064</v>
      </c>
      <c r="F702" t="s">
        <v>730</v>
      </c>
      <c r="G702" t="s">
        <v>1069</v>
      </c>
      <c r="H702" t="str">
        <f t="shared" si="70"/>
        <v>Furniture</v>
      </c>
      <c r="I702">
        <v>1</v>
      </c>
      <c r="J702" t="str">
        <f>VLOOKUP(K702,$AJ$2:$AK$7,2,FALSE)</f>
        <v>S006</v>
      </c>
      <c r="K702" t="s">
        <v>1102</v>
      </c>
      <c r="L702">
        <v>4.3</v>
      </c>
      <c r="M702" t="str">
        <f>IFERROR(VLOOKUP(TRIM(N702),$AP$2:$AQ$12,2,FALSE),"W001")</f>
        <v>W009</v>
      </c>
      <c r="N702" t="s">
        <v>1060</v>
      </c>
      <c r="O702" t="s">
        <v>1060</v>
      </c>
      <c r="P702" t="str">
        <f>VLOOKUP(O702,$AL$2:$AM$12,2,FALSE)</f>
        <v>North</v>
      </c>
      <c r="Q702" t="s">
        <v>1084</v>
      </c>
      <c r="R702">
        <v>39</v>
      </c>
      <c r="S702" t="s">
        <v>1079</v>
      </c>
      <c r="T702">
        <f t="shared" si="71"/>
        <v>1</v>
      </c>
      <c r="U702">
        <v>11.7</v>
      </c>
      <c r="V702">
        <f t="shared" si="72"/>
        <v>6</v>
      </c>
      <c r="W702" t="s">
        <v>1088</v>
      </c>
      <c r="X702" t="s">
        <v>1091</v>
      </c>
      <c r="Y702">
        <f t="shared" si="73"/>
        <v>0</v>
      </c>
      <c r="Z702" t="s">
        <v>1108</v>
      </c>
      <c r="AA702" t="str">
        <f t="shared" si="74"/>
        <v>Low</v>
      </c>
      <c r="AB702" t="s">
        <v>1103</v>
      </c>
      <c r="AC702" t="str">
        <f t="shared" si="75"/>
        <v>Yes</v>
      </c>
      <c r="AD702">
        <v>5</v>
      </c>
      <c r="AE702">
        <v>11561</v>
      </c>
      <c r="AF702">
        <v>4624.4000000000005</v>
      </c>
      <c r="AG702">
        <f t="shared" si="76"/>
        <v>6924.9</v>
      </c>
    </row>
    <row r="703" spans="1:33" x14ac:dyDescent="0.25">
      <c r="A703">
        <v>1702</v>
      </c>
      <c r="B703" s="1">
        <v>44868</v>
      </c>
      <c r="C703" s="1">
        <v>44869</v>
      </c>
      <c r="D703" s="1">
        <v>44873</v>
      </c>
      <c r="E703" t="s">
        <v>1066</v>
      </c>
      <c r="F703" t="s">
        <v>731</v>
      </c>
      <c r="G703" t="s">
        <v>1067</v>
      </c>
      <c r="H703" t="str">
        <f t="shared" si="70"/>
        <v>Clothing</v>
      </c>
      <c r="I703">
        <v>7</v>
      </c>
      <c r="J703" t="str">
        <f>VLOOKUP(K703,$AJ$2:$AK$7,2,FALSE)</f>
        <v>S001</v>
      </c>
      <c r="K703" t="s">
        <v>1097</v>
      </c>
      <c r="L703">
        <v>4.7</v>
      </c>
      <c r="M703" t="str">
        <f>IFERROR(VLOOKUP(TRIM(N703),$AP$2:$AQ$12,2,FALSE),"W001")</f>
        <v>W009</v>
      </c>
      <c r="N703" t="s">
        <v>1060</v>
      </c>
      <c r="O703" t="s">
        <v>1055</v>
      </c>
      <c r="P703" t="str">
        <f>VLOOKUP(O703,$AL$2:$AM$12,2,FALSE)</f>
        <v>South</v>
      </c>
      <c r="Q703" t="s">
        <v>1081</v>
      </c>
      <c r="R703">
        <v>1049</v>
      </c>
      <c r="S703" t="s">
        <v>1078</v>
      </c>
      <c r="T703">
        <f t="shared" si="71"/>
        <v>5</v>
      </c>
      <c r="U703">
        <v>209.8</v>
      </c>
      <c r="V703">
        <f t="shared" si="72"/>
        <v>5</v>
      </c>
      <c r="W703" t="s">
        <v>1086</v>
      </c>
      <c r="X703" t="s">
        <v>1090</v>
      </c>
      <c r="Y703">
        <f t="shared" si="73"/>
        <v>209.8</v>
      </c>
      <c r="Z703" t="s">
        <v>1108</v>
      </c>
      <c r="AA703" t="str">
        <f t="shared" si="74"/>
        <v>Low</v>
      </c>
      <c r="AB703" t="s">
        <v>1103</v>
      </c>
      <c r="AC703" t="str">
        <f t="shared" si="75"/>
        <v>Yes</v>
      </c>
      <c r="AD703">
        <v>5</v>
      </c>
      <c r="AE703">
        <v>9891</v>
      </c>
      <c r="AF703">
        <v>3956.4</v>
      </c>
      <c r="AG703">
        <f t="shared" si="76"/>
        <v>5724.8</v>
      </c>
    </row>
    <row r="704" spans="1:33" x14ac:dyDescent="0.25">
      <c r="A704">
        <v>1703</v>
      </c>
      <c r="B704" s="1">
        <v>44720</v>
      </c>
      <c r="C704" s="1">
        <v>44723</v>
      </c>
      <c r="D704" s="1">
        <v>44727</v>
      </c>
      <c r="E704" t="s">
        <v>1066</v>
      </c>
      <c r="F704" t="s">
        <v>732</v>
      </c>
      <c r="G704" t="s">
        <v>1069</v>
      </c>
      <c r="H704" t="str">
        <f t="shared" si="70"/>
        <v>Furniture</v>
      </c>
      <c r="I704">
        <v>7</v>
      </c>
      <c r="J704" t="str">
        <f>VLOOKUP(K704,$AJ$2:$AK$7,2,FALSE)</f>
        <v>S002</v>
      </c>
      <c r="K704" t="s">
        <v>1098</v>
      </c>
      <c r="L704">
        <v>3.1</v>
      </c>
      <c r="M704" t="str">
        <f>IFERROR(VLOOKUP(TRIM(N704),$AP$2:$AQ$12,2,FALSE),"W001")</f>
        <v>W005</v>
      </c>
      <c r="N704" t="s">
        <v>1055</v>
      </c>
      <c r="O704" t="s">
        <v>1063</v>
      </c>
      <c r="P704" t="str">
        <f>VLOOKUP(O704,$AL$2:$AM$12,2,FALSE)</f>
        <v>South</v>
      </c>
      <c r="Q704" t="s">
        <v>1083</v>
      </c>
      <c r="R704">
        <v>649</v>
      </c>
      <c r="S704" t="s">
        <v>1066</v>
      </c>
      <c r="T704">
        <f t="shared" si="71"/>
        <v>2</v>
      </c>
      <c r="U704">
        <v>324.5</v>
      </c>
      <c r="V704">
        <f t="shared" si="72"/>
        <v>10</v>
      </c>
      <c r="W704" t="s">
        <v>1086</v>
      </c>
      <c r="X704" t="s">
        <v>1091</v>
      </c>
      <c r="Y704">
        <f t="shared" si="73"/>
        <v>324.5</v>
      </c>
      <c r="Z704" t="s">
        <v>1108</v>
      </c>
      <c r="AA704" t="str">
        <f t="shared" si="74"/>
        <v>Medium</v>
      </c>
      <c r="AB704" t="s">
        <v>1104</v>
      </c>
      <c r="AC704" t="str">
        <f t="shared" si="75"/>
        <v>Yes</v>
      </c>
      <c r="AD704">
        <v>1</v>
      </c>
      <c r="AE704">
        <v>86905</v>
      </c>
      <c r="AF704">
        <v>34762</v>
      </c>
      <c r="AG704">
        <f t="shared" si="76"/>
        <v>51818.5</v>
      </c>
    </row>
    <row r="705" spans="1:33" x14ac:dyDescent="0.25">
      <c r="A705">
        <v>1704</v>
      </c>
      <c r="B705" s="1">
        <v>45377</v>
      </c>
      <c r="C705" s="1">
        <v>45378</v>
      </c>
      <c r="D705" s="1">
        <v>45383</v>
      </c>
      <c r="E705" t="s">
        <v>1066</v>
      </c>
      <c r="F705" t="s">
        <v>733</v>
      </c>
      <c r="G705" t="s">
        <v>1071</v>
      </c>
      <c r="H705" t="str">
        <f t="shared" si="70"/>
        <v>Clothing</v>
      </c>
      <c r="I705">
        <v>9</v>
      </c>
      <c r="J705" t="str">
        <f>VLOOKUP(K705,$AJ$2:$AK$7,2,FALSE)</f>
        <v>S001</v>
      </c>
      <c r="K705" t="s">
        <v>1097</v>
      </c>
      <c r="L705">
        <v>4.4000000000000004</v>
      </c>
      <c r="M705" t="str">
        <f>IFERROR(VLOOKUP(TRIM(N705),$AP$2:$AQ$12,2,FALSE),"W001")</f>
        <v>W001</v>
      </c>
      <c r="N705" t="s">
        <v>1047</v>
      </c>
      <c r="O705" t="s">
        <v>1062</v>
      </c>
      <c r="P705" t="str">
        <f>VLOOKUP(O705,$AL$2:$AM$12,2,FALSE)</f>
        <v>North</v>
      </c>
      <c r="Q705" t="s">
        <v>1083</v>
      </c>
      <c r="R705">
        <v>1286</v>
      </c>
      <c r="S705" t="s">
        <v>1078</v>
      </c>
      <c r="T705">
        <f t="shared" si="71"/>
        <v>3</v>
      </c>
      <c r="U705">
        <v>643</v>
      </c>
      <c r="V705">
        <f t="shared" si="72"/>
        <v>10</v>
      </c>
      <c r="W705" t="s">
        <v>1086</v>
      </c>
      <c r="X705" t="s">
        <v>1091</v>
      </c>
      <c r="Y705">
        <f t="shared" si="73"/>
        <v>643</v>
      </c>
      <c r="Z705" t="s">
        <v>1108</v>
      </c>
      <c r="AA705" t="str">
        <f t="shared" si="74"/>
        <v>Medium</v>
      </c>
      <c r="AB705" t="s">
        <v>1104</v>
      </c>
      <c r="AC705" t="str">
        <f t="shared" si="75"/>
        <v>Yes</v>
      </c>
      <c r="AD705">
        <v>1</v>
      </c>
      <c r="AE705">
        <v>14427</v>
      </c>
      <c r="AF705">
        <v>5770.8</v>
      </c>
      <c r="AG705">
        <f t="shared" si="76"/>
        <v>8013.2000000000007</v>
      </c>
    </row>
    <row r="706" spans="1:33" x14ac:dyDescent="0.25">
      <c r="A706">
        <v>1705</v>
      </c>
      <c r="B706" s="1">
        <v>45370</v>
      </c>
      <c r="C706" s="1">
        <v>45373</v>
      </c>
      <c r="D706" s="1">
        <v>45380</v>
      </c>
      <c r="E706" t="s">
        <v>1064</v>
      </c>
      <c r="F706" t="s">
        <v>734</v>
      </c>
      <c r="G706" t="s">
        <v>1071</v>
      </c>
      <c r="H706" t="str">
        <f t="shared" si="70"/>
        <v>Clothing</v>
      </c>
      <c r="I706">
        <v>5</v>
      </c>
      <c r="J706" t="str">
        <f>VLOOKUP(K706,$AJ$2:$AK$7,2,FALSE)</f>
        <v>S004</v>
      </c>
      <c r="K706" t="s">
        <v>1100</v>
      </c>
      <c r="L706">
        <v>4.5</v>
      </c>
      <c r="M706" t="str">
        <f>IFERROR(VLOOKUP(TRIM(N706),$AP$2:$AQ$12,2,FALSE),"W001")</f>
        <v>W008</v>
      </c>
      <c r="N706" t="s">
        <v>1061</v>
      </c>
      <c r="O706" t="s">
        <v>1060</v>
      </c>
      <c r="P706" t="str">
        <f>VLOOKUP(O706,$AL$2:$AM$12,2,FALSE)</f>
        <v>North</v>
      </c>
      <c r="Q706" t="s">
        <v>1080</v>
      </c>
      <c r="R706">
        <v>1143</v>
      </c>
      <c r="S706" t="s">
        <v>1078</v>
      </c>
      <c r="T706">
        <f t="shared" si="71"/>
        <v>6</v>
      </c>
      <c r="U706">
        <v>171.45</v>
      </c>
      <c r="V706">
        <f t="shared" si="72"/>
        <v>4</v>
      </c>
      <c r="W706" t="s">
        <v>1086</v>
      </c>
      <c r="X706" t="s">
        <v>1091</v>
      </c>
      <c r="Y706">
        <f t="shared" si="73"/>
        <v>171.45</v>
      </c>
      <c r="Z706" t="s">
        <v>1108</v>
      </c>
      <c r="AA706" t="str">
        <f t="shared" si="74"/>
        <v>Low</v>
      </c>
      <c r="AB706" t="s">
        <v>1103</v>
      </c>
      <c r="AC706" t="str">
        <f t="shared" si="75"/>
        <v>Yes</v>
      </c>
      <c r="AD706">
        <v>4</v>
      </c>
      <c r="AE706">
        <v>12770</v>
      </c>
      <c r="AF706">
        <v>5108</v>
      </c>
      <c r="AG706">
        <f t="shared" si="76"/>
        <v>7490.55</v>
      </c>
    </row>
    <row r="707" spans="1:33" x14ac:dyDescent="0.25">
      <c r="A707">
        <v>1706</v>
      </c>
      <c r="B707" s="1">
        <v>46058</v>
      </c>
      <c r="C707" s="1">
        <v>46060</v>
      </c>
      <c r="D707" s="1">
        <v>46066</v>
      </c>
      <c r="E707" t="s">
        <v>1066</v>
      </c>
      <c r="F707" t="s">
        <v>735</v>
      </c>
      <c r="G707" t="s">
        <v>1068</v>
      </c>
      <c r="H707" t="str">
        <f t="shared" ref="H707:H770" si="77">IF(OR(G707="Laptop",G707="Mobile"),"Electronics",
IF(OR(G707="T-Shirt",G707="Jeans"),"Clothing",
IF(OR(G707="Table",G707="Chair"),"Furniture","")))</f>
        <v>Electronics</v>
      </c>
      <c r="I707">
        <v>8</v>
      </c>
      <c r="J707" t="str">
        <f>VLOOKUP(K707,$AJ$2:$AK$7,2,FALSE)</f>
        <v>S005</v>
      </c>
      <c r="K707" t="s">
        <v>1101</v>
      </c>
      <c r="L707">
        <v>4.9000000000000004</v>
      </c>
      <c r="M707" t="str">
        <f>IFERROR(VLOOKUP(TRIM(N707),$AP$2:$AQ$12,2,FALSE),"W001")</f>
        <v>W007</v>
      </c>
      <c r="N707" t="s">
        <v>1062</v>
      </c>
      <c r="O707" t="s">
        <v>1063</v>
      </c>
      <c r="P707" t="str">
        <f>VLOOKUP(O707,$AL$2:$AM$12,2,FALSE)</f>
        <v>South</v>
      </c>
      <c r="Q707" t="s">
        <v>1084</v>
      </c>
      <c r="R707">
        <v>1132</v>
      </c>
      <c r="S707" t="s">
        <v>1078</v>
      </c>
      <c r="T707">
        <f t="shared" ref="T707:T770" si="78">IF(Q707="Air",ROUND(R707/700,0)+1,
IF(Q707="Express",ROUND(R707/500,0)+1,
IF(Q707="Courier",ROUND(R707/350,0)+1,
IF(Q707="Road",ROUND(R707/250,0)+1,
IF(Q707="Rail",ROUND(R707/300,0)+2,
IF(Q707="Ship",ROUND(R707/200,0)+3,""))))))</f>
        <v>4</v>
      </c>
      <c r="U707">
        <v>339.6</v>
      </c>
      <c r="V707">
        <f t="shared" ref="V707:V770" si="79">IF(Q707="Road",5,
IF(Q707="Rail",4,
IF(Q707="Air",10,
IF(Q707="Ship",3,
IF(Q707="Courier",6,
IF(Q707="Express",8))))))</f>
        <v>6</v>
      </c>
      <c r="W707" t="s">
        <v>1087</v>
      </c>
      <c r="X707" t="s">
        <v>1090</v>
      </c>
      <c r="Y707">
        <f t="shared" ref="Y707:Y770" si="80">IF(W707="COD",U707,0)</f>
        <v>0</v>
      </c>
      <c r="Z707" t="s">
        <v>1108</v>
      </c>
      <c r="AA707" t="str">
        <f t="shared" ref="AA707:AA770" si="81">IF(Z707="Delayed","High",
IF(OR(Q707="Air",Q707="Express"),"Medium","Low"))</f>
        <v>Low</v>
      </c>
      <c r="AB707" t="s">
        <v>1103</v>
      </c>
      <c r="AC707" t="str">
        <f t="shared" ref="AC707:AC770" si="82">IF(Z707="Delayed","No","Yes")</f>
        <v>Yes</v>
      </c>
      <c r="AD707">
        <v>4</v>
      </c>
      <c r="AE707">
        <v>544096</v>
      </c>
      <c r="AF707">
        <v>217638.40000000002</v>
      </c>
      <c r="AG707">
        <f t="shared" ref="AG707:AG770" si="83">AE707 - AF707-U707</f>
        <v>326118</v>
      </c>
    </row>
    <row r="708" spans="1:33" x14ac:dyDescent="0.25">
      <c r="A708">
        <v>1707</v>
      </c>
      <c r="B708" s="1">
        <v>46301</v>
      </c>
      <c r="C708" s="1">
        <v>46303</v>
      </c>
      <c r="D708" s="1">
        <v>46309</v>
      </c>
      <c r="E708" t="s">
        <v>1064</v>
      </c>
      <c r="F708" t="s">
        <v>736</v>
      </c>
      <c r="G708" t="s">
        <v>1071</v>
      </c>
      <c r="H708" t="str">
        <f t="shared" si="77"/>
        <v>Clothing</v>
      </c>
      <c r="I708">
        <v>2</v>
      </c>
      <c r="J708" t="str">
        <f>VLOOKUP(K708,$AJ$2:$AK$7,2,FALSE)</f>
        <v>S001</v>
      </c>
      <c r="K708" t="s">
        <v>1097</v>
      </c>
      <c r="L708">
        <v>3</v>
      </c>
      <c r="M708" t="str">
        <f>IFERROR(VLOOKUP(TRIM(N708),$AP$2:$AQ$12,2,FALSE),"W001")</f>
        <v>W008</v>
      </c>
      <c r="N708" t="s">
        <v>1061</v>
      </c>
      <c r="O708" t="s">
        <v>1060</v>
      </c>
      <c r="P708" t="str">
        <f>VLOOKUP(O708,$AL$2:$AM$12,2,FALSE)</f>
        <v>North</v>
      </c>
      <c r="Q708" t="s">
        <v>1082</v>
      </c>
      <c r="R708">
        <v>866</v>
      </c>
      <c r="S708" t="s">
        <v>1078</v>
      </c>
      <c r="T708">
        <f t="shared" si="78"/>
        <v>3</v>
      </c>
      <c r="U708">
        <v>346.4</v>
      </c>
      <c r="V708">
        <f t="shared" si="79"/>
        <v>8</v>
      </c>
      <c r="W708" t="s">
        <v>1086</v>
      </c>
      <c r="X708" t="s">
        <v>1091</v>
      </c>
      <c r="Y708">
        <f t="shared" si="80"/>
        <v>346.4</v>
      </c>
      <c r="Z708" t="s">
        <v>1109</v>
      </c>
      <c r="AA708" t="str">
        <f t="shared" si="81"/>
        <v>High</v>
      </c>
      <c r="AB708" t="s">
        <v>1104</v>
      </c>
      <c r="AC708" t="str">
        <f t="shared" si="82"/>
        <v>No</v>
      </c>
      <c r="AD708">
        <v>1</v>
      </c>
      <c r="AE708">
        <v>5500</v>
      </c>
      <c r="AF708">
        <v>2200</v>
      </c>
      <c r="AG708">
        <f t="shared" si="83"/>
        <v>2953.6</v>
      </c>
    </row>
    <row r="709" spans="1:33" x14ac:dyDescent="0.25">
      <c r="A709">
        <v>1708</v>
      </c>
      <c r="B709" s="1">
        <v>45209</v>
      </c>
      <c r="C709" s="1">
        <v>45211</v>
      </c>
      <c r="D709" s="1">
        <v>45216</v>
      </c>
      <c r="E709" t="s">
        <v>1064</v>
      </c>
      <c r="F709" t="s">
        <v>737</v>
      </c>
      <c r="G709" t="s">
        <v>1068</v>
      </c>
      <c r="H709" t="str">
        <f t="shared" si="77"/>
        <v>Electronics</v>
      </c>
      <c r="I709">
        <v>8</v>
      </c>
      <c r="J709" t="str">
        <f>VLOOKUP(K709,$AJ$2:$AK$7,2,FALSE)</f>
        <v>S001</v>
      </c>
      <c r="K709" t="s">
        <v>1097</v>
      </c>
      <c r="L709">
        <v>4.5999999999999996</v>
      </c>
      <c r="M709" t="str">
        <f>IFERROR(VLOOKUP(TRIM(N709),$AP$2:$AQ$12,2,FALSE),"W001")</f>
        <v>W005</v>
      </c>
      <c r="N709" t="s">
        <v>1055</v>
      </c>
      <c r="O709" t="s">
        <v>1059</v>
      </c>
      <c r="P709" t="str">
        <f>VLOOKUP(O709,$AL$2:$AM$12,2,FALSE)</f>
        <v>North</v>
      </c>
      <c r="Q709" t="s">
        <v>1084</v>
      </c>
      <c r="R709">
        <v>575</v>
      </c>
      <c r="S709" t="s">
        <v>1066</v>
      </c>
      <c r="T709">
        <f t="shared" si="78"/>
        <v>3</v>
      </c>
      <c r="U709">
        <v>172.5</v>
      </c>
      <c r="V709">
        <f t="shared" si="79"/>
        <v>6</v>
      </c>
      <c r="W709" t="s">
        <v>1088</v>
      </c>
      <c r="X709" t="s">
        <v>1089</v>
      </c>
      <c r="Y709">
        <f t="shared" si="80"/>
        <v>0</v>
      </c>
      <c r="Z709" t="s">
        <v>1108</v>
      </c>
      <c r="AA709" t="str">
        <f t="shared" si="81"/>
        <v>Low</v>
      </c>
      <c r="AB709" t="s">
        <v>1103</v>
      </c>
      <c r="AC709" t="str">
        <f t="shared" si="82"/>
        <v>Yes</v>
      </c>
      <c r="AD709">
        <v>4</v>
      </c>
      <c r="AE709">
        <v>481504</v>
      </c>
      <c r="AF709">
        <v>192601.60000000001</v>
      </c>
      <c r="AG709">
        <f t="shared" si="83"/>
        <v>288729.90000000002</v>
      </c>
    </row>
    <row r="710" spans="1:33" x14ac:dyDescent="0.25">
      <c r="A710">
        <v>1709</v>
      </c>
      <c r="B710" s="1">
        <v>45639</v>
      </c>
      <c r="C710" s="1">
        <v>45641</v>
      </c>
      <c r="D710" s="1">
        <v>45648</v>
      </c>
      <c r="E710" t="s">
        <v>1064</v>
      </c>
      <c r="F710" t="s">
        <v>738</v>
      </c>
      <c r="G710" t="s">
        <v>1071</v>
      </c>
      <c r="H710" t="str">
        <f t="shared" si="77"/>
        <v>Clothing</v>
      </c>
      <c r="I710">
        <v>8</v>
      </c>
      <c r="J710" t="str">
        <f>VLOOKUP(K710,$AJ$2:$AK$7,2,FALSE)</f>
        <v>S005</v>
      </c>
      <c r="K710" t="s">
        <v>1101</v>
      </c>
      <c r="L710">
        <v>3.6</v>
      </c>
      <c r="M710" t="str">
        <f>IFERROR(VLOOKUP(TRIM(N710),$AP$2:$AQ$12,2,FALSE),"W001")</f>
        <v>W010</v>
      </c>
      <c r="N710" t="s">
        <v>1063</v>
      </c>
      <c r="O710" t="s">
        <v>1047</v>
      </c>
      <c r="P710" t="str">
        <f>VLOOKUP(O710,$AL$2:$AM$12,2,FALSE)</f>
        <v>West</v>
      </c>
      <c r="Q710" t="s">
        <v>1083</v>
      </c>
      <c r="R710">
        <v>610</v>
      </c>
      <c r="S710" t="s">
        <v>1066</v>
      </c>
      <c r="T710">
        <f t="shared" si="78"/>
        <v>2</v>
      </c>
      <c r="U710">
        <v>305</v>
      </c>
      <c r="V710">
        <f t="shared" si="79"/>
        <v>10</v>
      </c>
      <c r="W710" t="s">
        <v>1086</v>
      </c>
      <c r="X710" t="s">
        <v>1091</v>
      </c>
      <c r="Y710">
        <f t="shared" si="80"/>
        <v>305</v>
      </c>
      <c r="Z710" t="s">
        <v>1108</v>
      </c>
      <c r="AA710" t="str">
        <f t="shared" si="81"/>
        <v>Medium</v>
      </c>
      <c r="AB710" t="s">
        <v>1103</v>
      </c>
      <c r="AC710" t="str">
        <f t="shared" si="82"/>
        <v>Yes</v>
      </c>
      <c r="AD710">
        <v>5</v>
      </c>
      <c r="AE710">
        <v>9840</v>
      </c>
      <c r="AF710">
        <v>3936</v>
      </c>
      <c r="AG710">
        <f t="shared" si="83"/>
        <v>5599</v>
      </c>
    </row>
    <row r="711" spans="1:33" x14ac:dyDescent="0.25">
      <c r="A711">
        <v>1710</v>
      </c>
      <c r="B711" s="1">
        <v>45064</v>
      </c>
      <c r="C711" s="1">
        <v>45065</v>
      </c>
      <c r="D711" s="1">
        <v>45071</v>
      </c>
      <c r="E711" t="s">
        <v>1065</v>
      </c>
      <c r="F711" t="s">
        <v>739</v>
      </c>
      <c r="G711" t="s">
        <v>1071</v>
      </c>
      <c r="H711" t="str">
        <f t="shared" si="77"/>
        <v>Clothing</v>
      </c>
      <c r="I711">
        <v>4</v>
      </c>
      <c r="J711" t="str">
        <f>VLOOKUP(K711,$AJ$2:$AK$7,2,FALSE)</f>
        <v>S005</v>
      </c>
      <c r="K711" t="s">
        <v>1101</v>
      </c>
      <c r="L711">
        <v>4.9000000000000004</v>
      </c>
      <c r="M711" t="str">
        <f>IFERROR(VLOOKUP(TRIM(N711),$AP$2:$AQ$12,2,FALSE),"W001")</f>
        <v>W007</v>
      </c>
      <c r="N711" t="s">
        <v>1062</v>
      </c>
      <c r="O711" t="s">
        <v>1053</v>
      </c>
      <c r="P711" t="str">
        <f>VLOOKUP(O711,$AL$2:$AM$12,2,FALSE)</f>
        <v>South</v>
      </c>
      <c r="Q711" t="s">
        <v>1084</v>
      </c>
      <c r="R711">
        <v>660</v>
      </c>
      <c r="S711" t="s">
        <v>1066</v>
      </c>
      <c r="T711">
        <f t="shared" si="78"/>
        <v>3</v>
      </c>
      <c r="U711">
        <v>198</v>
      </c>
      <c r="V711">
        <f t="shared" si="79"/>
        <v>6</v>
      </c>
      <c r="W711" t="s">
        <v>1087</v>
      </c>
      <c r="X711" t="s">
        <v>1091</v>
      </c>
      <c r="Y711">
        <f t="shared" si="80"/>
        <v>0</v>
      </c>
      <c r="Z711" t="s">
        <v>1108</v>
      </c>
      <c r="AA711" t="str">
        <f t="shared" si="81"/>
        <v>Low</v>
      </c>
      <c r="AB711" t="s">
        <v>1103</v>
      </c>
      <c r="AC711" t="str">
        <f t="shared" si="82"/>
        <v>Yes</v>
      </c>
      <c r="AD711">
        <v>4</v>
      </c>
      <c r="AE711">
        <v>5008</v>
      </c>
      <c r="AF711">
        <v>2003.2</v>
      </c>
      <c r="AG711">
        <f t="shared" si="83"/>
        <v>2806.8</v>
      </c>
    </row>
    <row r="712" spans="1:33" x14ac:dyDescent="0.25">
      <c r="A712">
        <v>1711</v>
      </c>
      <c r="B712" s="1">
        <v>46353</v>
      </c>
      <c r="C712" s="1">
        <v>46355</v>
      </c>
      <c r="D712" s="1">
        <v>46361</v>
      </c>
      <c r="E712" t="s">
        <v>1066</v>
      </c>
      <c r="F712" t="s">
        <v>740</v>
      </c>
      <c r="G712" t="s">
        <v>1071</v>
      </c>
      <c r="H712" t="str">
        <f t="shared" si="77"/>
        <v>Clothing</v>
      </c>
      <c r="I712">
        <v>5</v>
      </c>
      <c r="J712" t="str">
        <f>VLOOKUP(K712,$AJ$2:$AK$7,2,FALSE)</f>
        <v>S001</v>
      </c>
      <c r="K712" t="s">
        <v>1097</v>
      </c>
      <c r="L712">
        <v>3.9</v>
      </c>
      <c r="M712" t="str">
        <f>IFERROR(VLOOKUP(TRIM(N712),$AP$2:$AQ$12,2,FALSE),"W001")</f>
        <v>W004</v>
      </c>
      <c r="N712" t="s">
        <v>1053</v>
      </c>
      <c r="O712" t="s">
        <v>1051</v>
      </c>
      <c r="P712" t="str">
        <f>VLOOKUP(O712,$AL$2:$AM$12,2,FALSE)</f>
        <v>West</v>
      </c>
      <c r="Q712" t="s">
        <v>1085</v>
      </c>
      <c r="R712">
        <v>1656</v>
      </c>
      <c r="S712" t="s">
        <v>1078</v>
      </c>
      <c r="T712">
        <f t="shared" si="78"/>
        <v>11</v>
      </c>
      <c r="U712">
        <v>165.6</v>
      </c>
      <c r="V712">
        <f t="shared" si="79"/>
        <v>3</v>
      </c>
      <c r="W712" t="s">
        <v>1087</v>
      </c>
      <c r="X712" t="s">
        <v>1091</v>
      </c>
      <c r="Y712">
        <f t="shared" si="80"/>
        <v>0</v>
      </c>
      <c r="Z712" t="s">
        <v>1108</v>
      </c>
      <c r="AA712" t="str">
        <f t="shared" si="81"/>
        <v>Low</v>
      </c>
      <c r="AB712" t="s">
        <v>1103</v>
      </c>
      <c r="AC712" t="str">
        <f t="shared" si="82"/>
        <v>Yes</v>
      </c>
      <c r="AD712">
        <v>4</v>
      </c>
      <c r="AE712">
        <v>10685</v>
      </c>
      <c r="AF712">
        <v>4274</v>
      </c>
      <c r="AG712">
        <f t="shared" si="83"/>
        <v>6245.4</v>
      </c>
    </row>
    <row r="713" spans="1:33" x14ac:dyDescent="0.25">
      <c r="A713">
        <v>1712</v>
      </c>
      <c r="B713" s="1">
        <v>44526</v>
      </c>
      <c r="C713" s="1">
        <v>44527</v>
      </c>
      <c r="D713" s="1">
        <v>44530</v>
      </c>
      <c r="E713" t="s">
        <v>1065</v>
      </c>
      <c r="F713" t="s">
        <v>741</v>
      </c>
      <c r="G713" t="s">
        <v>1067</v>
      </c>
      <c r="H713" t="str">
        <f t="shared" si="77"/>
        <v>Clothing</v>
      </c>
      <c r="I713">
        <v>10</v>
      </c>
      <c r="J713" t="str">
        <f>VLOOKUP(K713,$AJ$2:$AK$7,2,FALSE)</f>
        <v>S003</v>
      </c>
      <c r="K713" t="s">
        <v>1099</v>
      </c>
      <c r="L713">
        <v>3.6</v>
      </c>
      <c r="M713" t="str">
        <f>IFERROR(VLOOKUP(TRIM(N713),$AP$2:$AQ$12,2,FALSE),"W001")</f>
        <v>W008</v>
      </c>
      <c r="N713" t="s">
        <v>1061</v>
      </c>
      <c r="O713" t="s">
        <v>1059</v>
      </c>
      <c r="P713" t="str">
        <f>VLOOKUP(O713,$AL$2:$AM$12,2,FALSE)</f>
        <v>North</v>
      </c>
      <c r="Q713" t="s">
        <v>1081</v>
      </c>
      <c r="R713">
        <v>127</v>
      </c>
      <c r="S713" t="s">
        <v>1079</v>
      </c>
      <c r="T713">
        <f t="shared" si="78"/>
        <v>2</v>
      </c>
      <c r="U713">
        <v>25.4</v>
      </c>
      <c r="V713">
        <f t="shared" si="79"/>
        <v>5</v>
      </c>
      <c r="W713" t="s">
        <v>1087</v>
      </c>
      <c r="X713" t="s">
        <v>1091</v>
      </c>
      <c r="Y713">
        <f t="shared" si="80"/>
        <v>0</v>
      </c>
      <c r="Z713" t="s">
        <v>1108</v>
      </c>
      <c r="AA713" t="str">
        <f t="shared" si="81"/>
        <v>Low</v>
      </c>
      <c r="AB713" t="s">
        <v>1103</v>
      </c>
      <c r="AC713" t="str">
        <f t="shared" si="82"/>
        <v>Yes</v>
      </c>
      <c r="AD713">
        <v>5</v>
      </c>
      <c r="AE713">
        <v>10120</v>
      </c>
      <c r="AF713">
        <v>4048</v>
      </c>
      <c r="AG713">
        <f t="shared" si="83"/>
        <v>6046.6</v>
      </c>
    </row>
    <row r="714" spans="1:33" x14ac:dyDescent="0.25">
      <c r="A714">
        <v>1713</v>
      </c>
      <c r="B714" s="1">
        <v>46193</v>
      </c>
      <c r="C714" s="1">
        <v>46194</v>
      </c>
      <c r="D714" s="1">
        <v>46199</v>
      </c>
      <c r="E714" t="s">
        <v>1066</v>
      </c>
      <c r="F714" t="s">
        <v>742</v>
      </c>
      <c r="G714" t="s">
        <v>1070</v>
      </c>
      <c r="H714" t="str">
        <f t="shared" si="77"/>
        <v>Furniture</v>
      </c>
      <c r="I714">
        <v>10</v>
      </c>
      <c r="J714" t="str">
        <f>VLOOKUP(K714,$AJ$2:$AK$7,2,FALSE)</f>
        <v>S004</v>
      </c>
      <c r="K714" t="s">
        <v>1100</v>
      </c>
      <c r="L714">
        <v>4.0999999999999996</v>
      </c>
      <c r="M714" t="str">
        <f>IFERROR(VLOOKUP(TRIM(N714),$AP$2:$AQ$12,2,FALSE),"W001")</f>
        <v>W003</v>
      </c>
      <c r="N714" t="s">
        <v>1051</v>
      </c>
      <c r="O714" t="s">
        <v>1061</v>
      </c>
      <c r="P714" t="str">
        <f>VLOOKUP(O714,$AL$2:$AM$12,2,FALSE)</f>
        <v>West</v>
      </c>
      <c r="Q714" t="s">
        <v>1080</v>
      </c>
      <c r="R714">
        <v>934</v>
      </c>
      <c r="S714" t="s">
        <v>1078</v>
      </c>
      <c r="T714">
        <f t="shared" si="78"/>
        <v>5</v>
      </c>
      <c r="U714">
        <v>140.1</v>
      </c>
      <c r="V714">
        <f t="shared" si="79"/>
        <v>4</v>
      </c>
      <c r="W714" t="s">
        <v>1086</v>
      </c>
      <c r="X714" t="s">
        <v>1089</v>
      </c>
      <c r="Y714">
        <f t="shared" si="80"/>
        <v>140.1</v>
      </c>
      <c r="Z714" t="s">
        <v>1108</v>
      </c>
      <c r="AA714" t="str">
        <f t="shared" si="81"/>
        <v>Low</v>
      </c>
      <c r="AB714" t="s">
        <v>1103</v>
      </c>
      <c r="AC714" t="str">
        <f t="shared" si="82"/>
        <v>Yes</v>
      </c>
      <c r="AD714">
        <v>5</v>
      </c>
      <c r="AE714">
        <v>52850</v>
      </c>
      <c r="AF714">
        <v>21140</v>
      </c>
      <c r="AG714">
        <f t="shared" si="83"/>
        <v>31569.9</v>
      </c>
    </row>
    <row r="715" spans="1:33" x14ac:dyDescent="0.25">
      <c r="A715">
        <v>1714</v>
      </c>
      <c r="B715" s="1">
        <v>45832</v>
      </c>
      <c r="C715" s="1">
        <v>45835</v>
      </c>
      <c r="D715" s="1">
        <v>45841</v>
      </c>
      <c r="E715" t="s">
        <v>1064</v>
      </c>
      <c r="F715" t="s">
        <v>743</v>
      </c>
      <c r="G715" t="s">
        <v>1067</v>
      </c>
      <c r="H715" t="str">
        <f t="shared" si="77"/>
        <v>Clothing</v>
      </c>
      <c r="I715">
        <v>10</v>
      </c>
      <c r="J715" t="str">
        <f>VLOOKUP(K715,$AJ$2:$AK$7,2,FALSE)</f>
        <v>S005</v>
      </c>
      <c r="K715" t="s">
        <v>1101</v>
      </c>
      <c r="L715">
        <v>4.7</v>
      </c>
      <c r="M715" t="str">
        <f>IFERROR(VLOOKUP(TRIM(N715),$AP$2:$AQ$12,2,FALSE),"W001")</f>
        <v>W009</v>
      </c>
      <c r="N715" t="s">
        <v>1060</v>
      </c>
      <c r="O715" t="s">
        <v>1063</v>
      </c>
      <c r="P715" t="str">
        <f>VLOOKUP(O715,$AL$2:$AM$12,2,FALSE)</f>
        <v>South</v>
      </c>
      <c r="Q715" t="s">
        <v>1080</v>
      </c>
      <c r="R715">
        <v>1457</v>
      </c>
      <c r="S715" t="s">
        <v>1078</v>
      </c>
      <c r="T715">
        <f t="shared" si="78"/>
        <v>7</v>
      </c>
      <c r="U715">
        <v>218.55</v>
      </c>
      <c r="V715">
        <f t="shared" si="79"/>
        <v>4</v>
      </c>
      <c r="W715" t="s">
        <v>1086</v>
      </c>
      <c r="X715" t="s">
        <v>1090</v>
      </c>
      <c r="Y715">
        <f t="shared" si="80"/>
        <v>218.55</v>
      </c>
      <c r="Z715" t="s">
        <v>1108</v>
      </c>
      <c r="AA715" t="str">
        <f t="shared" si="81"/>
        <v>Low</v>
      </c>
      <c r="AB715" t="s">
        <v>1103</v>
      </c>
      <c r="AC715" t="str">
        <f t="shared" si="82"/>
        <v>Yes</v>
      </c>
      <c r="AD715">
        <v>5</v>
      </c>
      <c r="AE715">
        <v>7560</v>
      </c>
      <c r="AF715">
        <v>3024</v>
      </c>
      <c r="AG715">
        <f t="shared" si="83"/>
        <v>4317.45</v>
      </c>
    </row>
    <row r="716" spans="1:33" x14ac:dyDescent="0.25">
      <c r="A716">
        <v>1715</v>
      </c>
      <c r="B716" s="1">
        <v>44956</v>
      </c>
      <c r="C716" s="1">
        <v>44958</v>
      </c>
      <c r="D716" s="1">
        <v>44960</v>
      </c>
      <c r="E716" t="s">
        <v>1064</v>
      </c>
      <c r="F716" t="s">
        <v>744</v>
      </c>
      <c r="G716" t="s">
        <v>1069</v>
      </c>
      <c r="H716" t="str">
        <f t="shared" si="77"/>
        <v>Furniture</v>
      </c>
      <c r="I716">
        <v>4</v>
      </c>
      <c r="J716" t="str">
        <f>VLOOKUP(K716,$AJ$2:$AK$7,2,FALSE)</f>
        <v>S006</v>
      </c>
      <c r="K716" t="s">
        <v>1102</v>
      </c>
      <c r="L716">
        <v>3.8</v>
      </c>
      <c r="M716" t="str">
        <f>IFERROR(VLOOKUP(TRIM(N716),$AP$2:$AQ$12,2,FALSE),"W001")</f>
        <v>W007</v>
      </c>
      <c r="N716" t="s">
        <v>1062</v>
      </c>
      <c r="O716" t="s">
        <v>1061</v>
      </c>
      <c r="P716" t="str">
        <f>VLOOKUP(O716,$AL$2:$AM$12,2,FALSE)</f>
        <v>West</v>
      </c>
      <c r="Q716" t="s">
        <v>1082</v>
      </c>
      <c r="R716">
        <v>1829</v>
      </c>
      <c r="S716" t="s">
        <v>1078</v>
      </c>
      <c r="T716">
        <f t="shared" si="78"/>
        <v>5</v>
      </c>
      <c r="U716">
        <v>731.6</v>
      </c>
      <c r="V716">
        <f t="shared" si="79"/>
        <v>8</v>
      </c>
      <c r="W716" t="s">
        <v>1086</v>
      </c>
      <c r="X716" t="s">
        <v>1090</v>
      </c>
      <c r="Y716">
        <f t="shared" si="80"/>
        <v>731.6</v>
      </c>
      <c r="Z716" t="s">
        <v>1109</v>
      </c>
      <c r="AA716" t="str">
        <f t="shared" si="81"/>
        <v>High</v>
      </c>
      <c r="AB716" t="s">
        <v>1104</v>
      </c>
      <c r="AC716" t="str">
        <f t="shared" si="82"/>
        <v>No</v>
      </c>
      <c r="AD716">
        <v>1</v>
      </c>
      <c r="AE716">
        <v>45620</v>
      </c>
      <c r="AF716">
        <v>18248</v>
      </c>
      <c r="AG716">
        <f t="shared" si="83"/>
        <v>26640.400000000001</v>
      </c>
    </row>
    <row r="717" spans="1:33" x14ac:dyDescent="0.25">
      <c r="A717">
        <v>1716</v>
      </c>
      <c r="B717" s="1">
        <v>44899</v>
      </c>
      <c r="C717" s="1">
        <v>44902</v>
      </c>
      <c r="D717" s="1">
        <v>44909</v>
      </c>
      <c r="E717" t="s">
        <v>1065</v>
      </c>
      <c r="F717" t="s">
        <v>745</v>
      </c>
      <c r="G717" t="s">
        <v>1068</v>
      </c>
      <c r="H717" t="str">
        <f t="shared" si="77"/>
        <v>Electronics</v>
      </c>
      <c r="I717">
        <v>6</v>
      </c>
      <c r="J717" t="str">
        <f>VLOOKUP(K717,$AJ$2:$AK$7,2,FALSE)</f>
        <v>S001</v>
      </c>
      <c r="K717" t="s">
        <v>1097</v>
      </c>
      <c r="L717">
        <v>4.3</v>
      </c>
      <c r="M717" t="str">
        <f>IFERROR(VLOOKUP(TRIM(N717),$AP$2:$AQ$12,2,FALSE),"W001")</f>
        <v>W009</v>
      </c>
      <c r="N717" t="s">
        <v>1060</v>
      </c>
      <c r="O717" t="s">
        <v>1060</v>
      </c>
      <c r="P717" t="str">
        <f>VLOOKUP(O717,$AL$2:$AM$12,2,FALSE)</f>
        <v>North</v>
      </c>
      <c r="Q717" t="s">
        <v>1083</v>
      </c>
      <c r="R717">
        <v>33</v>
      </c>
      <c r="S717" t="s">
        <v>1079</v>
      </c>
      <c r="T717">
        <f t="shared" si="78"/>
        <v>1</v>
      </c>
      <c r="U717">
        <v>16.5</v>
      </c>
      <c r="V717">
        <f t="shared" si="79"/>
        <v>10</v>
      </c>
      <c r="W717" t="s">
        <v>1086</v>
      </c>
      <c r="X717" t="s">
        <v>1089</v>
      </c>
      <c r="Y717">
        <f t="shared" si="80"/>
        <v>16.5</v>
      </c>
      <c r="Z717" t="s">
        <v>1108</v>
      </c>
      <c r="AA717" t="str">
        <f t="shared" si="81"/>
        <v>Medium</v>
      </c>
      <c r="AB717" t="s">
        <v>1103</v>
      </c>
      <c r="AC717" t="str">
        <f t="shared" si="82"/>
        <v>Yes</v>
      </c>
      <c r="AD717">
        <v>5</v>
      </c>
      <c r="AE717">
        <v>376992</v>
      </c>
      <c r="AF717">
        <v>150796.80000000002</v>
      </c>
      <c r="AG717">
        <f t="shared" si="83"/>
        <v>226178.69999999998</v>
      </c>
    </row>
    <row r="718" spans="1:33" x14ac:dyDescent="0.25">
      <c r="A718">
        <v>1717</v>
      </c>
      <c r="B718" s="1">
        <v>46035</v>
      </c>
      <c r="C718" s="1">
        <v>46036</v>
      </c>
      <c r="D718" s="1">
        <v>46039</v>
      </c>
      <c r="E718" t="s">
        <v>1065</v>
      </c>
      <c r="F718" t="s">
        <v>746</v>
      </c>
      <c r="G718" t="s">
        <v>1071</v>
      </c>
      <c r="H718" t="str">
        <f t="shared" si="77"/>
        <v>Clothing</v>
      </c>
      <c r="I718">
        <v>9</v>
      </c>
      <c r="J718" t="str">
        <f>VLOOKUP(K718,$AJ$2:$AK$7,2,FALSE)</f>
        <v>S003</v>
      </c>
      <c r="K718" t="s">
        <v>1099</v>
      </c>
      <c r="L718">
        <v>4.3</v>
      </c>
      <c r="M718" t="str">
        <f>IFERROR(VLOOKUP(TRIM(N718),$AP$2:$AQ$12,2,FALSE),"W001")</f>
        <v>W005</v>
      </c>
      <c r="N718" t="s">
        <v>1055</v>
      </c>
      <c r="O718" t="s">
        <v>1047</v>
      </c>
      <c r="P718" t="str">
        <f>VLOOKUP(O718,$AL$2:$AM$12,2,FALSE)</f>
        <v>West</v>
      </c>
      <c r="Q718" t="s">
        <v>1083</v>
      </c>
      <c r="R718">
        <v>276</v>
      </c>
      <c r="S718" t="s">
        <v>1066</v>
      </c>
      <c r="T718">
        <f t="shared" si="78"/>
        <v>1</v>
      </c>
      <c r="U718">
        <v>138</v>
      </c>
      <c r="V718">
        <f t="shared" si="79"/>
        <v>10</v>
      </c>
      <c r="W718" t="s">
        <v>1086</v>
      </c>
      <c r="X718" t="s">
        <v>1091</v>
      </c>
      <c r="Y718">
        <f t="shared" si="80"/>
        <v>138</v>
      </c>
      <c r="Z718" t="s">
        <v>1108</v>
      </c>
      <c r="AA718" t="str">
        <f t="shared" si="81"/>
        <v>Medium</v>
      </c>
      <c r="AB718" t="s">
        <v>1103</v>
      </c>
      <c r="AC718" t="str">
        <f t="shared" si="82"/>
        <v>Yes</v>
      </c>
      <c r="AD718">
        <v>5</v>
      </c>
      <c r="AE718">
        <v>11034</v>
      </c>
      <c r="AF718">
        <v>4413.6000000000004</v>
      </c>
      <c r="AG718">
        <f t="shared" si="83"/>
        <v>6482.4</v>
      </c>
    </row>
    <row r="719" spans="1:33" x14ac:dyDescent="0.25">
      <c r="A719">
        <v>1718</v>
      </c>
      <c r="B719" s="1">
        <v>45333</v>
      </c>
      <c r="C719" s="1">
        <v>45336</v>
      </c>
      <c r="D719" s="1">
        <v>45339</v>
      </c>
      <c r="E719" t="s">
        <v>1065</v>
      </c>
      <c r="F719" t="s">
        <v>747</v>
      </c>
      <c r="G719" t="s">
        <v>1068</v>
      </c>
      <c r="H719" t="str">
        <f t="shared" si="77"/>
        <v>Electronics</v>
      </c>
      <c r="I719">
        <v>3</v>
      </c>
      <c r="J719" t="str">
        <f>VLOOKUP(K719,$AJ$2:$AK$7,2,FALSE)</f>
        <v>S006</v>
      </c>
      <c r="K719" t="s">
        <v>1102</v>
      </c>
      <c r="L719">
        <v>4.5999999999999996</v>
      </c>
      <c r="M719" t="str">
        <f>IFERROR(VLOOKUP(TRIM(N719),$AP$2:$AQ$12,2,FALSE),"W001")</f>
        <v>W004</v>
      </c>
      <c r="N719" t="s">
        <v>1053</v>
      </c>
      <c r="O719" t="s">
        <v>1060</v>
      </c>
      <c r="P719" t="str">
        <f>VLOOKUP(O719,$AL$2:$AM$12,2,FALSE)</f>
        <v>North</v>
      </c>
      <c r="Q719" t="s">
        <v>1081</v>
      </c>
      <c r="R719">
        <v>1310</v>
      </c>
      <c r="S719" t="s">
        <v>1078</v>
      </c>
      <c r="T719">
        <f t="shared" si="78"/>
        <v>6</v>
      </c>
      <c r="U719">
        <v>262</v>
      </c>
      <c r="V719">
        <f t="shared" si="79"/>
        <v>5</v>
      </c>
      <c r="W719" t="s">
        <v>1088</v>
      </c>
      <c r="X719" t="s">
        <v>1090</v>
      </c>
      <c r="Y719">
        <f t="shared" si="80"/>
        <v>0</v>
      </c>
      <c r="Z719" t="s">
        <v>1108</v>
      </c>
      <c r="AA719" t="str">
        <f t="shared" si="81"/>
        <v>Low</v>
      </c>
      <c r="AB719" t="s">
        <v>1103</v>
      </c>
      <c r="AC719" t="str">
        <f t="shared" si="82"/>
        <v>Yes</v>
      </c>
      <c r="AD719">
        <v>4</v>
      </c>
      <c r="AE719">
        <v>134334</v>
      </c>
      <c r="AF719">
        <v>53733.600000000006</v>
      </c>
      <c r="AG719">
        <f t="shared" si="83"/>
        <v>80338.399999999994</v>
      </c>
    </row>
    <row r="720" spans="1:33" x14ac:dyDescent="0.25">
      <c r="A720">
        <v>1719</v>
      </c>
      <c r="B720" s="1">
        <v>46038</v>
      </c>
      <c r="C720" s="1">
        <v>46039</v>
      </c>
      <c r="D720" s="1">
        <v>46044</v>
      </c>
      <c r="E720" t="s">
        <v>1066</v>
      </c>
      <c r="F720" t="s">
        <v>748</v>
      </c>
      <c r="G720" t="s">
        <v>1071</v>
      </c>
      <c r="H720" t="str">
        <f t="shared" si="77"/>
        <v>Clothing</v>
      </c>
      <c r="I720">
        <v>8</v>
      </c>
      <c r="J720" t="str">
        <f>VLOOKUP(K720,$AJ$2:$AK$7,2,FALSE)</f>
        <v>S003</v>
      </c>
      <c r="K720" t="s">
        <v>1099</v>
      </c>
      <c r="L720">
        <v>4.8</v>
      </c>
      <c r="M720" t="str">
        <f>IFERROR(VLOOKUP(TRIM(N720),$AP$2:$AQ$12,2,FALSE),"W001")</f>
        <v>W005</v>
      </c>
      <c r="N720" t="s">
        <v>1055</v>
      </c>
      <c r="O720" t="s">
        <v>1059</v>
      </c>
      <c r="P720" t="str">
        <f>VLOOKUP(O720,$AL$2:$AM$12,2,FALSE)</f>
        <v>North</v>
      </c>
      <c r="Q720" t="s">
        <v>1080</v>
      </c>
      <c r="R720">
        <v>1487</v>
      </c>
      <c r="S720" t="s">
        <v>1078</v>
      </c>
      <c r="T720">
        <f t="shared" si="78"/>
        <v>7</v>
      </c>
      <c r="U720">
        <v>223.05</v>
      </c>
      <c r="V720">
        <f t="shared" si="79"/>
        <v>4</v>
      </c>
      <c r="W720" t="s">
        <v>1088</v>
      </c>
      <c r="X720" t="s">
        <v>1091</v>
      </c>
      <c r="Y720">
        <f t="shared" si="80"/>
        <v>0</v>
      </c>
      <c r="Z720" t="s">
        <v>1108</v>
      </c>
      <c r="AA720" t="str">
        <f t="shared" si="81"/>
        <v>Low</v>
      </c>
      <c r="AB720" t="s">
        <v>1103</v>
      </c>
      <c r="AC720" t="str">
        <f t="shared" si="82"/>
        <v>Yes</v>
      </c>
      <c r="AD720">
        <v>5</v>
      </c>
      <c r="AE720">
        <v>15912</v>
      </c>
      <c r="AF720">
        <v>6364.8</v>
      </c>
      <c r="AG720">
        <f t="shared" si="83"/>
        <v>9324.1500000000015</v>
      </c>
    </row>
    <row r="721" spans="1:33" x14ac:dyDescent="0.25">
      <c r="A721">
        <v>1720</v>
      </c>
      <c r="B721" s="1">
        <v>45983</v>
      </c>
      <c r="C721" s="1">
        <v>45986</v>
      </c>
      <c r="D721" s="1">
        <v>45988</v>
      </c>
      <c r="E721" t="s">
        <v>1066</v>
      </c>
      <c r="F721" t="s">
        <v>749</v>
      </c>
      <c r="G721" t="s">
        <v>1070</v>
      </c>
      <c r="H721" t="str">
        <f t="shared" si="77"/>
        <v>Furniture</v>
      </c>
      <c r="I721">
        <v>8</v>
      </c>
      <c r="J721" t="str">
        <f>VLOOKUP(K721,$AJ$2:$AK$7,2,FALSE)</f>
        <v>S002</v>
      </c>
      <c r="K721" t="s">
        <v>1098</v>
      </c>
      <c r="L721">
        <v>3.1</v>
      </c>
      <c r="M721" t="str">
        <f>IFERROR(VLOOKUP(TRIM(N721),$AP$2:$AQ$12,2,FALSE),"W001")</f>
        <v>W005</v>
      </c>
      <c r="N721" t="s">
        <v>1055</v>
      </c>
      <c r="O721" t="s">
        <v>1047</v>
      </c>
      <c r="P721" t="str">
        <f>VLOOKUP(O721,$AL$2:$AM$12,2,FALSE)</f>
        <v>West</v>
      </c>
      <c r="Q721" t="s">
        <v>1083</v>
      </c>
      <c r="R721">
        <v>109</v>
      </c>
      <c r="S721" t="s">
        <v>1079</v>
      </c>
      <c r="T721">
        <f t="shared" si="78"/>
        <v>1</v>
      </c>
      <c r="U721">
        <v>54.5</v>
      </c>
      <c r="V721">
        <f t="shared" si="79"/>
        <v>10</v>
      </c>
      <c r="W721" t="s">
        <v>1088</v>
      </c>
      <c r="X721" t="s">
        <v>1091</v>
      </c>
      <c r="Y721">
        <f t="shared" si="80"/>
        <v>0</v>
      </c>
      <c r="Z721" t="s">
        <v>1108</v>
      </c>
      <c r="AA721" t="str">
        <f t="shared" si="81"/>
        <v>Medium</v>
      </c>
      <c r="AB721" t="s">
        <v>1103</v>
      </c>
      <c r="AC721" t="str">
        <f t="shared" si="82"/>
        <v>Yes</v>
      </c>
      <c r="AD721">
        <v>4</v>
      </c>
      <c r="AE721">
        <v>16576</v>
      </c>
      <c r="AF721">
        <v>6630.4000000000005</v>
      </c>
      <c r="AG721">
        <f t="shared" si="83"/>
        <v>9891.0999999999985</v>
      </c>
    </row>
    <row r="722" spans="1:33" x14ac:dyDescent="0.25">
      <c r="A722">
        <v>1721</v>
      </c>
      <c r="B722" s="1">
        <v>45881</v>
      </c>
      <c r="C722" s="1">
        <v>45883</v>
      </c>
      <c r="D722" s="1">
        <v>45885</v>
      </c>
      <c r="E722" t="s">
        <v>1066</v>
      </c>
      <c r="F722" t="s">
        <v>750</v>
      </c>
      <c r="G722" t="s">
        <v>1068</v>
      </c>
      <c r="H722" t="str">
        <f t="shared" si="77"/>
        <v>Electronics</v>
      </c>
      <c r="I722">
        <v>3</v>
      </c>
      <c r="J722" t="str">
        <f>VLOOKUP(K722,$AJ$2:$AK$7,2,FALSE)</f>
        <v>S005</v>
      </c>
      <c r="K722" t="s">
        <v>1101</v>
      </c>
      <c r="L722">
        <v>3.4</v>
      </c>
      <c r="M722" t="str">
        <f>IFERROR(VLOOKUP(TRIM(N722),$AP$2:$AQ$12,2,FALSE),"W001")</f>
        <v>W005</v>
      </c>
      <c r="N722" t="s">
        <v>1055</v>
      </c>
      <c r="O722" t="s">
        <v>1062</v>
      </c>
      <c r="P722" t="str">
        <f>VLOOKUP(O722,$AL$2:$AM$12,2,FALSE)</f>
        <v>North</v>
      </c>
      <c r="Q722" t="s">
        <v>1080</v>
      </c>
      <c r="R722">
        <v>1251</v>
      </c>
      <c r="S722" t="s">
        <v>1078</v>
      </c>
      <c r="T722">
        <f t="shared" si="78"/>
        <v>6</v>
      </c>
      <c r="U722">
        <v>187.65</v>
      </c>
      <c r="V722">
        <f t="shared" si="79"/>
        <v>4</v>
      </c>
      <c r="W722" t="s">
        <v>1086</v>
      </c>
      <c r="X722" t="s">
        <v>1091</v>
      </c>
      <c r="Y722">
        <f t="shared" si="80"/>
        <v>187.65</v>
      </c>
      <c r="Z722" t="s">
        <v>1108</v>
      </c>
      <c r="AA722" t="str">
        <f t="shared" si="81"/>
        <v>Low</v>
      </c>
      <c r="AB722" t="s">
        <v>1103</v>
      </c>
      <c r="AC722" t="str">
        <f t="shared" si="82"/>
        <v>Yes</v>
      </c>
      <c r="AD722">
        <v>5</v>
      </c>
      <c r="AE722">
        <v>204156</v>
      </c>
      <c r="AF722">
        <v>81662.400000000009</v>
      </c>
      <c r="AG722">
        <f t="shared" si="83"/>
        <v>122305.95</v>
      </c>
    </row>
    <row r="723" spans="1:33" x14ac:dyDescent="0.25">
      <c r="A723">
        <v>1722</v>
      </c>
      <c r="B723" s="1">
        <v>45843</v>
      </c>
      <c r="C723" s="1">
        <v>45846</v>
      </c>
      <c r="D723" s="1">
        <v>45849</v>
      </c>
      <c r="E723" t="s">
        <v>1064</v>
      </c>
      <c r="F723" t="s">
        <v>751</v>
      </c>
      <c r="G723" t="s">
        <v>1069</v>
      </c>
      <c r="H723" t="str">
        <f t="shared" si="77"/>
        <v>Furniture</v>
      </c>
      <c r="I723">
        <v>5</v>
      </c>
      <c r="J723" t="str">
        <f>VLOOKUP(K723,$AJ$2:$AK$7,2,FALSE)</f>
        <v>S001</v>
      </c>
      <c r="K723" t="s">
        <v>1097</v>
      </c>
      <c r="L723">
        <v>4.9000000000000004</v>
      </c>
      <c r="M723" t="str">
        <f>IFERROR(VLOOKUP(TRIM(N723),$AP$2:$AQ$12,2,FALSE),"W001")</f>
        <v>W001</v>
      </c>
      <c r="N723" t="s">
        <v>1047</v>
      </c>
      <c r="O723" t="s">
        <v>1051</v>
      </c>
      <c r="P723" t="str">
        <f>VLOOKUP(O723,$AL$2:$AM$12,2,FALSE)</f>
        <v>West</v>
      </c>
      <c r="Q723" t="s">
        <v>1082</v>
      </c>
      <c r="R723">
        <v>1537</v>
      </c>
      <c r="S723" t="s">
        <v>1078</v>
      </c>
      <c r="T723">
        <f t="shared" si="78"/>
        <v>4</v>
      </c>
      <c r="U723">
        <v>614.79999999999995</v>
      </c>
      <c r="V723">
        <f t="shared" si="79"/>
        <v>8</v>
      </c>
      <c r="W723" t="s">
        <v>1086</v>
      </c>
      <c r="X723" t="s">
        <v>1091</v>
      </c>
      <c r="Y723">
        <f t="shared" si="80"/>
        <v>614.79999999999995</v>
      </c>
      <c r="Z723" t="s">
        <v>1109</v>
      </c>
      <c r="AA723" t="str">
        <f t="shared" si="81"/>
        <v>High</v>
      </c>
      <c r="AB723" t="s">
        <v>1104</v>
      </c>
      <c r="AC723" t="str">
        <f t="shared" si="82"/>
        <v>No</v>
      </c>
      <c r="AD723">
        <v>1</v>
      </c>
      <c r="AE723">
        <v>31360</v>
      </c>
      <c r="AF723">
        <v>12544</v>
      </c>
      <c r="AG723">
        <f t="shared" si="83"/>
        <v>18201.2</v>
      </c>
    </row>
    <row r="724" spans="1:33" x14ac:dyDescent="0.25">
      <c r="A724">
        <v>1723</v>
      </c>
      <c r="B724" s="1">
        <v>45646</v>
      </c>
      <c r="C724" s="1">
        <v>45649</v>
      </c>
      <c r="D724" s="1">
        <v>45655</v>
      </c>
      <c r="E724" t="s">
        <v>1065</v>
      </c>
      <c r="F724" t="s">
        <v>752</v>
      </c>
      <c r="G724" t="s">
        <v>1070</v>
      </c>
      <c r="H724" t="str">
        <f t="shared" si="77"/>
        <v>Furniture</v>
      </c>
      <c r="I724">
        <v>8</v>
      </c>
      <c r="J724" t="str">
        <f>VLOOKUP(K724,$AJ$2:$AK$7,2,FALSE)</f>
        <v>S006</v>
      </c>
      <c r="K724" t="s">
        <v>1102</v>
      </c>
      <c r="L724">
        <v>4.4000000000000004</v>
      </c>
      <c r="M724" t="str">
        <f>IFERROR(VLOOKUP(TRIM(N724),$AP$2:$AQ$12,2,FALSE),"W001")</f>
        <v>W010</v>
      </c>
      <c r="N724" t="s">
        <v>1063</v>
      </c>
      <c r="O724" t="s">
        <v>1055</v>
      </c>
      <c r="P724" t="str">
        <f>VLOOKUP(O724,$AL$2:$AM$12,2,FALSE)</f>
        <v>South</v>
      </c>
      <c r="Q724" t="s">
        <v>1085</v>
      </c>
      <c r="R724">
        <v>1296</v>
      </c>
      <c r="S724" t="s">
        <v>1078</v>
      </c>
      <c r="T724">
        <f t="shared" si="78"/>
        <v>9</v>
      </c>
      <c r="U724">
        <v>129.6</v>
      </c>
      <c r="V724">
        <f t="shared" si="79"/>
        <v>3</v>
      </c>
      <c r="W724" t="s">
        <v>1088</v>
      </c>
      <c r="X724" t="s">
        <v>1089</v>
      </c>
      <c r="Y724">
        <f t="shared" si="80"/>
        <v>0</v>
      </c>
      <c r="Z724" t="s">
        <v>1108</v>
      </c>
      <c r="AA724" t="str">
        <f t="shared" si="81"/>
        <v>Low</v>
      </c>
      <c r="AB724" t="s">
        <v>1103</v>
      </c>
      <c r="AC724" t="str">
        <f t="shared" si="82"/>
        <v>Yes</v>
      </c>
      <c r="AD724">
        <v>5</v>
      </c>
      <c r="AE724">
        <v>63560</v>
      </c>
      <c r="AF724">
        <v>25424</v>
      </c>
      <c r="AG724">
        <f t="shared" si="83"/>
        <v>38006.400000000001</v>
      </c>
    </row>
    <row r="725" spans="1:33" x14ac:dyDescent="0.25">
      <c r="A725">
        <v>1724</v>
      </c>
      <c r="B725" s="1">
        <v>45771</v>
      </c>
      <c r="C725" s="1">
        <v>45772</v>
      </c>
      <c r="D725" s="1">
        <v>45776</v>
      </c>
      <c r="E725" t="s">
        <v>1065</v>
      </c>
      <c r="F725" t="s">
        <v>753</v>
      </c>
      <c r="G725" t="s">
        <v>1068</v>
      </c>
      <c r="H725" t="str">
        <f t="shared" si="77"/>
        <v>Electronics</v>
      </c>
      <c r="I725">
        <v>2</v>
      </c>
      <c r="J725" t="str">
        <f>VLOOKUP(K725,$AJ$2:$AK$7,2,FALSE)</f>
        <v>S004</v>
      </c>
      <c r="K725" t="s">
        <v>1100</v>
      </c>
      <c r="L725">
        <v>4.0999999999999996</v>
      </c>
      <c r="M725" t="str">
        <f>IFERROR(VLOOKUP(TRIM(N725),$AP$2:$AQ$12,2,FALSE),"W001")</f>
        <v>W003</v>
      </c>
      <c r="N725" t="s">
        <v>1051</v>
      </c>
      <c r="O725" t="s">
        <v>1061</v>
      </c>
      <c r="P725" t="str">
        <f>VLOOKUP(O725,$AL$2:$AM$12,2,FALSE)</f>
        <v>West</v>
      </c>
      <c r="Q725" t="s">
        <v>1080</v>
      </c>
      <c r="R725">
        <v>573</v>
      </c>
      <c r="S725" t="s">
        <v>1066</v>
      </c>
      <c r="T725">
        <f t="shared" si="78"/>
        <v>4</v>
      </c>
      <c r="U725">
        <v>85.95</v>
      </c>
      <c r="V725">
        <f t="shared" si="79"/>
        <v>4</v>
      </c>
      <c r="W725" t="s">
        <v>1086</v>
      </c>
      <c r="X725" t="s">
        <v>1091</v>
      </c>
      <c r="Y725">
        <f t="shared" si="80"/>
        <v>85.95</v>
      </c>
      <c r="Z725" t="s">
        <v>1108</v>
      </c>
      <c r="AA725" t="str">
        <f t="shared" si="81"/>
        <v>Low</v>
      </c>
      <c r="AB725" t="s">
        <v>1103</v>
      </c>
      <c r="AC725" t="str">
        <f t="shared" si="82"/>
        <v>Yes</v>
      </c>
      <c r="AD725">
        <v>4</v>
      </c>
      <c r="AE725">
        <v>126628</v>
      </c>
      <c r="AF725">
        <v>50651.200000000004</v>
      </c>
      <c r="AG725">
        <f t="shared" si="83"/>
        <v>75890.849999999991</v>
      </c>
    </row>
    <row r="726" spans="1:33" x14ac:dyDescent="0.25">
      <c r="A726">
        <v>1725</v>
      </c>
      <c r="B726" s="1">
        <v>45157</v>
      </c>
      <c r="C726" s="1">
        <v>45158</v>
      </c>
      <c r="D726" s="1">
        <v>45164</v>
      </c>
      <c r="E726" t="s">
        <v>1066</v>
      </c>
      <c r="F726" t="s">
        <v>754</v>
      </c>
      <c r="G726" t="s">
        <v>1069</v>
      </c>
      <c r="H726" t="str">
        <f t="shared" si="77"/>
        <v>Furniture</v>
      </c>
      <c r="I726">
        <v>3</v>
      </c>
      <c r="J726" t="str">
        <f>VLOOKUP(K726,$AJ$2:$AK$7,2,FALSE)</f>
        <v>S006</v>
      </c>
      <c r="K726" t="s">
        <v>1102</v>
      </c>
      <c r="L726">
        <v>3</v>
      </c>
      <c r="M726" t="str">
        <f>IFERROR(VLOOKUP(TRIM(N726),$AP$2:$AQ$12,2,FALSE),"W001")</f>
        <v>W006</v>
      </c>
      <c r="N726" t="s">
        <v>1057</v>
      </c>
      <c r="O726" t="s">
        <v>1059</v>
      </c>
      <c r="P726" t="str">
        <f>VLOOKUP(O726,$AL$2:$AM$12,2,FALSE)</f>
        <v>North</v>
      </c>
      <c r="Q726" t="s">
        <v>1082</v>
      </c>
      <c r="R726">
        <v>1655</v>
      </c>
      <c r="S726" t="s">
        <v>1078</v>
      </c>
      <c r="T726">
        <f t="shared" si="78"/>
        <v>4</v>
      </c>
      <c r="U726">
        <v>662</v>
      </c>
      <c r="V726">
        <f t="shared" si="79"/>
        <v>8</v>
      </c>
      <c r="W726" t="s">
        <v>1087</v>
      </c>
      <c r="X726" t="s">
        <v>1089</v>
      </c>
      <c r="Y726">
        <f t="shared" si="80"/>
        <v>0</v>
      </c>
      <c r="Z726" t="s">
        <v>1109</v>
      </c>
      <c r="AA726" t="str">
        <f t="shared" si="81"/>
        <v>High</v>
      </c>
      <c r="AB726" t="s">
        <v>1103</v>
      </c>
      <c r="AC726" t="str">
        <f t="shared" si="82"/>
        <v>No</v>
      </c>
      <c r="AD726">
        <v>3</v>
      </c>
      <c r="AE726">
        <v>27324</v>
      </c>
      <c r="AF726">
        <v>10929.6</v>
      </c>
      <c r="AG726">
        <f t="shared" si="83"/>
        <v>15732.400000000001</v>
      </c>
    </row>
    <row r="727" spans="1:33" x14ac:dyDescent="0.25">
      <c r="A727">
        <v>1726</v>
      </c>
      <c r="B727" s="1">
        <v>44883</v>
      </c>
      <c r="C727" s="1">
        <v>44885</v>
      </c>
      <c r="D727" s="1">
        <v>44890</v>
      </c>
      <c r="E727" t="s">
        <v>1065</v>
      </c>
      <c r="F727" t="s">
        <v>755</v>
      </c>
      <c r="G727" t="s">
        <v>1070</v>
      </c>
      <c r="H727" t="str">
        <f t="shared" si="77"/>
        <v>Furniture</v>
      </c>
      <c r="I727">
        <v>10</v>
      </c>
      <c r="J727" t="str">
        <f>VLOOKUP(K727,$AJ$2:$AK$7,2,FALSE)</f>
        <v>S006</v>
      </c>
      <c r="K727" t="s">
        <v>1102</v>
      </c>
      <c r="L727">
        <v>3.1</v>
      </c>
      <c r="M727" t="str">
        <f>IFERROR(VLOOKUP(TRIM(N727),$AP$2:$AQ$12,2,FALSE),"W001")</f>
        <v>W010</v>
      </c>
      <c r="N727" t="s">
        <v>1063</v>
      </c>
      <c r="O727" t="s">
        <v>1049</v>
      </c>
      <c r="P727" t="str">
        <f>VLOOKUP(O727,$AL$2:$AM$12,2,FALSE)</f>
        <v>North</v>
      </c>
      <c r="Q727" t="s">
        <v>1082</v>
      </c>
      <c r="R727">
        <v>965</v>
      </c>
      <c r="S727" t="s">
        <v>1078</v>
      </c>
      <c r="T727">
        <f t="shared" si="78"/>
        <v>3</v>
      </c>
      <c r="U727">
        <v>386</v>
      </c>
      <c r="V727">
        <f t="shared" si="79"/>
        <v>8</v>
      </c>
      <c r="W727" t="s">
        <v>1088</v>
      </c>
      <c r="X727" t="s">
        <v>1091</v>
      </c>
      <c r="Y727">
        <f t="shared" si="80"/>
        <v>0</v>
      </c>
      <c r="Z727" t="s">
        <v>1109</v>
      </c>
      <c r="AA727" t="str">
        <f t="shared" si="81"/>
        <v>High</v>
      </c>
      <c r="AB727" t="s">
        <v>1103</v>
      </c>
      <c r="AC727" t="str">
        <f t="shared" si="82"/>
        <v>No</v>
      </c>
      <c r="AD727">
        <v>2</v>
      </c>
      <c r="AE727">
        <v>45650</v>
      </c>
      <c r="AF727">
        <v>18260</v>
      </c>
      <c r="AG727">
        <f t="shared" si="83"/>
        <v>27004</v>
      </c>
    </row>
    <row r="728" spans="1:33" x14ac:dyDescent="0.25">
      <c r="A728">
        <v>1727</v>
      </c>
      <c r="B728" s="1">
        <v>46120</v>
      </c>
      <c r="C728" s="1">
        <v>46122</v>
      </c>
      <c r="D728" s="1">
        <v>46124</v>
      </c>
      <c r="E728" t="s">
        <v>1065</v>
      </c>
      <c r="F728" t="s">
        <v>756</v>
      </c>
      <c r="G728" t="s">
        <v>1069</v>
      </c>
      <c r="H728" t="str">
        <f t="shared" si="77"/>
        <v>Furniture</v>
      </c>
      <c r="I728">
        <v>3</v>
      </c>
      <c r="J728" t="str">
        <f>VLOOKUP(K728,$AJ$2:$AK$7,2,FALSE)</f>
        <v>S005</v>
      </c>
      <c r="K728" t="s">
        <v>1101</v>
      </c>
      <c r="L728">
        <v>4.5999999999999996</v>
      </c>
      <c r="M728" t="str">
        <f>IFERROR(VLOOKUP(TRIM(N728),$AP$2:$AQ$12,2,FALSE),"W001")</f>
        <v>W007</v>
      </c>
      <c r="N728" t="s">
        <v>1062</v>
      </c>
      <c r="O728" t="s">
        <v>1059</v>
      </c>
      <c r="P728" t="str">
        <f>VLOOKUP(O728,$AL$2:$AM$12,2,FALSE)</f>
        <v>North</v>
      </c>
      <c r="Q728" t="s">
        <v>1083</v>
      </c>
      <c r="R728">
        <v>1128</v>
      </c>
      <c r="S728" t="s">
        <v>1078</v>
      </c>
      <c r="T728">
        <f t="shared" si="78"/>
        <v>3</v>
      </c>
      <c r="U728">
        <v>564</v>
      </c>
      <c r="V728">
        <f t="shared" si="79"/>
        <v>10</v>
      </c>
      <c r="W728" t="s">
        <v>1087</v>
      </c>
      <c r="X728" t="s">
        <v>1089</v>
      </c>
      <c r="Y728">
        <f t="shared" si="80"/>
        <v>0</v>
      </c>
      <c r="Z728" t="s">
        <v>1108</v>
      </c>
      <c r="AA728" t="str">
        <f t="shared" si="81"/>
        <v>Medium</v>
      </c>
      <c r="AB728" t="s">
        <v>1103</v>
      </c>
      <c r="AC728" t="str">
        <f t="shared" si="82"/>
        <v>Yes</v>
      </c>
      <c r="AD728">
        <v>4</v>
      </c>
      <c r="AE728">
        <v>23445</v>
      </c>
      <c r="AF728">
        <v>9378</v>
      </c>
      <c r="AG728">
        <f t="shared" si="83"/>
        <v>13503</v>
      </c>
    </row>
    <row r="729" spans="1:33" x14ac:dyDescent="0.25">
      <c r="A729">
        <v>1728</v>
      </c>
      <c r="B729" s="1">
        <v>44651</v>
      </c>
      <c r="C729" s="1">
        <v>44652</v>
      </c>
      <c r="D729" s="1">
        <v>44655</v>
      </c>
      <c r="E729" t="s">
        <v>1064</v>
      </c>
      <c r="F729" t="s">
        <v>757</v>
      </c>
      <c r="G729" t="s">
        <v>1067</v>
      </c>
      <c r="H729" t="str">
        <f t="shared" si="77"/>
        <v>Clothing</v>
      </c>
      <c r="I729">
        <v>8</v>
      </c>
      <c r="J729" t="str">
        <f>VLOOKUP(K729,$AJ$2:$AK$7,2,FALSE)</f>
        <v>S004</v>
      </c>
      <c r="K729" t="s">
        <v>1100</v>
      </c>
      <c r="L729">
        <v>5</v>
      </c>
      <c r="M729" t="str">
        <f>IFERROR(VLOOKUP(TRIM(N729),$AP$2:$AQ$12,2,FALSE),"W001")</f>
        <v>W001</v>
      </c>
      <c r="N729" t="s">
        <v>1047</v>
      </c>
      <c r="O729" t="s">
        <v>1063</v>
      </c>
      <c r="P729" t="str">
        <f>VLOOKUP(O729,$AL$2:$AM$12,2,FALSE)</f>
        <v>South</v>
      </c>
      <c r="Q729" t="s">
        <v>1084</v>
      </c>
      <c r="R729">
        <v>1767</v>
      </c>
      <c r="S729" t="s">
        <v>1078</v>
      </c>
      <c r="T729">
        <f t="shared" si="78"/>
        <v>6</v>
      </c>
      <c r="U729">
        <v>530.1</v>
      </c>
      <c r="V729">
        <f t="shared" si="79"/>
        <v>6</v>
      </c>
      <c r="W729" t="s">
        <v>1086</v>
      </c>
      <c r="X729" t="s">
        <v>1091</v>
      </c>
      <c r="Y729">
        <f t="shared" si="80"/>
        <v>530.1</v>
      </c>
      <c r="Z729" t="s">
        <v>1109</v>
      </c>
      <c r="AA729" t="str">
        <f t="shared" si="81"/>
        <v>High</v>
      </c>
      <c r="AB729" t="s">
        <v>1104</v>
      </c>
      <c r="AC729" t="str">
        <f t="shared" si="82"/>
        <v>No</v>
      </c>
      <c r="AD729">
        <v>2</v>
      </c>
      <c r="AE729">
        <v>10168</v>
      </c>
      <c r="AF729">
        <v>4067.2000000000003</v>
      </c>
      <c r="AG729">
        <f t="shared" si="83"/>
        <v>5570.6999999999989</v>
      </c>
    </row>
    <row r="730" spans="1:33" x14ac:dyDescent="0.25">
      <c r="A730">
        <v>1729</v>
      </c>
      <c r="B730" s="1">
        <v>45044</v>
      </c>
      <c r="C730" s="1">
        <v>45046</v>
      </c>
      <c r="D730" s="1">
        <v>45051</v>
      </c>
      <c r="E730" t="s">
        <v>1066</v>
      </c>
      <c r="F730" t="s">
        <v>758</v>
      </c>
      <c r="G730" t="s">
        <v>1071</v>
      </c>
      <c r="H730" t="str">
        <f t="shared" si="77"/>
        <v>Clothing</v>
      </c>
      <c r="I730">
        <v>3</v>
      </c>
      <c r="J730" t="str">
        <f>VLOOKUP(K730,$AJ$2:$AK$7,2,FALSE)</f>
        <v>S003</v>
      </c>
      <c r="K730" t="s">
        <v>1099</v>
      </c>
      <c r="L730">
        <v>3.6</v>
      </c>
      <c r="M730" t="str">
        <f>IFERROR(VLOOKUP(TRIM(N730),$AP$2:$AQ$12,2,FALSE),"W001")</f>
        <v>W005</v>
      </c>
      <c r="N730" t="s">
        <v>1055</v>
      </c>
      <c r="O730" t="s">
        <v>1055</v>
      </c>
      <c r="P730" t="str">
        <f>VLOOKUP(O730,$AL$2:$AM$12,2,FALSE)</f>
        <v>South</v>
      </c>
      <c r="Q730" t="s">
        <v>1083</v>
      </c>
      <c r="R730">
        <v>49</v>
      </c>
      <c r="S730" t="s">
        <v>1079</v>
      </c>
      <c r="T730">
        <f t="shared" si="78"/>
        <v>1</v>
      </c>
      <c r="U730">
        <v>24.5</v>
      </c>
      <c r="V730">
        <f t="shared" si="79"/>
        <v>10</v>
      </c>
      <c r="W730" t="s">
        <v>1086</v>
      </c>
      <c r="X730" t="s">
        <v>1091</v>
      </c>
      <c r="Y730">
        <f t="shared" si="80"/>
        <v>24.5</v>
      </c>
      <c r="Z730" t="s">
        <v>1108</v>
      </c>
      <c r="AA730" t="str">
        <f t="shared" si="81"/>
        <v>Medium</v>
      </c>
      <c r="AB730" t="s">
        <v>1104</v>
      </c>
      <c r="AC730" t="str">
        <f t="shared" si="82"/>
        <v>Yes</v>
      </c>
      <c r="AD730">
        <v>2</v>
      </c>
      <c r="AE730">
        <v>8544</v>
      </c>
      <c r="AF730">
        <v>3417.6000000000004</v>
      </c>
      <c r="AG730">
        <f t="shared" si="83"/>
        <v>5101.8999999999996</v>
      </c>
    </row>
    <row r="731" spans="1:33" x14ac:dyDescent="0.25">
      <c r="A731">
        <v>1730</v>
      </c>
      <c r="B731" s="1">
        <v>46369</v>
      </c>
      <c r="C731" s="1">
        <v>46371</v>
      </c>
      <c r="D731" s="1">
        <v>46378</v>
      </c>
      <c r="E731" t="s">
        <v>1066</v>
      </c>
      <c r="F731" t="s">
        <v>759</v>
      </c>
      <c r="G731" t="s">
        <v>1069</v>
      </c>
      <c r="H731" t="str">
        <f t="shared" si="77"/>
        <v>Furniture</v>
      </c>
      <c r="I731">
        <v>5</v>
      </c>
      <c r="J731" t="str">
        <f>VLOOKUP(K731,$AJ$2:$AK$7,2,FALSE)</f>
        <v>S002</v>
      </c>
      <c r="K731" t="s">
        <v>1098</v>
      </c>
      <c r="L731">
        <v>3.1</v>
      </c>
      <c r="M731" t="str">
        <f>IFERROR(VLOOKUP(TRIM(N731),$AP$2:$AQ$12,2,FALSE),"W001")</f>
        <v>W004</v>
      </c>
      <c r="N731" t="s">
        <v>1053</v>
      </c>
      <c r="O731" t="s">
        <v>1057</v>
      </c>
      <c r="P731" t="str">
        <f>VLOOKUP(O731,$AL$2:$AM$12,2,FALSE)</f>
        <v>South</v>
      </c>
      <c r="Q731" t="s">
        <v>1080</v>
      </c>
      <c r="R731">
        <v>1467</v>
      </c>
      <c r="S731" t="s">
        <v>1078</v>
      </c>
      <c r="T731">
        <f t="shared" si="78"/>
        <v>7</v>
      </c>
      <c r="U731">
        <v>220.05</v>
      </c>
      <c r="V731">
        <f t="shared" si="79"/>
        <v>4</v>
      </c>
      <c r="W731" t="s">
        <v>1087</v>
      </c>
      <c r="X731" t="s">
        <v>1091</v>
      </c>
      <c r="Y731">
        <f t="shared" si="80"/>
        <v>0</v>
      </c>
      <c r="Z731" t="s">
        <v>1108</v>
      </c>
      <c r="AA731" t="str">
        <f t="shared" si="81"/>
        <v>Low</v>
      </c>
      <c r="AB731" t="s">
        <v>1103</v>
      </c>
      <c r="AC731" t="str">
        <f t="shared" si="82"/>
        <v>Yes</v>
      </c>
      <c r="AD731">
        <v>4</v>
      </c>
      <c r="AE731">
        <v>59890</v>
      </c>
      <c r="AF731">
        <v>23956</v>
      </c>
      <c r="AG731">
        <f t="shared" si="83"/>
        <v>35713.949999999997</v>
      </c>
    </row>
    <row r="732" spans="1:33" x14ac:dyDescent="0.25">
      <c r="A732">
        <v>1731</v>
      </c>
      <c r="B732" s="1">
        <v>44455</v>
      </c>
      <c r="C732" s="1">
        <v>44456</v>
      </c>
      <c r="D732" s="1">
        <v>44462</v>
      </c>
      <c r="E732" t="s">
        <v>1064</v>
      </c>
      <c r="F732" t="s">
        <v>760</v>
      </c>
      <c r="G732" t="s">
        <v>1071</v>
      </c>
      <c r="H732" t="str">
        <f t="shared" si="77"/>
        <v>Clothing</v>
      </c>
      <c r="I732">
        <v>7</v>
      </c>
      <c r="J732" t="str">
        <f>VLOOKUP(K732,$AJ$2:$AK$7,2,FALSE)</f>
        <v>S005</v>
      </c>
      <c r="K732" t="s">
        <v>1101</v>
      </c>
      <c r="L732">
        <v>4.4000000000000004</v>
      </c>
      <c r="M732" t="str">
        <f>IFERROR(VLOOKUP(TRIM(N732),$AP$2:$AQ$12,2,FALSE),"W001")</f>
        <v>W003</v>
      </c>
      <c r="N732" t="s">
        <v>1051</v>
      </c>
      <c r="O732" t="s">
        <v>1059</v>
      </c>
      <c r="P732" t="str">
        <f>VLOOKUP(O732,$AL$2:$AM$12,2,FALSE)</f>
        <v>North</v>
      </c>
      <c r="Q732" t="s">
        <v>1083</v>
      </c>
      <c r="R732">
        <v>1702</v>
      </c>
      <c r="S732" t="s">
        <v>1078</v>
      </c>
      <c r="T732">
        <f t="shared" si="78"/>
        <v>3</v>
      </c>
      <c r="U732">
        <v>851</v>
      </c>
      <c r="V732">
        <f t="shared" si="79"/>
        <v>10</v>
      </c>
      <c r="W732" t="s">
        <v>1087</v>
      </c>
      <c r="X732" t="s">
        <v>1090</v>
      </c>
      <c r="Y732">
        <f t="shared" si="80"/>
        <v>0</v>
      </c>
      <c r="Z732" t="s">
        <v>1108</v>
      </c>
      <c r="AA732" t="str">
        <f t="shared" si="81"/>
        <v>Medium</v>
      </c>
      <c r="AB732" t="s">
        <v>1103</v>
      </c>
      <c r="AC732" t="str">
        <f t="shared" si="82"/>
        <v>Yes</v>
      </c>
      <c r="AD732">
        <v>5</v>
      </c>
      <c r="AE732">
        <v>10899</v>
      </c>
      <c r="AF732">
        <v>4359.6000000000004</v>
      </c>
      <c r="AG732">
        <f t="shared" si="83"/>
        <v>5688.4</v>
      </c>
    </row>
    <row r="733" spans="1:33" x14ac:dyDescent="0.25">
      <c r="A733">
        <v>1732</v>
      </c>
      <c r="B733" s="1">
        <v>45137</v>
      </c>
      <c r="C733" s="1">
        <v>45138</v>
      </c>
      <c r="D733" s="1">
        <v>45140</v>
      </c>
      <c r="E733" t="s">
        <v>1066</v>
      </c>
      <c r="F733" t="s">
        <v>761</v>
      </c>
      <c r="G733" t="s">
        <v>1068</v>
      </c>
      <c r="H733" t="str">
        <f t="shared" si="77"/>
        <v>Electronics</v>
      </c>
      <c r="I733">
        <v>2</v>
      </c>
      <c r="J733" t="str">
        <f>VLOOKUP(K733,$AJ$2:$AK$7,2,FALSE)</f>
        <v>S003</v>
      </c>
      <c r="K733" t="s">
        <v>1099</v>
      </c>
      <c r="L733">
        <v>3.4</v>
      </c>
      <c r="M733" t="str">
        <f>IFERROR(VLOOKUP(TRIM(N733),$AP$2:$AQ$12,2,FALSE),"W001")</f>
        <v>W007</v>
      </c>
      <c r="N733" t="s">
        <v>1062</v>
      </c>
      <c r="O733" t="s">
        <v>1062</v>
      </c>
      <c r="P733" t="str">
        <f>VLOOKUP(O733,$AL$2:$AM$12,2,FALSE)</f>
        <v>North</v>
      </c>
      <c r="Q733" t="s">
        <v>1080</v>
      </c>
      <c r="R733">
        <v>17</v>
      </c>
      <c r="S733" t="s">
        <v>1079</v>
      </c>
      <c r="T733">
        <f t="shared" si="78"/>
        <v>2</v>
      </c>
      <c r="U733">
        <v>2.5499999999999998</v>
      </c>
      <c r="V733">
        <f t="shared" si="79"/>
        <v>4</v>
      </c>
      <c r="W733" t="s">
        <v>1086</v>
      </c>
      <c r="X733" t="s">
        <v>1091</v>
      </c>
      <c r="Y733">
        <f t="shared" si="80"/>
        <v>2.5499999999999998</v>
      </c>
      <c r="Z733" t="s">
        <v>1108</v>
      </c>
      <c r="AA733" t="str">
        <f t="shared" si="81"/>
        <v>Low</v>
      </c>
      <c r="AB733" t="s">
        <v>1103</v>
      </c>
      <c r="AC733" t="str">
        <f t="shared" si="82"/>
        <v>Yes</v>
      </c>
      <c r="AD733">
        <v>4</v>
      </c>
      <c r="AE733">
        <v>136176</v>
      </c>
      <c r="AF733">
        <v>54470.400000000001</v>
      </c>
      <c r="AG733">
        <f t="shared" si="83"/>
        <v>81703.05</v>
      </c>
    </row>
    <row r="734" spans="1:33" x14ac:dyDescent="0.25">
      <c r="A734">
        <v>1733</v>
      </c>
      <c r="B734" s="1">
        <v>45515</v>
      </c>
      <c r="C734" s="1">
        <v>45517</v>
      </c>
      <c r="D734" s="1">
        <v>45520</v>
      </c>
      <c r="E734" t="s">
        <v>1065</v>
      </c>
      <c r="F734" t="s">
        <v>762</v>
      </c>
      <c r="G734" t="s">
        <v>1067</v>
      </c>
      <c r="H734" t="str">
        <f t="shared" si="77"/>
        <v>Clothing</v>
      </c>
      <c r="I734">
        <v>5</v>
      </c>
      <c r="J734" t="str">
        <f>VLOOKUP(K734,$AJ$2:$AK$7,2,FALSE)</f>
        <v>S006</v>
      </c>
      <c r="K734" t="s">
        <v>1102</v>
      </c>
      <c r="L734">
        <v>3.1</v>
      </c>
      <c r="M734" t="str">
        <f>IFERROR(VLOOKUP(TRIM(N734),$AP$2:$AQ$12,2,FALSE),"W001")</f>
        <v>W011</v>
      </c>
      <c r="N734" t="s">
        <v>1059</v>
      </c>
      <c r="O734" t="s">
        <v>1055</v>
      </c>
      <c r="P734" t="str">
        <f>VLOOKUP(O734,$AL$2:$AM$12,2,FALSE)</f>
        <v>South</v>
      </c>
      <c r="Q734" t="s">
        <v>1084</v>
      </c>
      <c r="R734">
        <v>302</v>
      </c>
      <c r="S734" t="s">
        <v>1066</v>
      </c>
      <c r="T734">
        <f t="shared" si="78"/>
        <v>2</v>
      </c>
      <c r="U734">
        <v>90.6</v>
      </c>
      <c r="V734">
        <f t="shared" si="79"/>
        <v>6</v>
      </c>
      <c r="W734" t="s">
        <v>1088</v>
      </c>
      <c r="X734" t="s">
        <v>1091</v>
      </c>
      <c r="Y734">
        <f t="shared" si="80"/>
        <v>0</v>
      </c>
      <c r="Z734" t="s">
        <v>1108</v>
      </c>
      <c r="AA734" t="str">
        <f t="shared" si="81"/>
        <v>Low</v>
      </c>
      <c r="AB734" t="s">
        <v>1103</v>
      </c>
      <c r="AC734" t="str">
        <f t="shared" si="82"/>
        <v>Yes</v>
      </c>
      <c r="AD734">
        <v>5</v>
      </c>
      <c r="AE734">
        <v>5160</v>
      </c>
      <c r="AF734">
        <v>2064</v>
      </c>
      <c r="AG734">
        <f t="shared" si="83"/>
        <v>3005.4</v>
      </c>
    </row>
    <row r="735" spans="1:33" x14ac:dyDescent="0.25">
      <c r="A735">
        <v>1734</v>
      </c>
      <c r="B735" s="1">
        <v>44802</v>
      </c>
      <c r="C735" s="1">
        <v>44804</v>
      </c>
      <c r="D735" s="1">
        <v>44811</v>
      </c>
      <c r="E735" t="s">
        <v>1065</v>
      </c>
      <c r="F735" t="s">
        <v>763</v>
      </c>
      <c r="G735" t="s">
        <v>1067</v>
      </c>
      <c r="H735" t="str">
        <f t="shared" si="77"/>
        <v>Clothing</v>
      </c>
      <c r="I735">
        <v>6</v>
      </c>
      <c r="J735" t="str">
        <f>VLOOKUP(K735,$AJ$2:$AK$7,2,FALSE)</f>
        <v>S001</v>
      </c>
      <c r="K735" t="s">
        <v>1097</v>
      </c>
      <c r="L735">
        <v>5</v>
      </c>
      <c r="M735" t="str">
        <f>IFERROR(VLOOKUP(TRIM(N735),$AP$2:$AQ$12,2,FALSE),"W001")</f>
        <v>W002</v>
      </c>
      <c r="N735" t="s">
        <v>1049</v>
      </c>
      <c r="O735" t="s">
        <v>1055</v>
      </c>
      <c r="P735" t="str">
        <f>VLOOKUP(O735,$AL$2:$AM$12,2,FALSE)</f>
        <v>South</v>
      </c>
      <c r="Q735" t="s">
        <v>1085</v>
      </c>
      <c r="R735">
        <v>568</v>
      </c>
      <c r="S735" t="s">
        <v>1066</v>
      </c>
      <c r="T735">
        <f t="shared" si="78"/>
        <v>6</v>
      </c>
      <c r="U735">
        <v>56.8</v>
      </c>
      <c r="V735">
        <f t="shared" si="79"/>
        <v>3</v>
      </c>
      <c r="W735" t="s">
        <v>1086</v>
      </c>
      <c r="X735" t="s">
        <v>1089</v>
      </c>
      <c r="Y735">
        <f t="shared" si="80"/>
        <v>56.8</v>
      </c>
      <c r="Z735" t="s">
        <v>1108</v>
      </c>
      <c r="AA735" t="str">
        <f t="shared" si="81"/>
        <v>Low</v>
      </c>
      <c r="AB735" t="s">
        <v>1103</v>
      </c>
      <c r="AC735" t="str">
        <f t="shared" si="82"/>
        <v>Yes</v>
      </c>
      <c r="AD735">
        <v>5</v>
      </c>
      <c r="AE735">
        <v>7194</v>
      </c>
      <c r="AF735">
        <v>2877.6000000000004</v>
      </c>
      <c r="AG735">
        <f t="shared" si="83"/>
        <v>4259.5999999999995</v>
      </c>
    </row>
    <row r="736" spans="1:33" x14ac:dyDescent="0.25">
      <c r="A736">
        <v>1735</v>
      </c>
      <c r="B736" s="1">
        <v>45663</v>
      </c>
      <c r="C736" s="1">
        <v>45664</v>
      </c>
      <c r="D736" s="1">
        <v>45667</v>
      </c>
      <c r="E736" t="s">
        <v>1065</v>
      </c>
      <c r="F736" t="s">
        <v>764</v>
      </c>
      <c r="G736" t="s">
        <v>1071</v>
      </c>
      <c r="H736" t="str">
        <f t="shared" si="77"/>
        <v>Clothing</v>
      </c>
      <c r="I736">
        <v>6</v>
      </c>
      <c r="J736" t="str">
        <f>VLOOKUP(K736,$AJ$2:$AK$7,2,FALSE)</f>
        <v>S002</v>
      </c>
      <c r="K736" t="s">
        <v>1098</v>
      </c>
      <c r="L736">
        <v>5</v>
      </c>
      <c r="M736" t="str">
        <f>IFERROR(VLOOKUP(TRIM(N736),$AP$2:$AQ$12,2,FALSE),"W001")</f>
        <v>W008</v>
      </c>
      <c r="N736" t="s">
        <v>1061</v>
      </c>
      <c r="O736" t="s">
        <v>1057</v>
      </c>
      <c r="P736" t="str">
        <f>VLOOKUP(O736,$AL$2:$AM$12,2,FALSE)</f>
        <v>South</v>
      </c>
      <c r="Q736" t="s">
        <v>1080</v>
      </c>
      <c r="R736">
        <v>1630</v>
      </c>
      <c r="S736" t="s">
        <v>1078</v>
      </c>
      <c r="T736">
        <f t="shared" si="78"/>
        <v>7</v>
      </c>
      <c r="U736">
        <v>244.5</v>
      </c>
      <c r="V736">
        <f t="shared" si="79"/>
        <v>4</v>
      </c>
      <c r="W736" t="s">
        <v>1087</v>
      </c>
      <c r="X736" t="s">
        <v>1089</v>
      </c>
      <c r="Y736">
        <f t="shared" si="80"/>
        <v>0</v>
      </c>
      <c r="Z736" t="s">
        <v>1108</v>
      </c>
      <c r="AA736" t="str">
        <f t="shared" si="81"/>
        <v>Low</v>
      </c>
      <c r="AB736" t="s">
        <v>1103</v>
      </c>
      <c r="AC736" t="str">
        <f t="shared" si="82"/>
        <v>Yes</v>
      </c>
      <c r="AD736">
        <v>5</v>
      </c>
      <c r="AE736">
        <v>15990</v>
      </c>
      <c r="AF736">
        <v>6396</v>
      </c>
      <c r="AG736">
        <f t="shared" si="83"/>
        <v>9349.5</v>
      </c>
    </row>
    <row r="737" spans="1:33" x14ac:dyDescent="0.25">
      <c r="A737">
        <v>1736</v>
      </c>
      <c r="B737" s="1">
        <v>45667</v>
      </c>
      <c r="C737" s="1">
        <v>45669</v>
      </c>
      <c r="D737" s="1">
        <v>45671</v>
      </c>
      <c r="E737" t="s">
        <v>1066</v>
      </c>
      <c r="F737" t="s">
        <v>765</v>
      </c>
      <c r="G737" t="s">
        <v>1069</v>
      </c>
      <c r="H737" t="str">
        <f t="shared" si="77"/>
        <v>Furniture</v>
      </c>
      <c r="I737">
        <v>9</v>
      </c>
      <c r="J737" t="str">
        <f>VLOOKUP(K737,$AJ$2:$AK$7,2,FALSE)</f>
        <v>S002</v>
      </c>
      <c r="K737" t="s">
        <v>1098</v>
      </c>
      <c r="L737">
        <v>3.5</v>
      </c>
      <c r="M737" t="str">
        <f>IFERROR(VLOOKUP(TRIM(N737),$AP$2:$AQ$12,2,FALSE),"W001")</f>
        <v>W009</v>
      </c>
      <c r="N737" t="s">
        <v>1060</v>
      </c>
      <c r="O737" t="s">
        <v>1055</v>
      </c>
      <c r="P737" t="str">
        <f>VLOOKUP(O737,$AL$2:$AM$12,2,FALSE)</f>
        <v>South</v>
      </c>
      <c r="Q737" t="s">
        <v>1082</v>
      </c>
      <c r="R737">
        <v>908</v>
      </c>
      <c r="S737" t="s">
        <v>1078</v>
      </c>
      <c r="T737">
        <f t="shared" si="78"/>
        <v>3</v>
      </c>
      <c r="U737">
        <v>363.2</v>
      </c>
      <c r="V737">
        <f t="shared" si="79"/>
        <v>8</v>
      </c>
      <c r="W737" t="s">
        <v>1088</v>
      </c>
      <c r="X737" t="s">
        <v>1091</v>
      </c>
      <c r="Y737">
        <f t="shared" si="80"/>
        <v>0</v>
      </c>
      <c r="Z737" t="s">
        <v>1109</v>
      </c>
      <c r="AA737" t="str">
        <f t="shared" si="81"/>
        <v>High</v>
      </c>
      <c r="AB737" t="s">
        <v>1103</v>
      </c>
      <c r="AC737" t="str">
        <f t="shared" si="82"/>
        <v>No</v>
      </c>
      <c r="AD737">
        <v>2</v>
      </c>
      <c r="AE737">
        <v>92556</v>
      </c>
      <c r="AF737">
        <v>37022.400000000001</v>
      </c>
      <c r="AG737">
        <f t="shared" si="83"/>
        <v>55170.400000000001</v>
      </c>
    </row>
    <row r="738" spans="1:33" x14ac:dyDescent="0.25">
      <c r="A738">
        <v>1737</v>
      </c>
      <c r="B738" s="1">
        <v>45601</v>
      </c>
      <c r="C738" s="1">
        <v>45603</v>
      </c>
      <c r="D738" s="1">
        <v>45605</v>
      </c>
      <c r="E738" t="s">
        <v>1065</v>
      </c>
      <c r="F738" t="s">
        <v>766</v>
      </c>
      <c r="G738" t="s">
        <v>1070</v>
      </c>
      <c r="H738" t="str">
        <f t="shared" si="77"/>
        <v>Furniture</v>
      </c>
      <c r="I738">
        <v>2</v>
      </c>
      <c r="J738" t="str">
        <f>VLOOKUP(K738,$AJ$2:$AK$7,2,FALSE)</f>
        <v>S001</v>
      </c>
      <c r="K738" t="s">
        <v>1097</v>
      </c>
      <c r="L738">
        <v>4.5999999999999996</v>
      </c>
      <c r="M738" t="str">
        <f>IFERROR(VLOOKUP(TRIM(N738),$AP$2:$AQ$12,2,FALSE),"W001")</f>
        <v>W006</v>
      </c>
      <c r="N738" t="s">
        <v>1057</v>
      </c>
      <c r="O738" t="s">
        <v>1047</v>
      </c>
      <c r="P738" t="str">
        <f>VLOOKUP(O738,$AL$2:$AM$12,2,FALSE)</f>
        <v>West</v>
      </c>
      <c r="Q738" t="s">
        <v>1083</v>
      </c>
      <c r="R738">
        <v>253</v>
      </c>
      <c r="S738" t="s">
        <v>1066</v>
      </c>
      <c r="T738">
        <f t="shared" si="78"/>
        <v>1</v>
      </c>
      <c r="U738">
        <v>126.5</v>
      </c>
      <c r="V738">
        <f t="shared" si="79"/>
        <v>10</v>
      </c>
      <c r="W738" t="s">
        <v>1086</v>
      </c>
      <c r="X738" t="s">
        <v>1091</v>
      </c>
      <c r="Y738">
        <f t="shared" si="80"/>
        <v>126.5</v>
      </c>
      <c r="Z738" t="s">
        <v>1108</v>
      </c>
      <c r="AA738" t="str">
        <f t="shared" si="81"/>
        <v>Medium</v>
      </c>
      <c r="AB738" t="s">
        <v>1103</v>
      </c>
      <c r="AC738" t="str">
        <f t="shared" si="82"/>
        <v>Yes</v>
      </c>
      <c r="AD738">
        <v>5</v>
      </c>
      <c r="AE738">
        <v>5382</v>
      </c>
      <c r="AF738">
        <v>2152.8000000000002</v>
      </c>
      <c r="AG738">
        <f t="shared" si="83"/>
        <v>3102.7</v>
      </c>
    </row>
    <row r="739" spans="1:33" x14ac:dyDescent="0.25">
      <c r="A739">
        <v>1738</v>
      </c>
      <c r="B739" s="1">
        <v>44502</v>
      </c>
      <c r="C739" s="1">
        <v>44504</v>
      </c>
      <c r="D739" s="1">
        <v>44509</v>
      </c>
      <c r="E739" t="s">
        <v>1066</v>
      </c>
      <c r="F739" t="s">
        <v>767</v>
      </c>
      <c r="G739" t="s">
        <v>1070</v>
      </c>
      <c r="H739" t="str">
        <f t="shared" si="77"/>
        <v>Furniture</v>
      </c>
      <c r="I739">
        <v>8</v>
      </c>
      <c r="J739" t="str">
        <f>VLOOKUP(K739,$AJ$2:$AK$7,2,FALSE)</f>
        <v>S001</v>
      </c>
      <c r="K739" t="s">
        <v>1097</v>
      </c>
      <c r="L739">
        <v>4.2</v>
      </c>
      <c r="M739" t="str">
        <f>IFERROR(VLOOKUP(TRIM(N739),$AP$2:$AQ$12,2,FALSE),"W001")</f>
        <v>W003</v>
      </c>
      <c r="N739" t="s">
        <v>1051</v>
      </c>
      <c r="O739" t="s">
        <v>1060</v>
      </c>
      <c r="P739" t="str">
        <f>VLOOKUP(O739,$AL$2:$AM$12,2,FALSE)</f>
        <v>North</v>
      </c>
      <c r="Q739" t="s">
        <v>1084</v>
      </c>
      <c r="R739">
        <v>1942</v>
      </c>
      <c r="S739" t="s">
        <v>1078</v>
      </c>
      <c r="T739">
        <f t="shared" si="78"/>
        <v>7</v>
      </c>
      <c r="U739">
        <v>582.6</v>
      </c>
      <c r="V739">
        <f t="shared" si="79"/>
        <v>6</v>
      </c>
      <c r="W739" t="s">
        <v>1088</v>
      </c>
      <c r="X739" t="s">
        <v>1091</v>
      </c>
      <c r="Y739">
        <f t="shared" si="80"/>
        <v>0</v>
      </c>
      <c r="Z739" t="s">
        <v>1109</v>
      </c>
      <c r="AA739" t="str">
        <f t="shared" si="81"/>
        <v>High</v>
      </c>
      <c r="AB739" t="s">
        <v>1103</v>
      </c>
      <c r="AC739" t="str">
        <f t="shared" si="82"/>
        <v>No</v>
      </c>
      <c r="AD739">
        <v>2</v>
      </c>
      <c r="AE739">
        <v>46568</v>
      </c>
      <c r="AF739">
        <v>18627.2</v>
      </c>
      <c r="AG739">
        <f t="shared" si="83"/>
        <v>27358.2</v>
      </c>
    </row>
    <row r="740" spans="1:33" x14ac:dyDescent="0.25">
      <c r="A740">
        <v>1739</v>
      </c>
      <c r="B740" s="1">
        <v>45779</v>
      </c>
      <c r="C740" s="1">
        <v>45782</v>
      </c>
      <c r="D740" s="1">
        <v>45786</v>
      </c>
      <c r="E740" t="s">
        <v>1065</v>
      </c>
      <c r="F740" t="s">
        <v>768</v>
      </c>
      <c r="G740" t="s">
        <v>1067</v>
      </c>
      <c r="H740" t="str">
        <f t="shared" si="77"/>
        <v>Clothing</v>
      </c>
      <c r="I740">
        <v>6</v>
      </c>
      <c r="J740" t="str">
        <f>VLOOKUP(K740,$AJ$2:$AK$7,2,FALSE)</f>
        <v>S005</v>
      </c>
      <c r="K740" t="s">
        <v>1101</v>
      </c>
      <c r="L740">
        <v>4.9000000000000004</v>
      </c>
      <c r="M740" t="str">
        <f>IFERROR(VLOOKUP(TRIM(N740),$AP$2:$AQ$12,2,FALSE),"W001")</f>
        <v>W010</v>
      </c>
      <c r="N740" t="s">
        <v>1063</v>
      </c>
      <c r="O740" t="s">
        <v>1063</v>
      </c>
      <c r="P740" t="str">
        <f>VLOOKUP(O740,$AL$2:$AM$12,2,FALSE)</f>
        <v>South</v>
      </c>
      <c r="Q740" t="s">
        <v>1085</v>
      </c>
      <c r="R740">
        <v>46</v>
      </c>
      <c r="S740" t="s">
        <v>1079</v>
      </c>
      <c r="T740">
        <f t="shared" si="78"/>
        <v>3</v>
      </c>
      <c r="U740">
        <v>4.5999999999999996</v>
      </c>
      <c r="V740">
        <f t="shared" si="79"/>
        <v>3</v>
      </c>
      <c r="W740" t="s">
        <v>1086</v>
      </c>
      <c r="X740" t="s">
        <v>1090</v>
      </c>
      <c r="Y740">
        <f t="shared" si="80"/>
        <v>4.5999999999999996</v>
      </c>
      <c r="Z740" t="s">
        <v>1108</v>
      </c>
      <c r="AA740" t="str">
        <f t="shared" si="81"/>
        <v>Low</v>
      </c>
      <c r="AB740" t="s">
        <v>1103</v>
      </c>
      <c r="AC740" t="str">
        <f t="shared" si="82"/>
        <v>Yes</v>
      </c>
      <c r="AD740">
        <v>4</v>
      </c>
      <c r="AE740">
        <v>5730</v>
      </c>
      <c r="AF740">
        <v>2292</v>
      </c>
      <c r="AG740">
        <f t="shared" si="83"/>
        <v>3433.4</v>
      </c>
    </row>
    <row r="741" spans="1:33" x14ac:dyDescent="0.25">
      <c r="A741">
        <v>1740</v>
      </c>
      <c r="B741" s="1">
        <v>45260</v>
      </c>
      <c r="C741" s="1">
        <v>45263</v>
      </c>
      <c r="D741" s="1">
        <v>45270</v>
      </c>
      <c r="E741" t="s">
        <v>1065</v>
      </c>
      <c r="F741" t="s">
        <v>769</v>
      </c>
      <c r="G741" t="s">
        <v>1072</v>
      </c>
      <c r="H741" t="str">
        <f t="shared" si="77"/>
        <v>Electronics</v>
      </c>
      <c r="I741">
        <v>3</v>
      </c>
      <c r="J741" t="str">
        <f>VLOOKUP(K741,$AJ$2:$AK$7,2,FALSE)</f>
        <v>S004</v>
      </c>
      <c r="K741" t="s">
        <v>1100</v>
      </c>
      <c r="L741">
        <v>3.8</v>
      </c>
      <c r="M741" t="str">
        <f>IFERROR(VLOOKUP(TRIM(N741),$AP$2:$AQ$12,2,FALSE),"W001")</f>
        <v>W009</v>
      </c>
      <c r="N741" t="s">
        <v>1060</v>
      </c>
      <c r="O741" t="s">
        <v>1062</v>
      </c>
      <c r="P741" t="str">
        <f>VLOOKUP(O741,$AL$2:$AM$12,2,FALSE)</f>
        <v>North</v>
      </c>
      <c r="Q741" t="s">
        <v>1085</v>
      </c>
      <c r="R741">
        <v>293</v>
      </c>
      <c r="S741" t="s">
        <v>1066</v>
      </c>
      <c r="T741">
        <f t="shared" si="78"/>
        <v>4</v>
      </c>
      <c r="U741">
        <v>29.3</v>
      </c>
      <c r="V741">
        <f t="shared" si="79"/>
        <v>3</v>
      </c>
      <c r="W741" t="s">
        <v>1087</v>
      </c>
      <c r="X741" t="s">
        <v>1090</v>
      </c>
      <c r="Y741">
        <f t="shared" si="80"/>
        <v>0</v>
      </c>
      <c r="Z741" t="s">
        <v>1108</v>
      </c>
      <c r="AA741" t="str">
        <f t="shared" si="81"/>
        <v>Low</v>
      </c>
      <c r="AB741" t="s">
        <v>1103</v>
      </c>
      <c r="AC741" t="str">
        <f t="shared" si="82"/>
        <v>Yes</v>
      </c>
      <c r="AD741">
        <v>5</v>
      </c>
      <c r="AE741">
        <v>37677</v>
      </c>
      <c r="AF741">
        <v>15070.800000000001</v>
      </c>
      <c r="AG741">
        <f t="shared" si="83"/>
        <v>22576.899999999998</v>
      </c>
    </row>
    <row r="742" spans="1:33" x14ac:dyDescent="0.25">
      <c r="A742">
        <v>1741</v>
      </c>
      <c r="B742" s="1">
        <v>44640</v>
      </c>
      <c r="C742" s="1">
        <v>44641</v>
      </c>
      <c r="D742" s="1">
        <v>44648</v>
      </c>
      <c r="E742" t="s">
        <v>1064</v>
      </c>
      <c r="F742" t="s">
        <v>770</v>
      </c>
      <c r="G742" t="s">
        <v>1068</v>
      </c>
      <c r="H742" t="str">
        <f t="shared" si="77"/>
        <v>Electronics</v>
      </c>
      <c r="I742">
        <v>9</v>
      </c>
      <c r="J742" t="str">
        <f>VLOOKUP(K742,$AJ$2:$AK$7,2,FALSE)</f>
        <v>S002</v>
      </c>
      <c r="K742" t="s">
        <v>1098</v>
      </c>
      <c r="L742">
        <v>4</v>
      </c>
      <c r="M742" t="str">
        <f>IFERROR(VLOOKUP(TRIM(N742),$AP$2:$AQ$12,2,FALSE),"W001")</f>
        <v>W008</v>
      </c>
      <c r="N742" t="s">
        <v>1061</v>
      </c>
      <c r="O742" t="s">
        <v>1062</v>
      </c>
      <c r="P742" t="str">
        <f>VLOOKUP(O742,$AL$2:$AM$12,2,FALSE)</f>
        <v>North</v>
      </c>
      <c r="Q742" t="s">
        <v>1083</v>
      </c>
      <c r="R742">
        <v>672</v>
      </c>
      <c r="S742" t="s">
        <v>1066</v>
      </c>
      <c r="T742">
        <f t="shared" si="78"/>
        <v>2</v>
      </c>
      <c r="U742">
        <v>336</v>
      </c>
      <c r="V742">
        <f t="shared" si="79"/>
        <v>10</v>
      </c>
      <c r="W742" t="s">
        <v>1086</v>
      </c>
      <c r="X742" t="s">
        <v>1090</v>
      </c>
      <c r="Y742">
        <f t="shared" si="80"/>
        <v>336</v>
      </c>
      <c r="Z742" t="s">
        <v>1108</v>
      </c>
      <c r="AA742" t="str">
        <f t="shared" si="81"/>
        <v>Medium</v>
      </c>
      <c r="AB742" t="s">
        <v>1103</v>
      </c>
      <c r="AC742" t="str">
        <f t="shared" si="82"/>
        <v>Yes</v>
      </c>
      <c r="AD742">
        <v>5</v>
      </c>
      <c r="AE742">
        <v>603387</v>
      </c>
      <c r="AF742">
        <v>241354.80000000002</v>
      </c>
      <c r="AG742">
        <f t="shared" si="83"/>
        <v>361696.19999999995</v>
      </c>
    </row>
    <row r="743" spans="1:33" x14ac:dyDescent="0.25">
      <c r="A743">
        <v>1742</v>
      </c>
      <c r="B743" s="1">
        <v>46243</v>
      </c>
      <c r="C743" s="1">
        <v>46246</v>
      </c>
      <c r="D743" s="1">
        <v>46251</v>
      </c>
      <c r="E743" t="s">
        <v>1065</v>
      </c>
      <c r="F743" t="s">
        <v>771</v>
      </c>
      <c r="G743" t="s">
        <v>1069</v>
      </c>
      <c r="H743" t="str">
        <f t="shared" si="77"/>
        <v>Furniture</v>
      </c>
      <c r="I743">
        <v>3</v>
      </c>
      <c r="J743" t="str">
        <f>VLOOKUP(K743,$AJ$2:$AK$7,2,FALSE)</f>
        <v>S001</v>
      </c>
      <c r="K743" t="s">
        <v>1097</v>
      </c>
      <c r="L743">
        <v>4.0999999999999996</v>
      </c>
      <c r="M743" t="str">
        <f>IFERROR(VLOOKUP(TRIM(N743),$AP$2:$AQ$12,2,FALSE),"W001")</f>
        <v>W009</v>
      </c>
      <c r="N743" t="s">
        <v>1060</v>
      </c>
      <c r="O743" t="s">
        <v>1063</v>
      </c>
      <c r="P743" t="str">
        <f>VLOOKUP(O743,$AL$2:$AM$12,2,FALSE)</f>
        <v>South</v>
      </c>
      <c r="Q743" t="s">
        <v>1081</v>
      </c>
      <c r="R743">
        <v>454</v>
      </c>
      <c r="S743" t="s">
        <v>1066</v>
      </c>
      <c r="T743">
        <f t="shared" si="78"/>
        <v>3</v>
      </c>
      <c r="U743">
        <v>90.8</v>
      </c>
      <c r="V743">
        <f t="shared" si="79"/>
        <v>5</v>
      </c>
      <c r="W743" t="s">
        <v>1088</v>
      </c>
      <c r="X743" t="s">
        <v>1091</v>
      </c>
      <c r="Y743">
        <f t="shared" si="80"/>
        <v>0</v>
      </c>
      <c r="Z743" t="s">
        <v>1108</v>
      </c>
      <c r="AA743" t="str">
        <f t="shared" si="81"/>
        <v>Low</v>
      </c>
      <c r="AB743" t="s">
        <v>1103</v>
      </c>
      <c r="AC743" t="str">
        <f t="shared" si="82"/>
        <v>Yes</v>
      </c>
      <c r="AD743">
        <v>4</v>
      </c>
      <c r="AE743">
        <v>30015</v>
      </c>
      <c r="AF743">
        <v>12006</v>
      </c>
      <c r="AG743">
        <f t="shared" si="83"/>
        <v>17918.2</v>
      </c>
    </row>
    <row r="744" spans="1:33" x14ac:dyDescent="0.25">
      <c r="A744">
        <v>1743</v>
      </c>
      <c r="B744" s="1">
        <v>45986</v>
      </c>
      <c r="C744" s="1">
        <v>45989</v>
      </c>
      <c r="D744" s="1">
        <v>45994</v>
      </c>
      <c r="E744" t="s">
        <v>1065</v>
      </c>
      <c r="F744" t="s">
        <v>772</v>
      </c>
      <c r="G744" t="s">
        <v>1071</v>
      </c>
      <c r="H744" t="str">
        <f t="shared" si="77"/>
        <v>Clothing</v>
      </c>
      <c r="I744">
        <v>2</v>
      </c>
      <c r="J744" t="str">
        <f>VLOOKUP(K744,$AJ$2:$AK$7,2,FALSE)</f>
        <v>S006</v>
      </c>
      <c r="K744" t="s">
        <v>1102</v>
      </c>
      <c r="L744">
        <v>4.0999999999999996</v>
      </c>
      <c r="M744" t="str">
        <f>IFERROR(VLOOKUP(TRIM(N744),$AP$2:$AQ$12,2,FALSE),"W001")</f>
        <v>W010</v>
      </c>
      <c r="N744" t="s">
        <v>1063</v>
      </c>
      <c r="O744" t="s">
        <v>1062</v>
      </c>
      <c r="P744" t="str">
        <f>VLOOKUP(O744,$AL$2:$AM$12,2,FALSE)</f>
        <v>North</v>
      </c>
      <c r="Q744" t="s">
        <v>1081</v>
      </c>
      <c r="R744">
        <v>1819</v>
      </c>
      <c r="S744" t="s">
        <v>1078</v>
      </c>
      <c r="T744">
        <f t="shared" si="78"/>
        <v>8</v>
      </c>
      <c r="U744">
        <v>363.8</v>
      </c>
      <c r="V744">
        <f t="shared" si="79"/>
        <v>5</v>
      </c>
      <c r="W744" t="s">
        <v>1086</v>
      </c>
      <c r="X744" t="s">
        <v>1091</v>
      </c>
      <c r="Y744">
        <f t="shared" si="80"/>
        <v>363.8</v>
      </c>
      <c r="Z744" t="s">
        <v>1109</v>
      </c>
      <c r="AA744" t="str">
        <f t="shared" si="81"/>
        <v>High</v>
      </c>
      <c r="AB744" t="s">
        <v>1103</v>
      </c>
      <c r="AC744" t="str">
        <f t="shared" si="82"/>
        <v>No</v>
      </c>
      <c r="AD744">
        <v>3</v>
      </c>
      <c r="AE744">
        <v>3484</v>
      </c>
      <c r="AF744">
        <v>1393.6000000000001</v>
      </c>
      <c r="AG744">
        <f t="shared" si="83"/>
        <v>1726.5999999999997</v>
      </c>
    </row>
    <row r="745" spans="1:33" x14ac:dyDescent="0.25">
      <c r="A745">
        <v>1744</v>
      </c>
      <c r="B745" s="1">
        <v>46194</v>
      </c>
      <c r="C745" s="1">
        <v>46195</v>
      </c>
      <c r="D745" s="1">
        <v>46197</v>
      </c>
      <c r="E745" t="s">
        <v>1065</v>
      </c>
      <c r="F745" t="s">
        <v>773</v>
      </c>
      <c r="G745" t="s">
        <v>1071</v>
      </c>
      <c r="H745" t="str">
        <f t="shared" si="77"/>
        <v>Clothing</v>
      </c>
      <c r="I745">
        <v>9</v>
      </c>
      <c r="J745" t="str">
        <f>VLOOKUP(K745,$AJ$2:$AK$7,2,FALSE)</f>
        <v>S001</v>
      </c>
      <c r="K745" t="s">
        <v>1097</v>
      </c>
      <c r="L745">
        <v>3.7</v>
      </c>
      <c r="M745" t="str">
        <f>IFERROR(VLOOKUP(TRIM(N745),$AP$2:$AQ$12,2,FALSE),"W001")</f>
        <v>W010</v>
      </c>
      <c r="N745" t="s">
        <v>1063</v>
      </c>
      <c r="O745" t="s">
        <v>1047</v>
      </c>
      <c r="P745" t="str">
        <f>VLOOKUP(O745,$AL$2:$AM$12,2,FALSE)</f>
        <v>West</v>
      </c>
      <c r="Q745" t="s">
        <v>1082</v>
      </c>
      <c r="R745">
        <v>559</v>
      </c>
      <c r="S745" t="s">
        <v>1066</v>
      </c>
      <c r="T745">
        <f t="shared" si="78"/>
        <v>2</v>
      </c>
      <c r="U745">
        <v>223.6</v>
      </c>
      <c r="V745">
        <f t="shared" si="79"/>
        <v>8</v>
      </c>
      <c r="W745" t="s">
        <v>1087</v>
      </c>
      <c r="X745" t="s">
        <v>1091</v>
      </c>
      <c r="Y745">
        <f t="shared" si="80"/>
        <v>0</v>
      </c>
      <c r="Z745" t="s">
        <v>1108</v>
      </c>
      <c r="AA745" t="str">
        <f t="shared" si="81"/>
        <v>Medium</v>
      </c>
      <c r="AB745" t="s">
        <v>1103</v>
      </c>
      <c r="AC745" t="str">
        <f t="shared" si="82"/>
        <v>Yes</v>
      </c>
      <c r="AD745">
        <v>4</v>
      </c>
      <c r="AE745">
        <v>26469</v>
      </c>
      <c r="AF745">
        <v>10587.6</v>
      </c>
      <c r="AG745">
        <f t="shared" si="83"/>
        <v>15657.8</v>
      </c>
    </row>
    <row r="746" spans="1:33" x14ac:dyDescent="0.25">
      <c r="A746">
        <v>1745</v>
      </c>
      <c r="B746" s="1">
        <v>45251</v>
      </c>
      <c r="C746" s="1">
        <v>45253</v>
      </c>
      <c r="D746" s="1">
        <v>45259</v>
      </c>
      <c r="E746" t="s">
        <v>1065</v>
      </c>
      <c r="F746" t="s">
        <v>774</v>
      </c>
      <c r="G746" t="s">
        <v>1071</v>
      </c>
      <c r="H746" t="str">
        <f t="shared" si="77"/>
        <v>Clothing</v>
      </c>
      <c r="I746">
        <v>2</v>
      </c>
      <c r="J746" t="str">
        <f>VLOOKUP(K746,$AJ$2:$AK$7,2,FALSE)</f>
        <v>S006</v>
      </c>
      <c r="K746" t="s">
        <v>1102</v>
      </c>
      <c r="L746">
        <v>3.3</v>
      </c>
      <c r="M746" t="str">
        <f>IFERROR(VLOOKUP(TRIM(N746),$AP$2:$AQ$12,2,FALSE),"W001")</f>
        <v>W006</v>
      </c>
      <c r="N746" t="s">
        <v>1057</v>
      </c>
      <c r="O746" t="s">
        <v>1062</v>
      </c>
      <c r="P746" t="str">
        <f>VLOOKUP(O746,$AL$2:$AM$12,2,FALSE)</f>
        <v>North</v>
      </c>
      <c r="Q746" t="s">
        <v>1081</v>
      </c>
      <c r="R746">
        <v>1416</v>
      </c>
      <c r="S746" t="s">
        <v>1078</v>
      </c>
      <c r="T746">
        <f t="shared" si="78"/>
        <v>7</v>
      </c>
      <c r="U746">
        <v>283.2</v>
      </c>
      <c r="V746">
        <f t="shared" si="79"/>
        <v>5</v>
      </c>
      <c r="W746" t="s">
        <v>1088</v>
      </c>
      <c r="X746" t="s">
        <v>1090</v>
      </c>
      <c r="Y746">
        <f t="shared" si="80"/>
        <v>0</v>
      </c>
      <c r="Z746" t="s">
        <v>1108</v>
      </c>
      <c r="AA746" t="str">
        <f t="shared" si="81"/>
        <v>Low</v>
      </c>
      <c r="AB746" t="s">
        <v>1103</v>
      </c>
      <c r="AC746" t="str">
        <f t="shared" si="82"/>
        <v>Yes</v>
      </c>
      <c r="AD746">
        <v>5</v>
      </c>
      <c r="AE746">
        <v>4422</v>
      </c>
      <c r="AF746">
        <v>1768.8000000000002</v>
      </c>
      <c r="AG746">
        <f t="shared" si="83"/>
        <v>2370</v>
      </c>
    </row>
    <row r="747" spans="1:33" x14ac:dyDescent="0.25">
      <c r="A747">
        <v>1746</v>
      </c>
      <c r="B747" s="1">
        <v>45831</v>
      </c>
      <c r="C747" s="1">
        <v>45834</v>
      </c>
      <c r="D747" s="1">
        <v>45840</v>
      </c>
      <c r="E747" t="s">
        <v>1065</v>
      </c>
      <c r="F747" t="s">
        <v>775</v>
      </c>
      <c r="G747" t="s">
        <v>1069</v>
      </c>
      <c r="H747" t="str">
        <f t="shared" si="77"/>
        <v>Furniture</v>
      </c>
      <c r="I747">
        <v>4</v>
      </c>
      <c r="J747" t="str">
        <f>VLOOKUP(K747,$AJ$2:$AK$7,2,FALSE)</f>
        <v>S001</v>
      </c>
      <c r="K747" t="s">
        <v>1097</v>
      </c>
      <c r="L747">
        <v>4.7</v>
      </c>
      <c r="M747" t="str">
        <f>IFERROR(VLOOKUP(TRIM(N747),$AP$2:$AQ$12,2,FALSE),"W001")</f>
        <v>W005</v>
      </c>
      <c r="N747" t="s">
        <v>1055</v>
      </c>
      <c r="O747" t="s">
        <v>1051</v>
      </c>
      <c r="P747" t="str">
        <f>VLOOKUP(O747,$AL$2:$AM$12,2,FALSE)</f>
        <v>West</v>
      </c>
      <c r="Q747" t="s">
        <v>1080</v>
      </c>
      <c r="R747">
        <v>1859</v>
      </c>
      <c r="S747" t="s">
        <v>1078</v>
      </c>
      <c r="T747">
        <f t="shared" si="78"/>
        <v>8</v>
      </c>
      <c r="U747">
        <v>278.85000000000002</v>
      </c>
      <c r="V747">
        <f t="shared" si="79"/>
        <v>4</v>
      </c>
      <c r="W747" t="s">
        <v>1088</v>
      </c>
      <c r="X747" t="s">
        <v>1090</v>
      </c>
      <c r="Y747">
        <f t="shared" si="80"/>
        <v>0</v>
      </c>
      <c r="Z747" t="s">
        <v>1108</v>
      </c>
      <c r="AA747" t="str">
        <f t="shared" si="81"/>
        <v>Low</v>
      </c>
      <c r="AB747" t="s">
        <v>1103</v>
      </c>
      <c r="AC747" t="str">
        <f t="shared" si="82"/>
        <v>Yes</v>
      </c>
      <c r="AD747">
        <v>4</v>
      </c>
      <c r="AE747">
        <v>29916</v>
      </c>
      <c r="AF747">
        <v>11966.400000000001</v>
      </c>
      <c r="AG747">
        <f t="shared" si="83"/>
        <v>17670.75</v>
      </c>
    </row>
    <row r="748" spans="1:33" x14ac:dyDescent="0.25">
      <c r="A748">
        <v>1747</v>
      </c>
      <c r="B748" s="1">
        <v>44660</v>
      </c>
      <c r="C748" s="1">
        <v>44661</v>
      </c>
      <c r="D748" s="1">
        <v>44666</v>
      </c>
      <c r="E748" t="s">
        <v>1065</v>
      </c>
      <c r="F748" t="s">
        <v>776</v>
      </c>
      <c r="G748" t="s">
        <v>1068</v>
      </c>
      <c r="H748" t="str">
        <f t="shared" si="77"/>
        <v>Electronics</v>
      </c>
      <c r="I748">
        <v>1</v>
      </c>
      <c r="J748" t="str">
        <f>VLOOKUP(K748,$AJ$2:$AK$7,2,FALSE)</f>
        <v>S006</v>
      </c>
      <c r="K748" t="s">
        <v>1102</v>
      </c>
      <c r="L748">
        <v>3.9</v>
      </c>
      <c r="M748" t="str">
        <f>IFERROR(VLOOKUP(TRIM(N748),$AP$2:$AQ$12,2,FALSE),"W001")</f>
        <v>W003</v>
      </c>
      <c r="N748" t="s">
        <v>1051</v>
      </c>
      <c r="O748" t="s">
        <v>1053</v>
      </c>
      <c r="P748" t="str">
        <f>VLOOKUP(O748,$AL$2:$AM$12,2,FALSE)</f>
        <v>South</v>
      </c>
      <c r="Q748" t="s">
        <v>1083</v>
      </c>
      <c r="R748">
        <v>1215</v>
      </c>
      <c r="S748" t="s">
        <v>1078</v>
      </c>
      <c r="T748">
        <f t="shared" si="78"/>
        <v>3</v>
      </c>
      <c r="U748">
        <v>607.5</v>
      </c>
      <c r="V748">
        <f t="shared" si="79"/>
        <v>10</v>
      </c>
      <c r="W748" t="s">
        <v>1088</v>
      </c>
      <c r="X748" t="s">
        <v>1091</v>
      </c>
      <c r="Y748">
        <f t="shared" si="80"/>
        <v>0</v>
      </c>
      <c r="Z748" t="s">
        <v>1108</v>
      </c>
      <c r="AA748" t="str">
        <f t="shared" si="81"/>
        <v>Medium</v>
      </c>
      <c r="AB748" t="s">
        <v>1103</v>
      </c>
      <c r="AC748" t="str">
        <f t="shared" si="82"/>
        <v>Yes</v>
      </c>
      <c r="AD748">
        <v>5</v>
      </c>
      <c r="AE748">
        <v>66996</v>
      </c>
      <c r="AF748">
        <v>26798.400000000001</v>
      </c>
      <c r="AG748">
        <f t="shared" si="83"/>
        <v>39590.1</v>
      </c>
    </row>
    <row r="749" spans="1:33" x14ac:dyDescent="0.25">
      <c r="A749">
        <v>1748</v>
      </c>
      <c r="B749" s="1">
        <v>44822</v>
      </c>
      <c r="C749" s="1">
        <v>44824</v>
      </c>
      <c r="D749" s="1">
        <v>44827</v>
      </c>
      <c r="E749" t="s">
        <v>1065</v>
      </c>
      <c r="F749" t="s">
        <v>777</v>
      </c>
      <c r="G749" t="s">
        <v>1067</v>
      </c>
      <c r="H749" t="str">
        <f t="shared" si="77"/>
        <v>Clothing</v>
      </c>
      <c r="I749">
        <v>2</v>
      </c>
      <c r="J749" t="str">
        <f>VLOOKUP(K749,$AJ$2:$AK$7,2,FALSE)</f>
        <v>S001</v>
      </c>
      <c r="K749" t="s">
        <v>1097</v>
      </c>
      <c r="L749">
        <v>4.0999999999999996</v>
      </c>
      <c r="M749" t="str">
        <f>IFERROR(VLOOKUP(TRIM(N749),$AP$2:$AQ$12,2,FALSE),"W001")</f>
        <v>W007</v>
      </c>
      <c r="N749" t="s">
        <v>1062</v>
      </c>
      <c r="O749" t="s">
        <v>1057</v>
      </c>
      <c r="P749" t="str">
        <f>VLOOKUP(O749,$AL$2:$AM$12,2,FALSE)</f>
        <v>South</v>
      </c>
      <c r="Q749" t="s">
        <v>1080</v>
      </c>
      <c r="R749">
        <v>603</v>
      </c>
      <c r="S749" t="s">
        <v>1066</v>
      </c>
      <c r="T749">
        <f t="shared" si="78"/>
        <v>4</v>
      </c>
      <c r="U749">
        <v>90.45</v>
      </c>
      <c r="V749">
        <f t="shared" si="79"/>
        <v>4</v>
      </c>
      <c r="W749" t="s">
        <v>1087</v>
      </c>
      <c r="X749" t="s">
        <v>1091</v>
      </c>
      <c r="Y749">
        <f t="shared" si="80"/>
        <v>0</v>
      </c>
      <c r="Z749" t="s">
        <v>1108</v>
      </c>
      <c r="AA749" t="str">
        <f t="shared" si="81"/>
        <v>Low</v>
      </c>
      <c r="AB749" t="s">
        <v>1103</v>
      </c>
      <c r="AC749" t="str">
        <f t="shared" si="82"/>
        <v>Yes</v>
      </c>
      <c r="AD749">
        <v>4</v>
      </c>
      <c r="AE749">
        <v>1726</v>
      </c>
      <c r="AF749">
        <v>690.40000000000009</v>
      </c>
      <c r="AG749">
        <f t="shared" si="83"/>
        <v>945.14999999999986</v>
      </c>
    </row>
    <row r="750" spans="1:33" x14ac:dyDescent="0.25">
      <c r="A750">
        <v>1749</v>
      </c>
      <c r="B750" s="1">
        <v>44739</v>
      </c>
      <c r="C750" s="1">
        <v>44740</v>
      </c>
      <c r="D750" s="1">
        <v>44747</v>
      </c>
      <c r="E750" t="s">
        <v>1066</v>
      </c>
      <c r="F750" t="s">
        <v>778</v>
      </c>
      <c r="G750" t="s">
        <v>1068</v>
      </c>
      <c r="H750" t="str">
        <f t="shared" si="77"/>
        <v>Electronics</v>
      </c>
      <c r="I750">
        <v>3</v>
      </c>
      <c r="J750" t="str">
        <f>VLOOKUP(K750,$AJ$2:$AK$7,2,FALSE)</f>
        <v>S006</v>
      </c>
      <c r="K750" t="s">
        <v>1102</v>
      </c>
      <c r="L750">
        <v>4.4000000000000004</v>
      </c>
      <c r="M750" t="str">
        <f>IFERROR(VLOOKUP(TRIM(N750),$AP$2:$AQ$12,2,FALSE),"W001")</f>
        <v>W010</v>
      </c>
      <c r="N750" t="s">
        <v>1063</v>
      </c>
      <c r="O750" t="s">
        <v>1061</v>
      </c>
      <c r="P750" t="str">
        <f>VLOOKUP(O750,$AL$2:$AM$12,2,FALSE)</f>
        <v>West</v>
      </c>
      <c r="Q750" t="s">
        <v>1080</v>
      </c>
      <c r="R750">
        <v>1112</v>
      </c>
      <c r="S750" t="s">
        <v>1078</v>
      </c>
      <c r="T750">
        <f t="shared" si="78"/>
        <v>6</v>
      </c>
      <c r="U750">
        <v>166.8</v>
      </c>
      <c r="V750">
        <f t="shared" si="79"/>
        <v>4</v>
      </c>
      <c r="W750" t="s">
        <v>1088</v>
      </c>
      <c r="X750" t="s">
        <v>1091</v>
      </c>
      <c r="Y750">
        <f t="shared" si="80"/>
        <v>0</v>
      </c>
      <c r="Z750" t="s">
        <v>1108</v>
      </c>
      <c r="AA750" t="str">
        <f t="shared" si="81"/>
        <v>Low</v>
      </c>
      <c r="AB750" t="s">
        <v>1103</v>
      </c>
      <c r="AC750" t="str">
        <f t="shared" si="82"/>
        <v>Yes</v>
      </c>
      <c r="AD750">
        <v>4</v>
      </c>
      <c r="AE750">
        <v>171537</v>
      </c>
      <c r="AF750">
        <v>68614.8</v>
      </c>
      <c r="AG750">
        <f t="shared" si="83"/>
        <v>102755.4</v>
      </c>
    </row>
    <row r="751" spans="1:33" x14ac:dyDescent="0.25">
      <c r="A751">
        <v>1750</v>
      </c>
      <c r="B751" s="1">
        <v>44309</v>
      </c>
      <c r="C751" s="1">
        <v>44310</v>
      </c>
      <c r="D751" s="1">
        <v>44317</v>
      </c>
      <c r="E751" t="s">
        <v>1065</v>
      </c>
      <c r="F751" t="s">
        <v>779</v>
      </c>
      <c r="G751" t="s">
        <v>1072</v>
      </c>
      <c r="H751" t="str">
        <f t="shared" si="77"/>
        <v>Electronics</v>
      </c>
      <c r="I751">
        <v>9</v>
      </c>
      <c r="J751" t="str">
        <f>VLOOKUP(K751,$AJ$2:$AK$7,2,FALSE)</f>
        <v>S001</v>
      </c>
      <c r="K751" t="s">
        <v>1097</v>
      </c>
      <c r="L751">
        <v>4.8</v>
      </c>
      <c r="M751" t="str">
        <f>IFERROR(VLOOKUP(TRIM(N751),$AP$2:$AQ$12,2,FALSE),"W001")</f>
        <v>W002</v>
      </c>
      <c r="N751" t="s">
        <v>1049</v>
      </c>
      <c r="O751" t="s">
        <v>1051</v>
      </c>
      <c r="P751" t="str">
        <f>VLOOKUP(O751,$AL$2:$AM$12,2,FALSE)</f>
        <v>West</v>
      </c>
      <c r="Q751" t="s">
        <v>1083</v>
      </c>
      <c r="R751">
        <v>1037</v>
      </c>
      <c r="S751" t="s">
        <v>1078</v>
      </c>
      <c r="T751">
        <f t="shared" si="78"/>
        <v>2</v>
      </c>
      <c r="U751">
        <v>518.5</v>
      </c>
      <c r="V751">
        <f t="shared" si="79"/>
        <v>10</v>
      </c>
      <c r="W751" t="s">
        <v>1087</v>
      </c>
      <c r="X751" t="s">
        <v>1091</v>
      </c>
      <c r="Y751">
        <f t="shared" si="80"/>
        <v>0</v>
      </c>
      <c r="Z751" t="s">
        <v>1108</v>
      </c>
      <c r="AA751" t="str">
        <f t="shared" si="81"/>
        <v>Medium</v>
      </c>
      <c r="AB751" t="s">
        <v>1103</v>
      </c>
      <c r="AC751" t="str">
        <f t="shared" si="82"/>
        <v>Yes</v>
      </c>
      <c r="AD751">
        <v>5</v>
      </c>
      <c r="AE751">
        <v>93330</v>
      </c>
      <c r="AF751">
        <v>37332</v>
      </c>
      <c r="AG751">
        <f t="shared" si="83"/>
        <v>55479.5</v>
      </c>
    </row>
    <row r="752" spans="1:33" x14ac:dyDescent="0.25">
      <c r="A752">
        <v>1751</v>
      </c>
      <c r="B752" s="1">
        <v>44965</v>
      </c>
      <c r="C752" s="1">
        <v>44966</v>
      </c>
      <c r="D752" s="1">
        <v>44968</v>
      </c>
      <c r="E752" t="s">
        <v>1064</v>
      </c>
      <c r="F752" t="s">
        <v>780</v>
      </c>
      <c r="G752" t="s">
        <v>1067</v>
      </c>
      <c r="H752" t="str">
        <f t="shared" si="77"/>
        <v>Clothing</v>
      </c>
      <c r="I752">
        <v>4</v>
      </c>
      <c r="J752" t="str">
        <f>VLOOKUP(K752,$AJ$2:$AK$7,2,FALSE)</f>
        <v>S002</v>
      </c>
      <c r="K752" t="s">
        <v>1098</v>
      </c>
      <c r="L752">
        <v>4.5999999999999996</v>
      </c>
      <c r="M752" t="str">
        <f>IFERROR(VLOOKUP(TRIM(N752),$AP$2:$AQ$12,2,FALSE),"W001")</f>
        <v>W004</v>
      </c>
      <c r="N752" t="s">
        <v>1053</v>
      </c>
      <c r="O752" t="s">
        <v>1061</v>
      </c>
      <c r="P752" t="str">
        <f>VLOOKUP(O752,$AL$2:$AM$12,2,FALSE)</f>
        <v>West</v>
      </c>
      <c r="Q752" t="s">
        <v>1084</v>
      </c>
      <c r="R752">
        <v>970</v>
      </c>
      <c r="S752" t="s">
        <v>1078</v>
      </c>
      <c r="T752">
        <f t="shared" si="78"/>
        <v>4</v>
      </c>
      <c r="U752">
        <v>291</v>
      </c>
      <c r="V752">
        <f t="shared" si="79"/>
        <v>6</v>
      </c>
      <c r="W752" t="s">
        <v>1086</v>
      </c>
      <c r="X752" t="s">
        <v>1091</v>
      </c>
      <c r="Y752">
        <f t="shared" si="80"/>
        <v>291</v>
      </c>
      <c r="Z752" t="s">
        <v>1108</v>
      </c>
      <c r="AA752" t="str">
        <f t="shared" si="81"/>
        <v>Low</v>
      </c>
      <c r="AB752" t="s">
        <v>1103</v>
      </c>
      <c r="AC752" t="str">
        <f t="shared" si="82"/>
        <v>Yes</v>
      </c>
      <c r="AD752">
        <v>4</v>
      </c>
      <c r="AE752">
        <v>2160</v>
      </c>
      <c r="AF752">
        <v>864</v>
      </c>
      <c r="AG752">
        <f t="shared" si="83"/>
        <v>1005</v>
      </c>
    </row>
    <row r="753" spans="1:33" x14ac:dyDescent="0.25">
      <c r="A753">
        <v>1752</v>
      </c>
      <c r="B753" s="1">
        <v>46013</v>
      </c>
      <c r="C753" s="1">
        <v>46016</v>
      </c>
      <c r="D753" s="1">
        <v>46019</v>
      </c>
      <c r="E753" t="s">
        <v>1064</v>
      </c>
      <c r="F753" t="s">
        <v>781</v>
      </c>
      <c r="G753" t="s">
        <v>1072</v>
      </c>
      <c r="H753" t="str">
        <f t="shared" si="77"/>
        <v>Electronics</v>
      </c>
      <c r="I753">
        <v>4</v>
      </c>
      <c r="J753" t="str">
        <f>VLOOKUP(K753,$AJ$2:$AK$7,2,FALSE)</f>
        <v>S002</v>
      </c>
      <c r="K753" t="s">
        <v>1098</v>
      </c>
      <c r="L753">
        <v>3.7</v>
      </c>
      <c r="M753" t="str">
        <f>IFERROR(VLOOKUP(TRIM(N753),$AP$2:$AQ$12,2,FALSE),"W001")</f>
        <v>W005</v>
      </c>
      <c r="N753" t="s">
        <v>1055</v>
      </c>
      <c r="O753" t="s">
        <v>1063</v>
      </c>
      <c r="P753" t="str">
        <f>VLOOKUP(O753,$AL$2:$AM$12,2,FALSE)</f>
        <v>South</v>
      </c>
      <c r="Q753" t="s">
        <v>1083</v>
      </c>
      <c r="R753">
        <v>567</v>
      </c>
      <c r="S753" t="s">
        <v>1066</v>
      </c>
      <c r="T753">
        <f t="shared" si="78"/>
        <v>2</v>
      </c>
      <c r="U753">
        <v>283.5</v>
      </c>
      <c r="V753">
        <f t="shared" si="79"/>
        <v>10</v>
      </c>
      <c r="W753" t="s">
        <v>1087</v>
      </c>
      <c r="X753" t="s">
        <v>1091</v>
      </c>
      <c r="Y753">
        <f t="shared" si="80"/>
        <v>0</v>
      </c>
      <c r="Z753" t="s">
        <v>1108</v>
      </c>
      <c r="AA753" t="str">
        <f t="shared" si="81"/>
        <v>Medium</v>
      </c>
      <c r="AB753" t="s">
        <v>1103</v>
      </c>
      <c r="AC753" t="str">
        <f t="shared" si="82"/>
        <v>Yes</v>
      </c>
      <c r="AD753">
        <v>5</v>
      </c>
      <c r="AE753">
        <v>44956</v>
      </c>
      <c r="AF753">
        <v>17982.400000000001</v>
      </c>
      <c r="AG753">
        <f t="shared" si="83"/>
        <v>26690.1</v>
      </c>
    </row>
    <row r="754" spans="1:33" x14ac:dyDescent="0.25">
      <c r="A754">
        <v>1753</v>
      </c>
      <c r="B754" s="1">
        <v>44534</v>
      </c>
      <c r="C754" s="1">
        <v>44535</v>
      </c>
      <c r="D754" s="1">
        <v>44538</v>
      </c>
      <c r="E754" t="s">
        <v>1066</v>
      </c>
      <c r="F754" t="s">
        <v>782</v>
      </c>
      <c r="G754" t="s">
        <v>1067</v>
      </c>
      <c r="H754" t="str">
        <f t="shared" si="77"/>
        <v>Clothing</v>
      </c>
      <c r="I754">
        <v>10</v>
      </c>
      <c r="J754" t="str">
        <f>VLOOKUP(K754,$AJ$2:$AK$7,2,FALSE)</f>
        <v>S005</v>
      </c>
      <c r="K754" t="s">
        <v>1101</v>
      </c>
      <c r="L754">
        <v>3.2</v>
      </c>
      <c r="M754" t="str">
        <f>IFERROR(VLOOKUP(TRIM(N754),$AP$2:$AQ$12,2,FALSE),"W001")</f>
        <v>W010</v>
      </c>
      <c r="N754" t="s">
        <v>1063</v>
      </c>
      <c r="O754" t="s">
        <v>1049</v>
      </c>
      <c r="P754" t="str">
        <f>VLOOKUP(O754,$AL$2:$AM$12,2,FALSE)</f>
        <v>North</v>
      </c>
      <c r="Q754" t="s">
        <v>1083</v>
      </c>
      <c r="R754">
        <v>847</v>
      </c>
      <c r="S754" t="s">
        <v>1078</v>
      </c>
      <c r="T754">
        <f t="shared" si="78"/>
        <v>2</v>
      </c>
      <c r="U754">
        <v>423.5</v>
      </c>
      <c r="V754">
        <f t="shared" si="79"/>
        <v>10</v>
      </c>
      <c r="W754" t="s">
        <v>1086</v>
      </c>
      <c r="X754" t="s">
        <v>1089</v>
      </c>
      <c r="Y754">
        <f t="shared" si="80"/>
        <v>423.5</v>
      </c>
      <c r="Z754" t="s">
        <v>1108</v>
      </c>
      <c r="AA754" t="str">
        <f t="shared" si="81"/>
        <v>Medium</v>
      </c>
      <c r="AB754" t="s">
        <v>1104</v>
      </c>
      <c r="AC754" t="str">
        <f t="shared" si="82"/>
        <v>Yes</v>
      </c>
      <c r="AD754">
        <v>2</v>
      </c>
      <c r="AE754">
        <v>10020</v>
      </c>
      <c r="AF754">
        <v>4008</v>
      </c>
      <c r="AG754">
        <f t="shared" si="83"/>
        <v>5588.5</v>
      </c>
    </row>
    <row r="755" spans="1:33" x14ac:dyDescent="0.25">
      <c r="A755">
        <v>1754</v>
      </c>
      <c r="B755" s="1">
        <v>44369</v>
      </c>
      <c r="C755" s="1">
        <v>44372</v>
      </c>
      <c r="D755" s="1">
        <v>44379</v>
      </c>
      <c r="E755" t="s">
        <v>1064</v>
      </c>
      <c r="F755" t="s">
        <v>783</v>
      </c>
      <c r="G755" t="s">
        <v>1067</v>
      </c>
      <c r="H755" t="str">
        <f t="shared" si="77"/>
        <v>Clothing</v>
      </c>
      <c r="I755">
        <v>3</v>
      </c>
      <c r="J755" t="str">
        <f>VLOOKUP(K755,$AJ$2:$AK$7,2,FALSE)</f>
        <v>S001</v>
      </c>
      <c r="K755" t="s">
        <v>1097</v>
      </c>
      <c r="L755">
        <v>3.5</v>
      </c>
      <c r="M755" t="str">
        <f>IFERROR(VLOOKUP(TRIM(N755),$AP$2:$AQ$12,2,FALSE),"W001")</f>
        <v>W007</v>
      </c>
      <c r="N755" t="s">
        <v>1062</v>
      </c>
      <c r="O755" t="s">
        <v>1051</v>
      </c>
      <c r="P755" t="str">
        <f>VLOOKUP(O755,$AL$2:$AM$12,2,FALSE)</f>
        <v>West</v>
      </c>
      <c r="Q755" t="s">
        <v>1082</v>
      </c>
      <c r="R755">
        <v>946</v>
      </c>
      <c r="S755" t="s">
        <v>1078</v>
      </c>
      <c r="T755">
        <f t="shared" si="78"/>
        <v>3</v>
      </c>
      <c r="U755">
        <v>378.4</v>
      </c>
      <c r="V755">
        <f t="shared" si="79"/>
        <v>8</v>
      </c>
      <c r="W755" t="s">
        <v>1087</v>
      </c>
      <c r="X755" t="s">
        <v>1089</v>
      </c>
      <c r="Y755">
        <f t="shared" si="80"/>
        <v>0</v>
      </c>
      <c r="Z755" t="s">
        <v>1109</v>
      </c>
      <c r="AA755" t="str">
        <f t="shared" si="81"/>
        <v>High</v>
      </c>
      <c r="AB755" t="s">
        <v>1104</v>
      </c>
      <c r="AC755" t="str">
        <f t="shared" si="82"/>
        <v>No</v>
      </c>
      <c r="AD755">
        <v>1</v>
      </c>
      <c r="AE755">
        <v>2025</v>
      </c>
      <c r="AF755">
        <v>810</v>
      </c>
      <c r="AG755">
        <f t="shared" si="83"/>
        <v>836.6</v>
      </c>
    </row>
    <row r="756" spans="1:33" x14ac:dyDescent="0.25">
      <c r="A756">
        <v>1755</v>
      </c>
      <c r="B756" s="1">
        <v>46012</v>
      </c>
      <c r="C756" s="1">
        <v>46014</v>
      </c>
      <c r="D756" s="1">
        <v>46016</v>
      </c>
      <c r="E756" t="s">
        <v>1065</v>
      </c>
      <c r="F756" t="s">
        <v>784</v>
      </c>
      <c r="G756" t="s">
        <v>1067</v>
      </c>
      <c r="H756" t="str">
        <f t="shared" si="77"/>
        <v>Clothing</v>
      </c>
      <c r="I756">
        <v>4</v>
      </c>
      <c r="J756" t="str">
        <f>VLOOKUP(K756,$AJ$2:$AK$7,2,FALSE)</f>
        <v>S005</v>
      </c>
      <c r="K756" t="s">
        <v>1101</v>
      </c>
      <c r="L756">
        <v>4.0999999999999996</v>
      </c>
      <c r="M756" t="str">
        <f>IFERROR(VLOOKUP(TRIM(N756),$AP$2:$AQ$12,2,FALSE),"W001")</f>
        <v>W010</v>
      </c>
      <c r="N756" t="s">
        <v>1063</v>
      </c>
      <c r="O756" t="s">
        <v>1055</v>
      </c>
      <c r="P756" t="str">
        <f>VLOOKUP(O756,$AL$2:$AM$12,2,FALSE)</f>
        <v>South</v>
      </c>
      <c r="Q756" t="s">
        <v>1083</v>
      </c>
      <c r="R756">
        <v>780</v>
      </c>
      <c r="S756" t="s">
        <v>1066</v>
      </c>
      <c r="T756">
        <f t="shared" si="78"/>
        <v>2</v>
      </c>
      <c r="U756">
        <v>390</v>
      </c>
      <c r="V756">
        <f t="shared" si="79"/>
        <v>10</v>
      </c>
      <c r="W756" t="s">
        <v>1087</v>
      </c>
      <c r="X756" t="s">
        <v>1089</v>
      </c>
      <c r="Y756">
        <f t="shared" si="80"/>
        <v>0</v>
      </c>
      <c r="Z756" t="s">
        <v>1108</v>
      </c>
      <c r="AA756" t="str">
        <f t="shared" si="81"/>
        <v>Medium</v>
      </c>
      <c r="AB756" t="s">
        <v>1103</v>
      </c>
      <c r="AC756" t="str">
        <f t="shared" si="82"/>
        <v>Yes</v>
      </c>
      <c r="AD756">
        <v>4</v>
      </c>
      <c r="AE756">
        <v>5216</v>
      </c>
      <c r="AF756">
        <v>2086.4</v>
      </c>
      <c r="AG756">
        <f t="shared" si="83"/>
        <v>2739.6</v>
      </c>
    </row>
    <row r="757" spans="1:33" x14ac:dyDescent="0.25">
      <c r="A757">
        <v>1756</v>
      </c>
      <c r="B757" s="1">
        <v>45235</v>
      </c>
      <c r="C757" s="1">
        <v>45236</v>
      </c>
      <c r="D757" s="1">
        <v>45238</v>
      </c>
      <c r="E757" t="s">
        <v>1065</v>
      </c>
      <c r="F757" t="s">
        <v>785</v>
      </c>
      <c r="G757" t="s">
        <v>1070</v>
      </c>
      <c r="H757" t="str">
        <f t="shared" si="77"/>
        <v>Furniture</v>
      </c>
      <c r="I757">
        <v>1</v>
      </c>
      <c r="J757" t="str">
        <f>VLOOKUP(K757,$AJ$2:$AK$7,2,FALSE)</f>
        <v>S004</v>
      </c>
      <c r="K757" t="s">
        <v>1100</v>
      </c>
      <c r="L757">
        <v>4</v>
      </c>
      <c r="M757" t="str">
        <f>IFERROR(VLOOKUP(TRIM(N757),$AP$2:$AQ$12,2,FALSE),"W001")</f>
        <v>W011</v>
      </c>
      <c r="N757" t="s">
        <v>1059</v>
      </c>
      <c r="O757" t="s">
        <v>1062</v>
      </c>
      <c r="P757" t="str">
        <f>VLOOKUP(O757,$AL$2:$AM$12,2,FALSE)</f>
        <v>North</v>
      </c>
      <c r="Q757" t="s">
        <v>1083</v>
      </c>
      <c r="R757">
        <v>574</v>
      </c>
      <c r="S757" t="s">
        <v>1066</v>
      </c>
      <c r="T757">
        <f t="shared" si="78"/>
        <v>2</v>
      </c>
      <c r="U757">
        <v>287</v>
      </c>
      <c r="V757">
        <f t="shared" si="79"/>
        <v>10</v>
      </c>
      <c r="W757" t="s">
        <v>1087</v>
      </c>
      <c r="X757" t="s">
        <v>1091</v>
      </c>
      <c r="Y757">
        <f t="shared" si="80"/>
        <v>0</v>
      </c>
      <c r="Z757" t="s">
        <v>1108</v>
      </c>
      <c r="AA757" t="str">
        <f t="shared" si="81"/>
        <v>Medium</v>
      </c>
      <c r="AB757" t="s">
        <v>1104</v>
      </c>
      <c r="AC757" t="str">
        <f t="shared" si="82"/>
        <v>Yes</v>
      </c>
      <c r="AD757">
        <v>1</v>
      </c>
      <c r="AE757">
        <v>5014</v>
      </c>
      <c r="AF757">
        <v>2005.6000000000001</v>
      </c>
      <c r="AG757">
        <f t="shared" si="83"/>
        <v>2721.3999999999996</v>
      </c>
    </row>
    <row r="758" spans="1:33" x14ac:dyDescent="0.25">
      <c r="A758">
        <v>1757</v>
      </c>
      <c r="B758" s="1">
        <v>45207</v>
      </c>
      <c r="C758" s="1">
        <v>45208</v>
      </c>
      <c r="D758" s="1">
        <v>45212</v>
      </c>
      <c r="E758" t="s">
        <v>1064</v>
      </c>
      <c r="F758" t="s">
        <v>786</v>
      </c>
      <c r="G758" t="s">
        <v>1068</v>
      </c>
      <c r="H758" t="str">
        <f t="shared" si="77"/>
        <v>Electronics</v>
      </c>
      <c r="I758">
        <v>2</v>
      </c>
      <c r="J758" t="str">
        <f>VLOOKUP(K758,$AJ$2:$AK$7,2,FALSE)</f>
        <v>S004</v>
      </c>
      <c r="K758" t="s">
        <v>1100</v>
      </c>
      <c r="L758">
        <v>3.8</v>
      </c>
      <c r="M758" t="str">
        <f>IFERROR(VLOOKUP(TRIM(N758),$AP$2:$AQ$12,2,FALSE),"W001")</f>
        <v>W002</v>
      </c>
      <c r="N758" t="s">
        <v>1049</v>
      </c>
      <c r="O758" t="s">
        <v>1055</v>
      </c>
      <c r="P758" t="str">
        <f>VLOOKUP(O758,$AL$2:$AM$12,2,FALSE)</f>
        <v>South</v>
      </c>
      <c r="Q758" t="s">
        <v>1083</v>
      </c>
      <c r="R758">
        <v>817</v>
      </c>
      <c r="S758" t="s">
        <v>1078</v>
      </c>
      <c r="T758">
        <f t="shared" si="78"/>
        <v>2</v>
      </c>
      <c r="U758">
        <v>408.5</v>
      </c>
      <c r="V758">
        <f t="shared" si="79"/>
        <v>10</v>
      </c>
      <c r="W758" t="s">
        <v>1088</v>
      </c>
      <c r="X758" t="s">
        <v>1091</v>
      </c>
      <c r="Y758">
        <f t="shared" si="80"/>
        <v>0</v>
      </c>
      <c r="Z758" t="s">
        <v>1108</v>
      </c>
      <c r="AA758" t="str">
        <f t="shared" si="81"/>
        <v>Medium</v>
      </c>
      <c r="AB758" t="s">
        <v>1103</v>
      </c>
      <c r="AC758" t="str">
        <f t="shared" si="82"/>
        <v>Yes</v>
      </c>
      <c r="AD758">
        <v>5</v>
      </c>
      <c r="AE758">
        <v>113454</v>
      </c>
      <c r="AF758">
        <v>45381.600000000006</v>
      </c>
      <c r="AG758">
        <f t="shared" si="83"/>
        <v>67663.899999999994</v>
      </c>
    </row>
    <row r="759" spans="1:33" x14ac:dyDescent="0.25">
      <c r="A759">
        <v>1758</v>
      </c>
      <c r="B759" s="1">
        <v>44533</v>
      </c>
      <c r="C759" s="1">
        <v>44535</v>
      </c>
      <c r="D759" s="1">
        <v>44541</v>
      </c>
      <c r="E759" t="s">
        <v>1066</v>
      </c>
      <c r="F759" t="s">
        <v>787</v>
      </c>
      <c r="G759" t="s">
        <v>1071</v>
      </c>
      <c r="H759" t="str">
        <f t="shared" si="77"/>
        <v>Clothing</v>
      </c>
      <c r="I759">
        <v>8</v>
      </c>
      <c r="J759" t="str">
        <f>VLOOKUP(K759,$AJ$2:$AK$7,2,FALSE)</f>
        <v>S002</v>
      </c>
      <c r="K759" t="s">
        <v>1098</v>
      </c>
      <c r="L759">
        <v>4</v>
      </c>
      <c r="M759" t="str">
        <f>IFERROR(VLOOKUP(TRIM(N759),$AP$2:$AQ$12,2,FALSE),"W001")</f>
        <v>W009</v>
      </c>
      <c r="N759" t="s">
        <v>1060</v>
      </c>
      <c r="O759" t="s">
        <v>1060</v>
      </c>
      <c r="P759" t="str">
        <f>VLOOKUP(O759,$AL$2:$AM$12,2,FALSE)</f>
        <v>North</v>
      </c>
      <c r="Q759" t="s">
        <v>1084</v>
      </c>
      <c r="R759">
        <v>16</v>
      </c>
      <c r="S759" t="s">
        <v>1079</v>
      </c>
      <c r="T759">
        <f t="shared" si="78"/>
        <v>1</v>
      </c>
      <c r="U759">
        <v>4.8</v>
      </c>
      <c r="V759">
        <f t="shared" si="79"/>
        <v>6</v>
      </c>
      <c r="W759" t="s">
        <v>1086</v>
      </c>
      <c r="X759" t="s">
        <v>1091</v>
      </c>
      <c r="Y759">
        <f t="shared" si="80"/>
        <v>4.8</v>
      </c>
      <c r="Z759" t="s">
        <v>1108</v>
      </c>
      <c r="AA759" t="str">
        <f t="shared" si="81"/>
        <v>Low</v>
      </c>
      <c r="AB759" t="s">
        <v>1103</v>
      </c>
      <c r="AC759" t="str">
        <f t="shared" si="82"/>
        <v>Yes</v>
      </c>
      <c r="AD759">
        <v>4</v>
      </c>
      <c r="AE759">
        <v>18744</v>
      </c>
      <c r="AF759">
        <v>7497.6</v>
      </c>
      <c r="AG759">
        <f t="shared" si="83"/>
        <v>11241.6</v>
      </c>
    </row>
    <row r="760" spans="1:33" x14ac:dyDescent="0.25">
      <c r="A760">
        <v>1759</v>
      </c>
      <c r="B760" s="1">
        <v>44320</v>
      </c>
      <c r="C760" s="1">
        <v>44322</v>
      </c>
      <c r="D760" s="1">
        <v>44324</v>
      </c>
      <c r="E760" t="s">
        <v>1065</v>
      </c>
      <c r="F760" t="s">
        <v>788</v>
      </c>
      <c r="G760" t="s">
        <v>1072</v>
      </c>
      <c r="H760" t="str">
        <f t="shared" si="77"/>
        <v>Electronics</v>
      </c>
      <c r="I760">
        <v>10</v>
      </c>
      <c r="J760" t="str">
        <f>VLOOKUP(K760,$AJ$2:$AK$7,2,FALSE)</f>
        <v>S005</v>
      </c>
      <c r="K760" t="s">
        <v>1101</v>
      </c>
      <c r="L760">
        <v>4.5999999999999996</v>
      </c>
      <c r="M760" t="str">
        <f>IFERROR(VLOOKUP(TRIM(N760),$AP$2:$AQ$12,2,FALSE),"W001")</f>
        <v>W006</v>
      </c>
      <c r="N760" t="s">
        <v>1057</v>
      </c>
      <c r="O760" t="s">
        <v>1053</v>
      </c>
      <c r="P760" t="str">
        <f>VLOOKUP(O760,$AL$2:$AM$12,2,FALSE)</f>
        <v>South</v>
      </c>
      <c r="Q760" t="s">
        <v>1083</v>
      </c>
      <c r="R760">
        <v>1244</v>
      </c>
      <c r="S760" t="s">
        <v>1078</v>
      </c>
      <c r="T760">
        <f t="shared" si="78"/>
        <v>3</v>
      </c>
      <c r="U760">
        <v>622</v>
      </c>
      <c r="V760">
        <f t="shared" si="79"/>
        <v>10</v>
      </c>
      <c r="W760" t="s">
        <v>1087</v>
      </c>
      <c r="X760" t="s">
        <v>1091</v>
      </c>
      <c r="Y760">
        <f t="shared" si="80"/>
        <v>0</v>
      </c>
      <c r="Z760" t="s">
        <v>1108</v>
      </c>
      <c r="AA760" t="str">
        <f t="shared" si="81"/>
        <v>Medium</v>
      </c>
      <c r="AB760" t="s">
        <v>1104</v>
      </c>
      <c r="AC760" t="str">
        <f t="shared" si="82"/>
        <v>Yes</v>
      </c>
      <c r="AD760">
        <v>2</v>
      </c>
      <c r="AE760">
        <v>290080</v>
      </c>
      <c r="AF760">
        <v>116032</v>
      </c>
      <c r="AG760">
        <f t="shared" si="83"/>
        <v>173426</v>
      </c>
    </row>
    <row r="761" spans="1:33" x14ac:dyDescent="0.25">
      <c r="A761">
        <v>1760</v>
      </c>
      <c r="B761" s="1">
        <v>46076</v>
      </c>
      <c r="C761" s="1">
        <v>46078</v>
      </c>
      <c r="D761" s="1">
        <v>46085</v>
      </c>
      <c r="E761" t="s">
        <v>1064</v>
      </c>
      <c r="F761" t="s">
        <v>789</v>
      </c>
      <c r="G761" t="s">
        <v>1067</v>
      </c>
      <c r="H761" t="str">
        <f t="shared" si="77"/>
        <v>Clothing</v>
      </c>
      <c r="I761">
        <v>6</v>
      </c>
      <c r="J761" t="str">
        <f>VLOOKUP(K761,$AJ$2:$AK$7,2,FALSE)</f>
        <v>S002</v>
      </c>
      <c r="K761" t="s">
        <v>1098</v>
      </c>
      <c r="L761">
        <v>4.8</v>
      </c>
      <c r="M761" t="str">
        <f>IFERROR(VLOOKUP(TRIM(N761),$AP$2:$AQ$12,2,FALSE),"W001")</f>
        <v>W009</v>
      </c>
      <c r="N761" t="s">
        <v>1060</v>
      </c>
      <c r="O761" t="s">
        <v>1047</v>
      </c>
      <c r="P761" t="str">
        <f>VLOOKUP(O761,$AL$2:$AM$12,2,FALSE)</f>
        <v>West</v>
      </c>
      <c r="Q761" t="s">
        <v>1083</v>
      </c>
      <c r="R761">
        <v>470</v>
      </c>
      <c r="S761" t="s">
        <v>1066</v>
      </c>
      <c r="T761">
        <f t="shared" si="78"/>
        <v>2</v>
      </c>
      <c r="U761">
        <v>235</v>
      </c>
      <c r="V761">
        <f t="shared" si="79"/>
        <v>10</v>
      </c>
      <c r="W761" t="s">
        <v>1087</v>
      </c>
      <c r="X761" t="s">
        <v>1089</v>
      </c>
      <c r="Y761">
        <f t="shared" si="80"/>
        <v>0</v>
      </c>
      <c r="Z761" t="s">
        <v>1108</v>
      </c>
      <c r="AA761" t="str">
        <f t="shared" si="81"/>
        <v>Medium</v>
      </c>
      <c r="AB761" t="s">
        <v>1103</v>
      </c>
      <c r="AC761" t="str">
        <f t="shared" si="82"/>
        <v>Yes</v>
      </c>
      <c r="AD761">
        <v>5</v>
      </c>
      <c r="AE761">
        <v>4398</v>
      </c>
      <c r="AF761">
        <v>1759.2</v>
      </c>
      <c r="AG761">
        <f t="shared" si="83"/>
        <v>2403.8000000000002</v>
      </c>
    </row>
    <row r="762" spans="1:33" x14ac:dyDescent="0.25">
      <c r="A762">
        <v>1761</v>
      </c>
      <c r="B762" s="1">
        <v>45632</v>
      </c>
      <c r="C762" s="1">
        <v>45635</v>
      </c>
      <c r="D762" s="1">
        <v>45642</v>
      </c>
      <c r="E762" t="s">
        <v>1065</v>
      </c>
      <c r="F762" t="s">
        <v>790</v>
      </c>
      <c r="G762" t="s">
        <v>1072</v>
      </c>
      <c r="H762" t="str">
        <f t="shared" si="77"/>
        <v>Electronics</v>
      </c>
      <c r="I762">
        <v>4</v>
      </c>
      <c r="J762" t="str">
        <f>VLOOKUP(K762,$AJ$2:$AK$7,2,FALSE)</f>
        <v>S002</v>
      </c>
      <c r="K762" t="s">
        <v>1098</v>
      </c>
      <c r="L762">
        <v>4.4000000000000004</v>
      </c>
      <c r="M762" t="str">
        <f>IFERROR(VLOOKUP(TRIM(N762),$AP$2:$AQ$12,2,FALSE),"W001")</f>
        <v>W010</v>
      </c>
      <c r="N762" t="s">
        <v>1063</v>
      </c>
      <c r="O762" t="s">
        <v>1061</v>
      </c>
      <c r="P762" t="str">
        <f>VLOOKUP(O762,$AL$2:$AM$12,2,FALSE)</f>
        <v>West</v>
      </c>
      <c r="Q762" t="s">
        <v>1082</v>
      </c>
      <c r="R762">
        <v>1829</v>
      </c>
      <c r="S762" t="s">
        <v>1078</v>
      </c>
      <c r="T762">
        <f t="shared" si="78"/>
        <v>5</v>
      </c>
      <c r="U762">
        <v>731.6</v>
      </c>
      <c r="V762">
        <f t="shared" si="79"/>
        <v>8</v>
      </c>
      <c r="W762" t="s">
        <v>1088</v>
      </c>
      <c r="X762" t="s">
        <v>1091</v>
      </c>
      <c r="Y762">
        <f t="shared" si="80"/>
        <v>0</v>
      </c>
      <c r="Z762" t="s">
        <v>1109</v>
      </c>
      <c r="AA762" t="str">
        <f t="shared" si="81"/>
        <v>High</v>
      </c>
      <c r="AB762" t="s">
        <v>1103</v>
      </c>
      <c r="AC762" t="str">
        <f t="shared" si="82"/>
        <v>No</v>
      </c>
      <c r="AD762">
        <v>3</v>
      </c>
      <c r="AE762">
        <v>117012</v>
      </c>
      <c r="AF762">
        <v>46804.800000000003</v>
      </c>
      <c r="AG762">
        <f t="shared" si="83"/>
        <v>69475.599999999991</v>
      </c>
    </row>
    <row r="763" spans="1:33" x14ac:dyDescent="0.25">
      <c r="A763">
        <v>1762</v>
      </c>
      <c r="B763" s="1">
        <v>46216</v>
      </c>
      <c r="C763" s="1">
        <v>46217</v>
      </c>
      <c r="D763" s="1">
        <v>46219</v>
      </c>
      <c r="E763" t="s">
        <v>1066</v>
      </c>
      <c r="F763" t="s">
        <v>791</v>
      </c>
      <c r="G763" t="s">
        <v>1072</v>
      </c>
      <c r="H763" t="str">
        <f t="shared" si="77"/>
        <v>Electronics</v>
      </c>
      <c r="I763">
        <v>9</v>
      </c>
      <c r="J763" t="str">
        <f>VLOOKUP(K763,$AJ$2:$AK$7,2,FALSE)</f>
        <v>S003</v>
      </c>
      <c r="K763" t="s">
        <v>1099</v>
      </c>
      <c r="L763">
        <v>3</v>
      </c>
      <c r="M763" t="str">
        <f>IFERROR(VLOOKUP(TRIM(N763),$AP$2:$AQ$12,2,FALSE),"W001")</f>
        <v>W006</v>
      </c>
      <c r="N763" t="s">
        <v>1057</v>
      </c>
      <c r="O763" t="s">
        <v>1053</v>
      </c>
      <c r="P763" t="str">
        <f>VLOOKUP(O763,$AL$2:$AM$12,2,FALSE)</f>
        <v>South</v>
      </c>
      <c r="Q763" t="s">
        <v>1083</v>
      </c>
      <c r="R763">
        <v>1194</v>
      </c>
      <c r="S763" t="s">
        <v>1078</v>
      </c>
      <c r="T763">
        <f t="shared" si="78"/>
        <v>3</v>
      </c>
      <c r="U763">
        <v>597</v>
      </c>
      <c r="V763">
        <f t="shared" si="79"/>
        <v>10</v>
      </c>
      <c r="W763" t="s">
        <v>1086</v>
      </c>
      <c r="X763" t="s">
        <v>1090</v>
      </c>
      <c r="Y763">
        <f t="shared" si="80"/>
        <v>597</v>
      </c>
      <c r="Z763" t="s">
        <v>1108</v>
      </c>
      <c r="AA763" t="str">
        <f t="shared" si="81"/>
        <v>Medium</v>
      </c>
      <c r="AB763" t="s">
        <v>1103</v>
      </c>
      <c r="AC763" t="str">
        <f t="shared" si="82"/>
        <v>Yes</v>
      </c>
      <c r="AD763">
        <v>4</v>
      </c>
      <c r="AE763">
        <v>123570</v>
      </c>
      <c r="AF763">
        <v>49428</v>
      </c>
      <c r="AG763">
        <f t="shared" si="83"/>
        <v>73545</v>
      </c>
    </row>
    <row r="764" spans="1:33" x14ac:dyDescent="0.25">
      <c r="A764">
        <v>1763</v>
      </c>
      <c r="B764" s="1">
        <v>46008</v>
      </c>
      <c r="C764" s="1">
        <v>46010</v>
      </c>
      <c r="D764" s="1">
        <v>46016</v>
      </c>
      <c r="E764" t="s">
        <v>1065</v>
      </c>
      <c r="F764" t="s">
        <v>792</v>
      </c>
      <c r="G764" t="s">
        <v>1067</v>
      </c>
      <c r="H764" t="str">
        <f t="shared" si="77"/>
        <v>Clothing</v>
      </c>
      <c r="I764">
        <v>6</v>
      </c>
      <c r="J764" t="str">
        <f>VLOOKUP(K764,$AJ$2:$AK$7,2,FALSE)</f>
        <v>S003</v>
      </c>
      <c r="K764" t="s">
        <v>1099</v>
      </c>
      <c r="L764">
        <v>4.3</v>
      </c>
      <c r="M764" t="str">
        <f>IFERROR(VLOOKUP(TRIM(N764),$AP$2:$AQ$12,2,FALSE),"W001")</f>
        <v>W008</v>
      </c>
      <c r="N764" t="s">
        <v>1061</v>
      </c>
      <c r="O764" t="s">
        <v>1049</v>
      </c>
      <c r="P764" t="str">
        <f>VLOOKUP(O764,$AL$2:$AM$12,2,FALSE)</f>
        <v>North</v>
      </c>
      <c r="Q764" t="s">
        <v>1083</v>
      </c>
      <c r="R764">
        <v>152</v>
      </c>
      <c r="S764" t="s">
        <v>1079</v>
      </c>
      <c r="T764">
        <f t="shared" si="78"/>
        <v>1</v>
      </c>
      <c r="U764">
        <v>76</v>
      </c>
      <c r="V764">
        <f t="shared" si="79"/>
        <v>10</v>
      </c>
      <c r="W764" t="s">
        <v>1086</v>
      </c>
      <c r="X764" t="s">
        <v>1091</v>
      </c>
      <c r="Y764">
        <f t="shared" si="80"/>
        <v>76</v>
      </c>
      <c r="Z764" t="s">
        <v>1108</v>
      </c>
      <c r="AA764" t="str">
        <f t="shared" si="81"/>
        <v>Medium</v>
      </c>
      <c r="AB764" t="s">
        <v>1103</v>
      </c>
      <c r="AC764" t="str">
        <f t="shared" si="82"/>
        <v>Yes</v>
      </c>
      <c r="AD764">
        <v>4</v>
      </c>
      <c r="AE764">
        <v>5004</v>
      </c>
      <c r="AF764">
        <v>2001.6000000000001</v>
      </c>
      <c r="AG764">
        <f t="shared" si="83"/>
        <v>2926.3999999999996</v>
      </c>
    </row>
    <row r="765" spans="1:33" x14ac:dyDescent="0.25">
      <c r="A765">
        <v>1764</v>
      </c>
      <c r="B765" s="1">
        <v>44263</v>
      </c>
      <c r="C765" s="1">
        <v>44265</v>
      </c>
      <c r="D765" s="1">
        <v>44267</v>
      </c>
      <c r="E765" t="s">
        <v>1065</v>
      </c>
      <c r="F765" t="s">
        <v>793</v>
      </c>
      <c r="G765" t="s">
        <v>1068</v>
      </c>
      <c r="H765" t="str">
        <f t="shared" si="77"/>
        <v>Electronics</v>
      </c>
      <c r="I765">
        <v>6</v>
      </c>
      <c r="J765" t="str">
        <f>VLOOKUP(K765,$AJ$2:$AK$7,2,FALSE)</f>
        <v>S006</v>
      </c>
      <c r="K765" t="s">
        <v>1102</v>
      </c>
      <c r="L765">
        <v>3.7</v>
      </c>
      <c r="M765" t="str">
        <f>IFERROR(VLOOKUP(TRIM(N765),$AP$2:$AQ$12,2,FALSE),"W001")</f>
        <v>W006</v>
      </c>
      <c r="N765" t="s">
        <v>1057</v>
      </c>
      <c r="O765" t="s">
        <v>1062</v>
      </c>
      <c r="P765" t="str">
        <f>VLOOKUP(O765,$AL$2:$AM$12,2,FALSE)</f>
        <v>North</v>
      </c>
      <c r="Q765" t="s">
        <v>1080</v>
      </c>
      <c r="R765">
        <v>860</v>
      </c>
      <c r="S765" t="s">
        <v>1078</v>
      </c>
      <c r="T765">
        <f t="shared" si="78"/>
        <v>5</v>
      </c>
      <c r="U765">
        <v>129</v>
      </c>
      <c r="V765">
        <f t="shared" si="79"/>
        <v>4</v>
      </c>
      <c r="W765" t="s">
        <v>1086</v>
      </c>
      <c r="X765" t="s">
        <v>1089</v>
      </c>
      <c r="Y765">
        <f t="shared" si="80"/>
        <v>129</v>
      </c>
      <c r="Z765" t="s">
        <v>1108</v>
      </c>
      <c r="AA765" t="str">
        <f t="shared" si="81"/>
        <v>Low</v>
      </c>
      <c r="AB765" t="s">
        <v>1103</v>
      </c>
      <c r="AC765" t="str">
        <f t="shared" si="82"/>
        <v>Yes</v>
      </c>
      <c r="AD765">
        <v>4</v>
      </c>
      <c r="AE765">
        <v>269988</v>
      </c>
      <c r="AF765">
        <v>107995.20000000001</v>
      </c>
      <c r="AG765">
        <f t="shared" si="83"/>
        <v>161863.79999999999</v>
      </c>
    </row>
    <row r="766" spans="1:33" x14ac:dyDescent="0.25">
      <c r="A766">
        <v>1765</v>
      </c>
      <c r="B766" s="1">
        <v>44244</v>
      </c>
      <c r="C766" s="1">
        <v>44246</v>
      </c>
      <c r="D766" s="1">
        <v>44250</v>
      </c>
      <c r="E766" t="s">
        <v>1064</v>
      </c>
      <c r="F766" t="s">
        <v>794</v>
      </c>
      <c r="G766" t="s">
        <v>1071</v>
      </c>
      <c r="H766" t="str">
        <f t="shared" si="77"/>
        <v>Clothing</v>
      </c>
      <c r="I766">
        <v>7</v>
      </c>
      <c r="J766" t="str">
        <f>VLOOKUP(K766,$AJ$2:$AK$7,2,FALSE)</f>
        <v>S002</v>
      </c>
      <c r="K766" t="s">
        <v>1098</v>
      </c>
      <c r="L766">
        <v>4</v>
      </c>
      <c r="M766" t="str">
        <f>IFERROR(VLOOKUP(TRIM(N766),$AP$2:$AQ$12,2,FALSE),"W001")</f>
        <v>W005</v>
      </c>
      <c r="N766" t="s">
        <v>1055</v>
      </c>
      <c r="O766" t="s">
        <v>1059</v>
      </c>
      <c r="P766" t="str">
        <f>VLOOKUP(O766,$AL$2:$AM$12,2,FALSE)</f>
        <v>North</v>
      </c>
      <c r="Q766" t="s">
        <v>1085</v>
      </c>
      <c r="R766">
        <v>1295</v>
      </c>
      <c r="S766" t="s">
        <v>1078</v>
      </c>
      <c r="T766">
        <f t="shared" si="78"/>
        <v>9</v>
      </c>
      <c r="U766">
        <v>129.5</v>
      </c>
      <c r="V766">
        <f t="shared" si="79"/>
        <v>3</v>
      </c>
      <c r="W766" t="s">
        <v>1088</v>
      </c>
      <c r="X766" t="s">
        <v>1091</v>
      </c>
      <c r="Y766">
        <f t="shared" si="80"/>
        <v>0</v>
      </c>
      <c r="Z766" t="s">
        <v>1108</v>
      </c>
      <c r="AA766" t="str">
        <f t="shared" si="81"/>
        <v>Low</v>
      </c>
      <c r="AB766" t="s">
        <v>1103</v>
      </c>
      <c r="AC766" t="str">
        <f t="shared" si="82"/>
        <v>Yes</v>
      </c>
      <c r="AD766">
        <v>4</v>
      </c>
      <c r="AE766">
        <v>8771</v>
      </c>
      <c r="AF766">
        <v>3508.4</v>
      </c>
      <c r="AG766">
        <f t="shared" si="83"/>
        <v>5133.1000000000004</v>
      </c>
    </row>
    <row r="767" spans="1:33" x14ac:dyDescent="0.25">
      <c r="A767">
        <v>1766</v>
      </c>
      <c r="B767" s="1">
        <v>45546</v>
      </c>
      <c r="C767" s="1">
        <v>45548</v>
      </c>
      <c r="D767" s="1">
        <v>45551</v>
      </c>
      <c r="E767" t="s">
        <v>1066</v>
      </c>
      <c r="F767" t="s">
        <v>795</v>
      </c>
      <c r="G767" t="s">
        <v>1068</v>
      </c>
      <c r="H767" t="str">
        <f t="shared" si="77"/>
        <v>Electronics</v>
      </c>
      <c r="I767">
        <v>6</v>
      </c>
      <c r="J767" t="str">
        <f>VLOOKUP(K767,$AJ$2:$AK$7,2,FALSE)</f>
        <v>S004</v>
      </c>
      <c r="K767" t="s">
        <v>1100</v>
      </c>
      <c r="L767">
        <v>3.2</v>
      </c>
      <c r="M767" t="str">
        <f>IFERROR(VLOOKUP(TRIM(N767),$AP$2:$AQ$12,2,FALSE),"W001")</f>
        <v>W003</v>
      </c>
      <c r="N767" t="s">
        <v>1051</v>
      </c>
      <c r="O767" t="s">
        <v>1062</v>
      </c>
      <c r="P767" t="str">
        <f>VLOOKUP(O767,$AL$2:$AM$12,2,FALSE)</f>
        <v>North</v>
      </c>
      <c r="Q767" t="s">
        <v>1083</v>
      </c>
      <c r="R767">
        <v>549</v>
      </c>
      <c r="S767" t="s">
        <v>1066</v>
      </c>
      <c r="T767">
        <f t="shared" si="78"/>
        <v>2</v>
      </c>
      <c r="U767">
        <v>274.5</v>
      </c>
      <c r="V767">
        <f t="shared" si="79"/>
        <v>10</v>
      </c>
      <c r="W767" t="s">
        <v>1086</v>
      </c>
      <c r="X767" t="s">
        <v>1090</v>
      </c>
      <c r="Y767">
        <f t="shared" si="80"/>
        <v>274.5</v>
      </c>
      <c r="Z767" t="s">
        <v>1108</v>
      </c>
      <c r="AA767" t="str">
        <f t="shared" si="81"/>
        <v>Medium</v>
      </c>
      <c r="AB767" t="s">
        <v>1103</v>
      </c>
      <c r="AC767" t="str">
        <f t="shared" si="82"/>
        <v>Yes</v>
      </c>
      <c r="AD767">
        <v>5</v>
      </c>
      <c r="AE767">
        <v>392406</v>
      </c>
      <c r="AF767">
        <v>156962.4</v>
      </c>
      <c r="AG767">
        <f t="shared" si="83"/>
        <v>235169.1</v>
      </c>
    </row>
    <row r="768" spans="1:33" x14ac:dyDescent="0.25">
      <c r="A768">
        <v>1767</v>
      </c>
      <c r="B768" s="1">
        <v>45502</v>
      </c>
      <c r="C768" s="1">
        <v>45504</v>
      </c>
      <c r="D768" s="1">
        <v>45508</v>
      </c>
      <c r="E768" t="s">
        <v>1065</v>
      </c>
      <c r="F768" t="s">
        <v>796</v>
      </c>
      <c r="G768" t="s">
        <v>1072</v>
      </c>
      <c r="H768" t="str">
        <f t="shared" si="77"/>
        <v>Electronics</v>
      </c>
      <c r="I768">
        <v>3</v>
      </c>
      <c r="J768" t="str">
        <f>VLOOKUP(K768,$AJ$2:$AK$7,2,FALSE)</f>
        <v>S002</v>
      </c>
      <c r="K768" t="s">
        <v>1098</v>
      </c>
      <c r="L768">
        <v>3.9</v>
      </c>
      <c r="M768" t="str">
        <f>IFERROR(VLOOKUP(TRIM(N768),$AP$2:$AQ$12,2,FALSE),"W001")</f>
        <v>W005</v>
      </c>
      <c r="N768" t="s">
        <v>1055</v>
      </c>
      <c r="O768" t="s">
        <v>1055</v>
      </c>
      <c r="P768" t="str">
        <f>VLOOKUP(O768,$AL$2:$AM$12,2,FALSE)</f>
        <v>South</v>
      </c>
      <c r="Q768" t="s">
        <v>1084</v>
      </c>
      <c r="R768">
        <v>11</v>
      </c>
      <c r="S768" t="s">
        <v>1079</v>
      </c>
      <c r="T768">
        <f t="shared" si="78"/>
        <v>1</v>
      </c>
      <c r="U768">
        <v>3.3</v>
      </c>
      <c r="V768">
        <f t="shared" si="79"/>
        <v>6</v>
      </c>
      <c r="W768" t="s">
        <v>1086</v>
      </c>
      <c r="X768" t="s">
        <v>1089</v>
      </c>
      <c r="Y768">
        <f t="shared" si="80"/>
        <v>3.3</v>
      </c>
      <c r="Z768" t="s">
        <v>1108</v>
      </c>
      <c r="AA768" t="str">
        <f t="shared" si="81"/>
        <v>Low</v>
      </c>
      <c r="AB768" t="s">
        <v>1103</v>
      </c>
      <c r="AC768" t="str">
        <f t="shared" si="82"/>
        <v>Yes</v>
      </c>
      <c r="AD768">
        <v>5</v>
      </c>
      <c r="AE768">
        <v>33945</v>
      </c>
      <c r="AF768">
        <v>13578</v>
      </c>
      <c r="AG768">
        <f t="shared" si="83"/>
        <v>20363.7</v>
      </c>
    </row>
    <row r="769" spans="1:33" x14ac:dyDescent="0.25">
      <c r="A769">
        <v>1768</v>
      </c>
      <c r="B769" s="1">
        <v>44469</v>
      </c>
      <c r="C769" s="1">
        <v>44470</v>
      </c>
      <c r="D769" s="1">
        <v>44473</v>
      </c>
      <c r="E769" t="s">
        <v>1065</v>
      </c>
      <c r="F769" t="s">
        <v>797</v>
      </c>
      <c r="G769" t="s">
        <v>1071</v>
      </c>
      <c r="H769" t="str">
        <f t="shared" si="77"/>
        <v>Clothing</v>
      </c>
      <c r="I769">
        <v>2</v>
      </c>
      <c r="J769" t="str">
        <f>VLOOKUP(K769,$AJ$2:$AK$7,2,FALSE)</f>
        <v>S002</v>
      </c>
      <c r="K769" t="s">
        <v>1098</v>
      </c>
      <c r="L769">
        <v>3.5</v>
      </c>
      <c r="M769" t="str">
        <f>IFERROR(VLOOKUP(TRIM(N769),$AP$2:$AQ$12,2,FALSE),"W001")</f>
        <v>W003</v>
      </c>
      <c r="N769" t="s">
        <v>1051</v>
      </c>
      <c r="O769" t="s">
        <v>1059</v>
      </c>
      <c r="P769" t="str">
        <f>VLOOKUP(O769,$AL$2:$AM$12,2,FALSE)</f>
        <v>North</v>
      </c>
      <c r="Q769" t="s">
        <v>1080</v>
      </c>
      <c r="R769">
        <v>1042</v>
      </c>
      <c r="S769" t="s">
        <v>1078</v>
      </c>
      <c r="T769">
        <f t="shared" si="78"/>
        <v>5</v>
      </c>
      <c r="U769">
        <v>156.30000000000001</v>
      </c>
      <c r="V769">
        <f t="shared" si="79"/>
        <v>4</v>
      </c>
      <c r="W769" t="s">
        <v>1087</v>
      </c>
      <c r="X769" t="s">
        <v>1089</v>
      </c>
      <c r="Y769">
        <f t="shared" si="80"/>
        <v>0</v>
      </c>
      <c r="Z769" t="s">
        <v>1108</v>
      </c>
      <c r="AA769" t="str">
        <f t="shared" si="81"/>
        <v>Low</v>
      </c>
      <c r="AB769" t="s">
        <v>1103</v>
      </c>
      <c r="AC769" t="str">
        <f t="shared" si="82"/>
        <v>Yes</v>
      </c>
      <c r="AD769">
        <v>5</v>
      </c>
      <c r="AE769">
        <v>4486</v>
      </c>
      <c r="AF769">
        <v>1794.4</v>
      </c>
      <c r="AG769">
        <f t="shared" si="83"/>
        <v>2535.2999999999997</v>
      </c>
    </row>
    <row r="770" spans="1:33" x14ac:dyDescent="0.25">
      <c r="A770">
        <v>1769</v>
      </c>
      <c r="B770" s="1">
        <v>45895</v>
      </c>
      <c r="C770" s="1">
        <v>45897</v>
      </c>
      <c r="D770" s="1">
        <v>45900</v>
      </c>
      <c r="E770" t="s">
        <v>1065</v>
      </c>
      <c r="F770" t="s">
        <v>798</v>
      </c>
      <c r="G770" t="s">
        <v>1070</v>
      </c>
      <c r="H770" t="str">
        <f t="shared" si="77"/>
        <v>Furniture</v>
      </c>
      <c r="I770">
        <v>5</v>
      </c>
      <c r="J770" t="str">
        <f>VLOOKUP(K770,$AJ$2:$AK$7,2,FALSE)</f>
        <v>S004</v>
      </c>
      <c r="K770" t="s">
        <v>1100</v>
      </c>
      <c r="L770">
        <v>4.9000000000000004</v>
      </c>
      <c r="M770" t="str">
        <f>IFERROR(VLOOKUP(TRIM(N770),$AP$2:$AQ$12,2,FALSE),"W001")</f>
        <v>W006</v>
      </c>
      <c r="N770" t="s">
        <v>1057</v>
      </c>
      <c r="O770" t="s">
        <v>1047</v>
      </c>
      <c r="P770" t="str">
        <f>VLOOKUP(O770,$AL$2:$AM$12,2,FALSE)</f>
        <v>West</v>
      </c>
      <c r="Q770" t="s">
        <v>1080</v>
      </c>
      <c r="R770">
        <v>536</v>
      </c>
      <c r="S770" t="s">
        <v>1066</v>
      </c>
      <c r="T770">
        <f t="shared" si="78"/>
        <v>4</v>
      </c>
      <c r="U770">
        <v>80.400000000000006</v>
      </c>
      <c r="V770">
        <f t="shared" si="79"/>
        <v>4</v>
      </c>
      <c r="W770" t="s">
        <v>1086</v>
      </c>
      <c r="X770" t="s">
        <v>1091</v>
      </c>
      <c r="Y770">
        <f t="shared" si="80"/>
        <v>80.400000000000006</v>
      </c>
      <c r="Z770" t="s">
        <v>1108</v>
      </c>
      <c r="AA770" t="str">
        <f t="shared" si="81"/>
        <v>Low</v>
      </c>
      <c r="AB770" t="s">
        <v>1103</v>
      </c>
      <c r="AC770" t="str">
        <f t="shared" si="82"/>
        <v>Yes</v>
      </c>
      <c r="AD770">
        <v>4</v>
      </c>
      <c r="AE770">
        <v>27615</v>
      </c>
      <c r="AF770">
        <v>11046</v>
      </c>
      <c r="AG770">
        <f t="shared" si="83"/>
        <v>16488.599999999999</v>
      </c>
    </row>
    <row r="771" spans="1:33" x14ac:dyDescent="0.25">
      <c r="A771">
        <v>1770</v>
      </c>
      <c r="B771" s="1">
        <v>44653</v>
      </c>
      <c r="C771" s="1">
        <v>44654</v>
      </c>
      <c r="D771" s="1">
        <v>44660</v>
      </c>
      <c r="E771" t="s">
        <v>1066</v>
      </c>
      <c r="F771" t="s">
        <v>799</v>
      </c>
      <c r="G771" t="s">
        <v>1067</v>
      </c>
      <c r="H771" t="str">
        <f t="shared" ref="H771:H834" si="84">IF(OR(G771="Laptop",G771="Mobile"),"Electronics",
IF(OR(G771="T-Shirt",G771="Jeans"),"Clothing",
IF(OR(G771="Table",G771="Chair"),"Furniture","")))</f>
        <v>Clothing</v>
      </c>
      <c r="I771">
        <v>5</v>
      </c>
      <c r="J771" t="str">
        <f>VLOOKUP(K771,$AJ$2:$AK$7,2,FALSE)</f>
        <v>S004</v>
      </c>
      <c r="K771" t="s">
        <v>1100</v>
      </c>
      <c r="L771">
        <v>5</v>
      </c>
      <c r="M771" t="str">
        <f>IFERROR(VLOOKUP(TRIM(N771),$AP$2:$AQ$12,2,FALSE),"W001")</f>
        <v>W008</v>
      </c>
      <c r="N771" t="s">
        <v>1061</v>
      </c>
      <c r="O771" t="s">
        <v>1053</v>
      </c>
      <c r="P771" t="str">
        <f>VLOOKUP(O771,$AL$2:$AM$12,2,FALSE)</f>
        <v>South</v>
      </c>
      <c r="Q771" t="s">
        <v>1084</v>
      </c>
      <c r="R771">
        <v>758</v>
      </c>
      <c r="S771" t="s">
        <v>1066</v>
      </c>
      <c r="T771">
        <f t="shared" ref="T771:T834" si="85">IF(Q771="Air",ROUND(R771/700,0)+1,
IF(Q771="Express",ROUND(R771/500,0)+1,
IF(Q771="Courier",ROUND(R771/350,0)+1,
IF(Q771="Road",ROUND(R771/250,0)+1,
IF(Q771="Rail",ROUND(R771/300,0)+2,
IF(Q771="Ship",ROUND(R771/200,0)+3,""))))))</f>
        <v>3</v>
      </c>
      <c r="U771">
        <v>227.4</v>
      </c>
      <c r="V771">
        <f t="shared" ref="V771:V834" si="86">IF(Q771="Road",5,
IF(Q771="Rail",4,
IF(Q771="Air",10,
IF(Q771="Ship",3,
IF(Q771="Courier",6,
IF(Q771="Express",8))))))</f>
        <v>6</v>
      </c>
      <c r="W771" t="s">
        <v>1087</v>
      </c>
      <c r="X771" t="s">
        <v>1091</v>
      </c>
      <c r="Y771">
        <f t="shared" ref="Y771:Y834" si="87">IF(W771="COD",U771,0)</f>
        <v>0</v>
      </c>
      <c r="Z771" t="s">
        <v>1108</v>
      </c>
      <c r="AA771" t="str">
        <f t="shared" ref="AA771:AA834" si="88">IF(Z771="Delayed","High",
IF(OR(Q771="Air",Q771="Express"),"Medium","Low"))</f>
        <v>Low</v>
      </c>
      <c r="AB771" t="s">
        <v>1103</v>
      </c>
      <c r="AC771" t="str">
        <f t="shared" ref="AC771:AC834" si="89">IF(Z771="Delayed","No","Yes")</f>
        <v>Yes</v>
      </c>
      <c r="AD771">
        <v>4</v>
      </c>
      <c r="AE771">
        <v>7425</v>
      </c>
      <c r="AF771">
        <v>2970</v>
      </c>
      <c r="AG771">
        <f t="shared" ref="AG771:AG834" si="90">AE771 - AF771-U771</f>
        <v>4227.6000000000004</v>
      </c>
    </row>
    <row r="772" spans="1:33" x14ac:dyDescent="0.25">
      <c r="A772">
        <v>1771</v>
      </c>
      <c r="B772" s="1">
        <v>45060</v>
      </c>
      <c r="C772" s="1">
        <v>45061</v>
      </c>
      <c r="D772" s="1">
        <v>45064</v>
      </c>
      <c r="E772" t="s">
        <v>1065</v>
      </c>
      <c r="F772" t="s">
        <v>800</v>
      </c>
      <c r="G772" t="s">
        <v>1069</v>
      </c>
      <c r="H772" t="str">
        <f t="shared" si="84"/>
        <v>Furniture</v>
      </c>
      <c r="I772">
        <v>1</v>
      </c>
      <c r="J772" t="str">
        <f>VLOOKUP(K772,$AJ$2:$AK$7,2,FALSE)</f>
        <v>S006</v>
      </c>
      <c r="K772" t="s">
        <v>1102</v>
      </c>
      <c r="L772">
        <v>5</v>
      </c>
      <c r="M772" t="str">
        <f>IFERROR(VLOOKUP(TRIM(N772),$AP$2:$AQ$12,2,FALSE),"W001")</f>
        <v>W004</v>
      </c>
      <c r="N772" t="s">
        <v>1053</v>
      </c>
      <c r="O772" t="s">
        <v>1051</v>
      </c>
      <c r="P772" t="str">
        <f>VLOOKUP(O772,$AL$2:$AM$12,2,FALSE)</f>
        <v>West</v>
      </c>
      <c r="Q772" t="s">
        <v>1081</v>
      </c>
      <c r="R772">
        <v>882</v>
      </c>
      <c r="S772" t="s">
        <v>1078</v>
      </c>
      <c r="T772">
        <f t="shared" si="85"/>
        <v>5</v>
      </c>
      <c r="U772">
        <v>176.4</v>
      </c>
      <c r="V772">
        <f t="shared" si="86"/>
        <v>5</v>
      </c>
      <c r="W772" t="s">
        <v>1088</v>
      </c>
      <c r="X772" t="s">
        <v>1091</v>
      </c>
      <c r="Y772">
        <f t="shared" si="87"/>
        <v>0</v>
      </c>
      <c r="Z772" t="s">
        <v>1108</v>
      </c>
      <c r="AA772" t="str">
        <f t="shared" si="88"/>
        <v>Low</v>
      </c>
      <c r="AB772" t="s">
        <v>1103</v>
      </c>
      <c r="AC772" t="str">
        <f t="shared" si="89"/>
        <v>Yes</v>
      </c>
      <c r="AD772">
        <v>5</v>
      </c>
      <c r="AE772">
        <v>9390</v>
      </c>
      <c r="AF772">
        <v>3756</v>
      </c>
      <c r="AG772">
        <f t="shared" si="90"/>
        <v>5457.6</v>
      </c>
    </row>
    <row r="773" spans="1:33" x14ac:dyDescent="0.25">
      <c r="A773">
        <v>1772</v>
      </c>
      <c r="B773" s="1">
        <v>45677</v>
      </c>
      <c r="C773" s="1">
        <v>45679</v>
      </c>
      <c r="D773" s="1">
        <v>45683</v>
      </c>
      <c r="E773" t="s">
        <v>1066</v>
      </c>
      <c r="F773" t="s">
        <v>801</v>
      </c>
      <c r="G773" t="s">
        <v>1072</v>
      </c>
      <c r="H773" t="str">
        <f t="shared" si="84"/>
        <v>Electronics</v>
      </c>
      <c r="I773">
        <v>9</v>
      </c>
      <c r="J773" t="str">
        <f>VLOOKUP(K773,$AJ$2:$AK$7,2,FALSE)</f>
        <v>S005</v>
      </c>
      <c r="K773" t="s">
        <v>1101</v>
      </c>
      <c r="L773">
        <v>4.3</v>
      </c>
      <c r="M773" t="str">
        <f>IFERROR(VLOOKUP(TRIM(N773),$AP$2:$AQ$12,2,FALSE),"W001")</f>
        <v>W002</v>
      </c>
      <c r="N773" t="s">
        <v>1049</v>
      </c>
      <c r="O773" t="s">
        <v>1057</v>
      </c>
      <c r="P773" t="str">
        <f>VLOOKUP(O773,$AL$2:$AM$12,2,FALSE)</f>
        <v>South</v>
      </c>
      <c r="Q773" t="s">
        <v>1080</v>
      </c>
      <c r="R773">
        <v>367</v>
      </c>
      <c r="S773" t="s">
        <v>1066</v>
      </c>
      <c r="T773">
        <f t="shared" si="85"/>
        <v>3</v>
      </c>
      <c r="U773">
        <v>55.05</v>
      </c>
      <c r="V773">
        <f t="shared" si="86"/>
        <v>4</v>
      </c>
      <c r="W773" t="s">
        <v>1086</v>
      </c>
      <c r="X773" t="s">
        <v>1090</v>
      </c>
      <c r="Y773">
        <f t="shared" si="87"/>
        <v>55.05</v>
      </c>
      <c r="Z773" t="s">
        <v>1108</v>
      </c>
      <c r="AA773" t="str">
        <f t="shared" si="88"/>
        <v>Low</v>
      </c>
      <c r="AB773" t="s">
        <v>1103</v>
      </c>
      <c r="AC773" t="str">
        <f t="shared" si="89"/>
        <v>Yes</v>
      </c>
      <c r="AD773">
        <v>5</v>
      </c>
      <c r="AE773">
        <v>190854</v>
      </c>
      <c r="AF773">
        <v>76341.600000000006</v>
      </c>
      <c r="AG773">
        <f t="shared" si="90"/>
        <v>114457.34999999999</v>
      </c>
    </row>
    <row r="774" spans="1:33" x14ac:dyDescent="0.25">
      <c r="A774">
        <v>1773</v>
      </c>
      <c r="B774" s="1">
        <v>45516</v>
      </c>
      <c r="C774" s="1">
        <v>45519</v>
      </c>
      <c r="D774" s="1">
        <v>45522</v>
      </c>
      <c r="E774" t="s">
        <v>1064</v>
      </c>
      <c r="F774" t="s">
        <v>802</v>
      </c>
      <c r="G774" t="s">
        <v>1071</v>
      </c>
      <c r="H774" t="str">
        <f t="shared" si="84"/>
        <v>Clothing</v>
      </c>
      <c r="I774">
        <v>7</v>
      </c>
      <c r="J774" t="str">
        <f>VLOOKUP(K774,$AJ$2:$AK$7,2,FALSE)</f>
        <v>S004</v>
      </c>
      <c r="K774" t="s">
        <v>1100</v>
      </c>
      <c r="L774">
        <v>3.6</v>
      </c>
      <c r="M774" t="str">
        <f>IFERROR(VLOOKUP(TRIM(N774),$AP$2:$AQ$12,2,FALSE),"W001")</f>
        <v>W007</v>
      </c>
      <c r="N774" t="s">
        <v>1062</v>
      </c>
      <c r="O774" t="s">
        <v>1063</v>
      </c>
      <c r="P774" t="str">
        <f>VLOOKUP(O774,$AL$2:$AM$12,2,FALSE)</f>
        <v>South</v>
      </c>
      <c r="Q774" t="s">
        <v>1083</v>
      </c>
      <c r="R774">
        <v>1438</v>
      </c>
      <c r="S774" t="s">
        <v>1078</v>
      </c>
      <c r="T774">
        <f t="shared" si="85"/>
        <v>3</v>
      </c>
      <c r="U774">
        <v>719</v>
      </c>
      <c r="V774">
        <f t="shared" si="86"/>
        <v>10</v>
      </c>
      <c r="W774" t="s">
        <v>1087</v>
      </c>
      <c r="X774" t="s">
        <v>1090</v>
      </c>
      <c r="Y774">
        <f t="shared" si="87"/>
        <v>0</v>
      </c>
      <c r="Z774" t="s">
        <v>1108</v>
      </c>
      <c r="AA774" t="str">
        <f t="shared" si="88"/>
        <v>Medium</v>
      </c>
      <c r="AB774" t="s">
        <v>1103</v>
      </c>
      <c r="AC774" t="str">
        <f t="shared" si="89"/>
        <v>Yes</v>
      </c>
      <c r="AD774">
        <v>4</v>
      </c>
      <c r="AE774">
        <v>20713</v>
      </c>
      <c r="AF774">
        <v>8285.2000000000007</v>
      </c>
      <c r="AG774">
        <f t="shared" si="90"/>
        <v>11708.8</v>
      </c>
    </row>
    <row r="775" spans="1:33" x14ac:dyDescent="0.25">
      <c r="A775">
        <v>1774</v>
      </c>
      <c r="B775" s="1">
        <v>44774</v>
      </c>
      <c r="C775" s="1">
        <v>44777</v>
      </c>
      <c r="D775" s="1">
        <v>44781</v>
      </c>
      <c r="E775" t="s">
        <v>1066</v>
      </c>
      <c r="F775" t="s">
        <v>803</v>
      </c>
      <c r="G775" t="s">
        <v>1069</v>
      </c>
      <c r="H775" t="str">
        <f t="shared" si="84"/>
        <v>Furniture</v>
      </c>
      <c r="I775">
        <v>8</v>
      </c>
      <c r="J775" t="str">
        <f>VLOOKUP(K775,$AJ$2:$AK$7,2,FALSE)</f>
        <v>S003</v>
      </c>
      <c r="K775" t="s">
        <v>1099</v>
      </c>
      <c r="L775">
        <v>3.2</v>
      </c>
      <c r="M775" t="str">
        <f>IFERROR(VLOOKUP(TRIM(N775),$AP$2:$AQ$12,2,FALSE),"W001")</f>
        <v>W002</v>
      </c>
      <c r="N775" t="s">
        <v>1049</v>
      </c>
      <c r="O775" t="s">
        <v>1060</v>
      </c>
      <c r="P775" t="str">
        <f>VLOOKUP(O775,$AL$2:$AM$12,2,FALSE)</f>
        <v>North</v>
      </c>
      <c r="Q775" t="s">
        <v>1080</v>
      </c>
      <c r="R775">
        <v>1098</v>
      </c>
      <c r="S775" t="s">
        <v>1078</v>
      </c>
      <c r="T775">
        <f t="shared" si="85"/>
        <v>6</v>
      </c>
      <c r="U775">
        <v>164.7</v>
      </c>
      <c r="V775">
        <f t="shared" si="86"/>
        <v>4</v>
      </c>
      <c r="W775" t="s">
        <v>1086</v>
      </c>
      <c r="X775" t="s">
        <v>1091</v>
      </c>
      <c r="Y775">
        <f t="shared" si="87"/>
        <v>164.7</v>
      </c>
      <c r="Z775" t="s">
        <v>1108</v>
      </c>
      <c r="AA775" t="str">
        <f t="shared" si="88"/>
        <v>Low</v>
      </c>
      <c r="AB775" t="s">
        <v>1103</v>
      </c>
      <c r="AC775" t="str">
        <f t="shared" si="89"/>
        <v>Yes</v>
      </c>
      <c r="AD775">
        <v>5</v>
      </c>
      <c r="AE775">
        <v>98120</v>
      </c>
      <c r="AF775">
        <v>39248</v>
      </c>
      <c r="AG775">
        <f t="shared" si="90"/>
        <v>58707.3</v>
      </c>
    </row>
    <row r="776" spans="1:33" x14ac:dyDescent="0.25">
      <c r="A776">
        <v>1775</v>
      </c>
      <c r="B776" s="1">
        <v>45112</v>
      </c>
      <c r="C776" s="1">
        <v>45114</v>
      </c>
      <c r="D776" s="1">
        <v>45117</v>
      </c>
      <c r="E776" t="s">
        <v>1066</v>
      </c>
      <c r="F776" t="s">
        <v>804</v>
      </c>
      <c r="G776" t="s">
        <v>1071</v>
      </c>
      <c r="H776" t="str">
        <f t="shared" si="84"/>
        <v>Clothing</v>
      </c>
      <c r="I776">
        <v>4</v>
      </c>
      <c r="J776" t="str">
        <f>VLOOKUP(K776,$AJ$2:$AK$7,2,FALSE)</f>
        <v>S001</v>
      </c>
      <c r="K776" t="s">
        <v>1097</v>
      </c>
      <c r="L776">
        <v>4.9000000000000004</v>
      </c>
      <c r="M776" t="str">
        <f>IFERROR(VLOOKUP(TRIM(N776),$AP$2:$AQ$12,2,FALSE),"W001")</f>
        <v>W004</v>
      </c>
      <c r="N776" t="s">
        <v>1053</v>
      </c>
      <c r="O776" t="s">
        <v>1057</v>
      </c>
      <c r="P776" t="str">
        <f>VLOOKUP(O776,$AL$2:$AM$12,2,FALSE)</f>
        <v>South</v>
      </c>
      <c r="Q776" t="s">
        <v>1080</v>
      </c>
      <c r="R776">
        <v>1273</v>
      </c>
      <c r="S776" t="s">
        <v>1078</v>
      </c>
      <c r="T776">
        <f t="shared" si="85"/>
        <v>6</v>
      </c>
      <c r="U776">
        <v>190.95</v>
      </c>
      <c r="V776">
        <f t="shared" si="86"/>
        <v>4</v>
      </c>
      <c r="W776" t="s">
        <v>1087</v>
      </c>
      <c r="X776" t="s">
        <v>1091</v>
      </c>
      <c r="Y776">
        <f t="shared" si="87"/>
        <v>0</v>
      </c>
      <c r="Z776" t="s">
        <v>1108</v>
      </c>
      <c r="AA776" t="str">
        <f t="shared" si="88"/>
        <v>Low</v>
      </c>
      <c r="AB776" t="s">
        <v>1103</v>
      </c>
      <c r="AC776" t="str">
        <f t="shared" si="89"/>
        <v>Yes</v>
      </c>
      <c r="AD776">
        <v>5</v>
      </c>
      <c r="AE776">
        <v>6412</v>
      </c>
      <c r="AF776">
        <v>2564.8000000000002</v>
      </c>
      <c r="AG776">
        <f t="shared" si="90"/>
        <v>3656.25</v>
      </c>
    </row>
    <row r="777" spans="1:33" x14ac:dyDescent="0.25">
      <c r="A777">
        <v>1776</v>
      </c>
      <c r="B777" s="1">
        <v>44948</v>
      </c>
      <c r="C777" s="1">
        <v>44950</v>
      </c>
      <c r="D777" s="1">
        <v>44954</v>
      </c>
      <c r="E777" t="s">
        <v>1064</v>
      </c>
      <c r="F777" t="s">
        <v>805</v>
      </c>
      <c r="G777" t="s">
        <v>1072</v>
      </c>
      <c r="H777" t="str">
        <f t="shared" si="84"/>
        <v>Electronics</v>
      </c>
      <c r="I777">
        <v>4</v>
      </c>
      <c r="J777" t="str">
        <f>VLOOKUP(K777,$AJ$2:$AK$7,2,FALSE)</f>
        <v>S004</v>
      </c>
      <c r="K777" t="s">
        <v>1100</v>
      </c>
      <c r="L777">
        <v>4.2</v>
      </c>
      <c r="M777" t="str">
        <f>IFERROR(VLOOKUP(TRIM(N777),$AP$2:$AQ$12,2,FALSE),"W001")</f>
        <v>W008</v>
      </c>
      <c r="N777" t="s">
        <v>1061</v>
      </c>
      <c r="O777" t="s">
        <v>1055</v>
      </c>
      <c r="P777" t="str">
        <f>VLOOKUP(O777,$AL$2:$AM$12,2,FALSE)</f>
        <v>South</v>
      </c>
      <c r="Q777" t="s">
        <v>1085</v>
      </c>
      <c r="R777">
        <v>299</v>
      </c>
      <c r="S777" t="s">
        <v>1066</v>
      </c>
      <c r="T777">
        <f t="shared" si="85"/>
        <v>4</v>
      </c>
      <c r="U777">
        <v>29.9</v>
      </c>
      <c r="V777">
        <f t="shared" si="86"/>
        <v>3</v>
      </c>
      <c r="W777" t="s">
        <v>1086</v>
      </c>
      <c r="X777" t="s">
        <v>1091</v>
      </c>
      <c r="Y777">
        <f t="shared" si="87"/>
        <v>29.9</v>
      </c>
      <c r="Z777" t="s">
        <v>1108</v>
      </c>
      <c r="AA777" t="str">
        <f t="shared" si="88"/>
        <v>Low</v>
      </c>
      <c r="AB777" t="s">
        <v>1103</v>
      </c>
      <c r="AC777" t="str">
        <f t="shared" si="89"/>
        <v>Yes</v>
      </c>
      <c r="AD777">
        <v>4</v>
      </c>
      <c r="AE777">
        <v>65796</v>
      </c>
      <c r="AF777">
        <v>26318.400000000001</v>
      </c>
      <c r="AG777">
        <f t="shared" si="90"/>
        <v>39447.699999999997</v>
      </c>
    </row>
    <row r="778" spans="1:33" x14ac:dyDescent="0.25">
      <c r="A778">
        <v>1777</v>
      </c>
      <c r="B778" s="1">
        <v>45970</v>
      </c>
      <c r="C778" s="1">
        <v>45971</v>
      </c>
      <c r="D778" s="1">
        <v>45978</v>
      </c>
      <c r="E778" t="s">
        <v>1064</v>
      </c>
      <c r="F778" t="s">
        <v>806</v>
      </c>
      <c r="G778" t="s">
        <v>1070</v>
      </c>
      <c r="H778" t="str">
        <f t="shared" si="84"/>
        <v>Furniture</v>
      </c>
      <c r="I778">
        <v>3</v>
      </c>
      <c r="J778" t="str">
        <f>VLOOKUP(K778,$AJ$2:$AK$7,2,FALSE)</f>
        <v>S004</v>
      </c>
      <c r="K778" t="s">
        <v>1100</v>
      </c>
      <c r="L778">
        <v>3.5</v>
      </c>
      <c r="M778" t="str">
        <f>IFERROR(VLOOKUP(TRIM(N778),$AP$2:$AQ$12,2,FALSE),"W001")</f>
        <v>W010</v>
      </c>
      <c r="N778" t="s">
        <v>1063</v>
      </c>
      <c r="O778" t="s">
        <v>1047</v>
      </c>
      <c r="P778" t="str">
        <f>VLOOKUP(O778,$AL$2:$AM$12,2,FALSE)</f>
        <v>West</v>
      </c>
      <c r="Q778" t="s">
        <v>1082</v>
      </c>
      <c r="R778">
        <v>1303</v>
      </c>
      <c r="S778" t="s">
        <v>1078</v>
      </c>
      <c r="T778">
        <f t="shared" si="85"/>
        <v>4</v>
      </c>
      <c r="U778">
        <v>521.20000000000005</v>
      </c>
      <c r="V778">
        <f t="shared" si="86"/>
        <v>8</v>
      </c>
      <c r="W778" t="s">
        <v>1088</v>
      </c>
      <c r="X778" t="s">
        <v>1090</v>
      </c>
      <c r="Y778">
        <f t="shared" si="87"/>
        <v>0</v>
      </c>
      <c r="Z778" t="s">
        <v>1109</v>
      </c>
      <c r="AA778" t="str">
        <f t="shared" si="88"/>
        <v>High</v>
      </c>
      <c r="AB778" t="s">
        <v>1103</v>
      </c>
      <c r="AC778" t="str">
        <f t="shared" si="89"/>
        <v>No</v>
      </c>
      <c r="AD778">
        <v>2</v>
      </c>
      <c r="AE778">
        <v>7503</v>
      </c>
      <c r="AF778">
        <v>3001.2000000000003</v>
      </c>
      <c r="AG778">
        <f t="shared" si="90"/>
        <v>3980.5999999999995</v>
      </c>
    </row>
    <row r="779" spans="1:33" x14ac:dyDescent="0.25">
      <c r="A779">
        <v>1778</v>
      </c>
      <c r="B779" s="1">
        <v>46203</v>
      </c>
      <c r="C779" s="1">
        <v>46205</v>
      </c>
      <c r="D779" s="1">
        <v>46208</v>
      </c>
      <c r="E779" t="s">
        <v>1065</v>
      </c>
      <c r="F779" t="s">
        <v>807</v>
      </c>
      <c r="G779" t="s">
        <v>1071</v>
      </c>
      <c r="H779" t="str">
        <f t="shared" si="84"/>
        <v>Clothing</v>
      </c>
      <c r="I779">
        <v>9</v>
      </c>
      <c r="J779" t="str">
        <f>VLOOKUP(K779,$AJ$2:$AK$7,2,FALSE)</f>
        <v>S004</v>
      </c>
      <c r="K779" t="s">
        <v>1100</v>
      </c>
      <c r="L779">
        <v>3.2</v>
      </c>
      <c r="M779" t="str">
        <f>IFERROR(VLOOKUP(TRIM(N779),$AP$2:$AQ$12,2,FALSE),"W001")</f>
        <v>W007</v>
      </c>
      <c r="N779" t="s">
        <v>1062</v>
      </c>
      <c r="O779" t="s">
        <v>1060</v>
      </c>
      <c r="P779" t="str">
        <f>VLOOKUP(O779,$AL$2:$AM$12,2,FALSE)</f>
        <v>North</v>
      </c>
      <c r="Q779" t="s">
        <v>1083</v>
      </c>
      <c r="R779">
        <v>497</v>
      </c>
      <c r="S779" t="s">
        <v>1066</v>
      </c>
      <c r="T779">
        <f t="shared" si="85"/>
        <v>2</v>
      </c>
      <c r="U779">
        <v>248.5</v>
      </c>
      <c r="V779">
        <f t="shared" si="86"/>
        <v>10</v>
      </c>
      <c r="W779" t="s">
        <v>1087</v>
      </c>
      <c r="X779" t="s">
        <v>1089</v>
      </c>
      <c r="Y779">
        <f t="shared" si="87"/>
        <v>0</v>
      </c>
      <c r="Z779" t="s">
        <v>1108</v>
      </c>
      <c r="AA779" t="str">
        <f t="shared" si="88"/>
        <v>Medium</v>
      </c>
      <c r="AB779" t="s">
        <v>1103</v>
      </c>
      <c r="AC779" t="str">
        <f t="shared" si="89"/>
        <v>Yes</v>
      </c>
      <c r="AD779">
        <v>5</v>
      </c>
      <c r="AE779">
        <v>23706</v>
      </c>
      <c r="AF779">
        <v>9482.4</v>
      </c>
      <c r="AG779">
        <f t="shared" si="90"/>
        <v>13975.1</v>
      </c>
    </row>
    <row r="780" spans="1:33" x14ac:dyDescent="0.25">
      <c r="A780">
        <v>1779</v>
      </c>
      <c r="B780" s="1">
        <v>45700</v>
      </c>
      <c r="C780" s="1">
        <v>45702</v>
      </c>
      <c r="D780" s="1">
        <v>45706</v>
      </c>
      <c r="E780" t="s">
        <v>1064</v>
      </c>
      <c r="F780" t="s">
        <v>808</v>
      </c>
      <c r="G780" t="s">
        <v>1069</v>
      </c>
      <c r="H780" t="str">
        <f t="shared" si="84"/>
        <v>Furniture</v>
      </c>
      <c r="I780">
        <v>3</v>
      </c>
      <c r="J780" t="str">
        <f>VLOOKUP(K780,$AJ$2:$AK$7,2,FALSE)</f>
        <v>S002</v>
      </c>
      <c r="K780" t="s">
        <v>1098</v>
      </c>
      <c r="L780">
        <v>3.7</v>
      </c>
      <c r="M780" t="str">
        <f>IFERROR(VLOOKUP(TRIM(N780),$AP$2:$AQ$12,2,FALSE),"W001")</f>
        <v>W002</v>
      </c>
      <c r="N780" t="s">
        <v>1049</v>
      </c>
      <c r="O780" t="s">
        <v>1061</v>
      </c>
      <c r="P780" t="str">
        <f>VLOOKUP(O780,$AL$2:$AM$12,2,FALSE)</f>
        <v>West</v>
      </c>
      <c r="Q780" t="s">
        <v>1080</v>
      </c>
      <c r="R780">
        <v>1748</v>
      </c>
      <c r="S780" t="s">
        <v>1078</v>
      </c>
      <c r="T780">
        <f t="shared" si="85"/>
        <v>8</v>
      </c>
      <c r="U780">
        <v>262.2</v>
      </c>
      <c r="V780">
        <f t="shared" si="86"/>
        <v>4</v>
      </c>
      <c r="W780" t="s">
        <v>1088</v>
      </c>
      <c r="X780" t="s">
        <v>1091</v>
      </c>
      <c r="Y780">
        <f t="shared" si="87"/>
        <v>0</v>
      </c>
      <c r="Z780" t="s">
        <v>1108</v>
      </c>
      <c r="AA780" t="str">
        <f t="shared" si="88"/>
        <v>Low</v>
      </c>
      <c r="AB780" t="s">
        <v>1103</v>
      </c>
      <c r="AC780" t="str">
        <f t="shared" si="89"/>
        <v>Yes</v>
      </c>
      <c r="AD780">
        <v>4</v>
      </c>
      <c r="AE780">
        <v>32637</v>
      </c>
      <c r="AF780">
        <v>13054.800000000001</v>
      </c>
      <c r="AG780">
        <f t="shared" si="90"/>
        <v>19319.999999999996</v>
      </c>
    </row>
    <row r="781" spans="1:33" x14ac:dyDescent="0.25">
      <c r="A781">
        <v>1780</v>
      </c>
      <c r="B781" s="1">
        <v>44601</v>
      </c>
      <c r="C781" s="1">
        <v>44604</v>
      </c>
      <c r="D781" s="1">
        <v>44606</v>
      </c>
      <c r="E781" t="s">
        <v>1064</v>
      </c>
      <c r="F781" t="s">
        <v>809</v>
      </c>
      <c r="G781" t="s">
        <v>1072</v>
      </c>
      <c r="H781" t="str">
        <f t="shared" si="84"/>
        <v>Electronics</v>
      </c>
      <c r="I781">
        <v>8</v>
      </c>
      <c r="J781" t="str">
        <f>VLOOKUP(K781,$AJ$2:$AK$7,2,FALSE)</f>
        <v>S002</v>
      </c>
      <c r="K781" t="s">
        <v>1098</v>
      </c>
      <c r="L781">
        <v>4.5</v>
      </c>
      <c r="M781" t="str">
        <f>IFERROR(VLOOKUP(TRIM(N781),$AP$2:$AQ$12,2,FALSE),"W001")</f>
        <v>W005</v>
      </c>
      <c r="N781" t="s">
        <v>1055</v>
      </c>
      <c r="O781" t="s">
        <v>1060</v>
      </c>
      <c r="P781" t="str">
        <f>VLOOKUP(O781,$AL$2:$AM$12,2,FALSE)</f>
        <v>North</v>
      </c>
      <c r="Q781" t="s">
        <v>1080</v>
      </c>
      <c r="R781">
        <v>1085</v>
      </c>
      <c r="S781" t="s">
        <v>1078</v>
      </c>
      <c r="T781">
        <f t="shared" si="85"/>
        <v>6</v>
      </c>
      <c r="U781">
        <v>162.75</v>
      </c>
      <c r="V781">
        <f t="shared" si="86"/>
        <v>4</v>
      </c>
      <c r="W781" t="s">
        <v>1088</v>
      </c>
      <c r="X781" t="s">
        <v>1090</v>
      </c>
      <c r="Y781">
        <f t="shared" si="87"/>
        <v>0</v>
      </c>
      <c r="Z781" t="s">
        <v>1108</v>
      </c>
      <c r="AA781" t="str">
        <f t="shared" si="88"/>
        <v>Low</v>
      </c>
      <c r="AB781" t="s">
        <v>1103</v>
      </c>
      <c r="AC781" t="str">
        <f t="shared" si="89"/>
        <v>Yes</v>
      </c>
      <c r="AD781">
        <v>4</v>
      </c>
      <c r="AE781">
        <v>115456</v>
      </c>
      <c r="AF781">
        <v>46182.400000000001</v>
      </c>
      <c r="AG781">
        <f t="shared" si="90"/>
        <v>69110.850000000006</v>
      </c>
    </row>
    <row r="782" spans="1:33" x14ac:dyDescent="0.25">
      <c r="A782">
        <v>1781</v>
      </c>
      <c r="B782" s="1">
        <v>44454</v>
      </c>
      <c r="C782" s="1">
        <v>44456</v>
      </c>
      <c r="D782" s="1">
        <v>44458</v>
      </c>
      <c r="E782" t="s">
        <v>1065</v>
      </c>
      <c r="F782" t="s">
        <v>810</v>
      </c>
      <c r="G782" t="s">
        <v>1068</v>
      </c>
      <c r="H782" t="str">
        <f t="shared" si="84"/>
        <v>Electronics</v>
      </c>
      <c r="I782">
        <v>5</v>
      </c>
      <c r="J782" t="str">
        <f>VLOOKUP(K782,$AJ$2:$AK$7,2,FALSE)</f>
        <v>S006</v>
      </c>
      <c r="K782" t="s">
        <v>1102</v>
      </c>
      <c r="L782">
        <v>4.8</v>
      </c>
      <c r="M782" t="str">
        <f>IFERROR(VLOOKUP(TRIM(N782),$AP$2:$AQ$12,2,FALSE),"W001")</f>
        <v>W010</v>
      </c>
      <c r="N782" t="s">
        <v>1063</v>
      </c>
      <c r="O782" t="s">
        <v>1057</v>
      </c>
      <c r="P782" t="str">
        <f>VLOOKUP(O782,$AL$2:$AM$12,2,FALSE)</f>
        <v>South</v>
      </c>
      <c r="Q782" t="s">
        <v>1082</v>
      </c>
      <c r="R782">
        <v>1346</v>
      </c>
      <c r="S782" t="s">
        <v>1078</v>
      </c>
      <c r="T782">
        <f t="shared" si="85"/>
        <v>4</v>
      </c>
      <c r="U782">
        <v>538.4</v>
      </c>
      <c r="V782">
        <f t="shared" si="86"/>
        <v>8</v>
      </c>
      <c r="W782" t="s">
        <v>1088</v>
      </c>
      <c r="X782" t="s">
        <v>1091</v>
      </c>
      <c r="Y782">
        <f t="shared" si="87"/>
        <v>0</v>
      </c>
      <c r="Z782" t="s">
        <v>1109</v>
      </c>
      <c r="AA782" t="str">
        <f t="shared" si="88"/>
        <v>High</v>
      </c>
      <c r="AB782" t="s">
        <v>1103</v>
      </c>
      <c r="AC782" t="str">
        <f t="shared" si="89"/>
        <v>No</v>
      </c>
      <c r="AD782">
        <v>2</v>
      </c>
      <c r="AE782">
        <v>206520</v>
      </c>
      <c r="AF782">
        <v>82608</v>
      </c>
      <c r="AG782">
        <f t="shared" si="90"/>
        <v>123373.6</v>
      </c>
    </row>
    <row r="783" spans="1:33" x14ac:dyDescent="0.25">
      <c r="A783">
        <v>1782</v>
      </c>
      <c r="B783" s="1">
        <v>45649</v>
      </c>
      <c r="C783" s="1">
        <v>45651</v>
      </c>
      <c r="D783" s="1">
        <v>45657</v>
      </c>
      <c r="E783" t="s">
        <v>1064</v>
      </c>
      <c r="F783" t="s">
        <v>811</v>
      </c>
      <c r="G783" t="s">
        <v>1071</v>
      </c>
      <c r="H783" t="str">
        <f t="shared" si="84"/>
        <v>Clothing</v>
      </c>
      <c r="I783">
        <v>4</v>
      </c>
      <c r="J783" t="str">
        <f>VLOOKUP(K783,$AJ$2:$AK$7,2,FALSE)</f>
        <v>S003</v>
      </c>
      <c r="K783" t="s">
        <v>1099</v>
      </c>
      <c r="L783">
        <v>4.7</v>
      </c>
      <c r="M783" t="str">
        <f>IFERROR(VLOOKUP(TRIM(N783),$AP$2:$AQ$12,2,FALSE),"W001")</f>
        <v>W001</v>
      </c>
      <c r="N783" t="s">
        <v>1047</v>
      </c>
      <c r="O783" t="s">
        <v>1049</v>
      </c>
      <c r="P783" t="str">
        <f>VLOOKUP(O783,$AL$2:$AM$12,2,FALSE)</f>
        <v>North</v>
      </c>
      <c r="Q783" t="s">
        <v>1080</v>
      </c>
      <c r="R783">
        <v>398</v>
      </c>
      <c r="S783" t="s">
        <v>1066</v>
      </c>
      <c r="T783">
        <f t="shared" si="85"/>
        <v>3</v>
      </c>
      <c r="U783">
        <v>59.7</v>
      </c>
      <c r="V783">
        <f t="shared" si="86"/>
        <v>4</v>
      </c>
      <c r="W783" t="s">
        <v>1088</v>
      </c>
      <c r="X783" t="s">
        <v>1091</v>
      </c>
      <c r="Y783">
        <f t="shared" si="87"/>
        <v>0</v>
      </c>
      <c r="Z783" t="s">
        <v>1108</v>
      </c>
      <c r="AA783" t="str">
        <f t="shared" si="88"/>
        <v>Low</v>
      </c>
      <c r="AB783" t="s">
        <v>1103</v>
      </c>
      <c r="AC783" t="str">
        <f t="shared" si="89"/>
        <v>Yes</v>
      </c>
      <c r="AD783">
        <v>5</v>
      </c>
      <c r="AE783">
        <v>9700</v>
      </c>
      <c r="AF783">
        <v>3880</v>
      </c>
      <c r="AG783">
        <f t="shared" si="90"/>
        <v>5760.3</v>
      </c>
    </row>
    <row r="784" spans="1:33" x14ac:dyDescent="0.25">
      <c r="A784">
        <v>1783</v>
      </c>
      <c r="B784" s="1">
        <v>45132</v>
      </c>
      <c r="C784" s="1">
        <v>45135</v>
      </c>
      <c r="D784" s="1">
        <v>45138</v>
      </c>
      <c r="E784" t="s">
        <v>1064</v>
      </c>
      <c r="F784" t="s">
        <v>812</v>
      </c>
      <c r="G784" t="s">
        <v>1070</v>
      </c>
      <c r="H784" t="str">
        <f t="shared" si="84"/>
        <v>Furniture</v>
      </c>
      <c r="I784">
        <v>4</v>
      </c>
      <c r="J784" t="str">
        <f>VLOOKUP(K784,$AJ$2:$AK$7,2,FALSE)</f>
        <v>S003</v>
      </c>
      <c r="K784" t="s">
        <v>1099</v>
      </c>
      <c r="L784">
        <v>4</v>
      </c>
      <c r="M784" t="str">
        <f>IFERROR(VLOOKUP(TRIM(N784),$AP$2:$AQ$12,2,FALSE),"W001")</f>
        <v>W002</v>
      </c>
      <c r="N784" t="s">
        <v>1049</v>
      </c>
      <c r="O784" t="s">
        <v>1061</v>
      </c>
      <c r="P784" t="str">
        <f>VLOOKUP(O784,$AL$2:$AM$12,2,FALSE)</f>
        <v>West</v>
      </c>
      <c r="Q784" t="s">
        <v>1082</v>
      </c>
      <c r="R784">
        <v>1916</v>
      </c>
      <c r="S784" t="s">
        <v>1078</v>
      </c>
      <c r="T784">
        <f t="shared" si="85"/>
        <v>5</v>
      </c>
      <c r="U784">
        <v>766.4</v>
      </c>
      <c r="V784">
        <f t="shared" si="86"/>
        <v>8</v>
      </c>
      <c r="W784" t="s">
        <v>1088</v>
      </c>
      <c r="X784" t="s">
        <v>1091</v>
      </c>
      <c r="Y784">
        <f t="shared" si="87"/>
        <v>0</v>
      </c>
      <c r="Z784" t="s">
        <v>1109</v>
      </c>
      <c r="AA784" t="str">
        <f t="shared" si="88"/>
        <v>High</v>
      </c>
      <c r="AB784" t="s">
        <v>1103</v>
      </c>
      <c r="AC784" t="str">
        <f t="shared" si="89"/>
        <v>No</v>
      </c>
      <c r="AD784">
        <v>2</v>
      </c>
      <c r="AE784">
        <v>16292</v>
      </c>
      <c r="AF784">
        <v>6516.8</v>
      </c>
      <c r="AG784">
        <f t="shared" si="90"/>
        <v>9008.8000000000011</v>
      </c>
    </row>
    <row r="785" spans="1:33" x14ac:dyDescent="0.25">
      <c r="A785">
        <v>1784</v>
      </c>
      <c r="B785" s="1">
        <v>45318</v>
      </c>
      <c r="C785" s="1">
        <v>45319</v>
      </c>
      <c r="D785" s="1">
        <v>45323</v>
      </c>
      <c r="E785" t="s">
        <v>1066</v>
      </c>
      <c r="F785" t="s">
        <v>813</v>
      </c>
      <c r="G785" t="s">
        <v>1070</v>
      </c>
      <c r="H785" t="str">
        <f t="shared" si="84"/>
        <v>Furniture</v>
      </c>
      <c r="I785">
        <v>3</v>
      </c>
      <c r="J785" t="str">
        <f>VLOOKUP(K785,$AJ$2:$AK$7,2,FALSE)</f>
        <v>S006</v>
      </c>
      <c r="K785" t="s">
        <v>1102</v>
      </c>
      <c r="L785">
        <v>3.1</v>
      </c>
      <c r="M785" t="str">
        <f>IFERROR(VLOOKUP(TRIM(N785),$AP$2:$AQ$12,2,FALSE),"W001")</f>
        <v>W002</v>
      </c>
      <c r="N785" t="s">
        <v>1049</v>
      </c>
      <c r="O785" t="s">
        <v>1060</v>
      </c>
      <c r="P785" t="str">
        <f>VLOOKUP(O785,$AL$2:$AM$12,2,FALSE)</f>
        <v>North</v>
      </c>
      <c r="Q785" t="s">
        <v>1081</v>
      </c>
      <c r="R785">
        <v>399</v>
      </c>
      <c r="S785" t="s">
        <v>1066</v>
      </c>
      <c r="T785">
        <f t="shared" si="85"/>
        <v>3</v>
      </c>
      <c r="U785">
        <v>79.8</v>
      </c>
      <c r="V785">
        <f t="shared" si="86"/>
        <v>5</v>
      </c>
      <c r="W785" t="s">
        <v>1088</v>
      </c>
      <c r="X785" t="s">
        <v>1091</v>
      </c>
      <c r="Y785">
        <f t="shared" si="87"/>
        <v>0</v>
      </c>
      <c r="Z785" t="s">
        <v>1108</v>
      </c>
      <c r="AA785" t="str">
        <f t="shared" si="88"/>
        <v>Low</v>
      </c>
      <c r="AB785" t="s">
        <v>1103</v>
      </c>
      <c r="AC785" t="str">
        <f t="shared" si="89"/>
        <v>Yes</v>
      </c>
      <c r="AD785">
        <v>5</v>
      </c>
      <c r="AE785">
        <v>17028</v>
      </c>
      <c r="AF785">
        <v>6811.2000000000007</v>
      </c>
      <c r="AG785">
        <f t="shared" si="90"/>
        <v>10137</v>
      </c>
    </row>
    <row r="786" spans="1:33" x14ac:dyDescent="0.25">
      <c r="A786">
        <v>1785</v>
      </c>
      <c r="B786" s="1">
        <v>44722</v>
      </c>
      <c r="C786" s="1">
        <v>44723</v>
      </c>
      <c r="D786" s="1">
        <v>44729</v>
      </c>
      <c r="E786" t="s">
        <v>1066</v>
      </c>
      <c r="F786" t="s">
        <v>814</v>
      </c>
      <c r="G786" t="s">
        <v>1071</v>
      </c>
      <c r="H786" t="str">
        <f t="shared" si="84"/>
        <v>Clothing</v>
      </c>
      <c r="I786">
        <v>10</v>
      </c>
      <c r="J786" t="str">
        <f>VLOOKUP(K786,$AJ$2:$AK$7,2,FALSE)</f>
        <v>S001</v>
      </c>
      <c r="K786" t="s">
        <v>1097</v>
      </c>
      <c r="L786">
        <v>4.4000000000000004</v>
      </c>
      <c r="M786" t="str">
        <f>IFERROR(VLOOKUP(TRIM(N786),$AP$2:$AQ$12,2,FALSE),"W001")</f>
        <v>W001</v>
      </c>
      <c r="N786" t="s">
        <v>1047</v>
      </c>
      <c r="O786" t="s">
        <v>1060</v>
      </c>
      <c r="P786" t="str">
        <f>VLOOKUP(O786,$AL$2:$AM$12,2,FALSE)</f>
        <v>North</v>
      </c>
      <c r="Q786" t="s">
        <v>1085</v>
      </c>
      <c r="R786">
        <v>1972</v>
      </c>
      <c r="S786" t="s">
        <v>1078</v>
      </c>
      <c r="T786">
        <f t="shared" si="85"/>
        <v>13</v>
      </c>
      <c r="U786">
        <v>197.2</v>
      </c>
      <c r="V786">
        <f t="shared" si="86"/>
        <v>3</v>
      </c>
      <c r="W786" t="s">
        <v>1086</v>
      </c>
      <c r="X786" t="s">
        <v>1091</v>
      </c>
      <c r="Y786">
        <f t="shared" si="87"/>
        <v>197.2</v>
      </c>
      <c r="Z786" t="s">
        <v>1109</v>
      </c>
      <c r="AA786" t="str">
        <f t="shared" si="88"/>
        <v>High</v>
      </c>
      <c r="AB786" t="s">
        <v>1103</v>
      </c>
      <c r="AC786" t="str">
        <f t="shared" si="89"/>
        <v>No</v>
      </c>
      <c r="AD786">
        <v>2</v>
      </c>
      <c r="AE786">
        <v>21360</v>
      </c>
      <c r="AF786">
        <v>8544</v>
      </c>
      <c r="AG786">
        <f t="shared" si="90"/>
        <v>12618.8</v>
      </c>
    </row>
    <row r="787" spans="1:33" x14ac:dyDescent="0.25">
      <c r="A787">
        <v>1786</v>
      </c>
      <c r="B787" s="1">
        <v>45219</v>
      </c>
      <c r="C787" s="1">
        <v>45220</v>
      </c>
      <c r="D787" s="1">
        <v>45223</v>
      </c>
      <c r="E787" t="s">
        <v>1066</v>
      </c>
      <c r="F787" t="s">
        <v>815</v>
      </c>
      <c r="G787" t="s">
        <v>1069</v>
      </c>
      <c r="H787" t="str">
        <f t="shared" si="84"/>
        <v>Furniture</v>
      </c>
      <c r="I787">
        <v>4</v>
      </c>
      <c r="J787" t="str">
        <f>VLOOKUP(K787,$AJ$2:$AK$7,2,FALSE)</f>
        <v>S004</v>
      </c>
      <c r="K787" t="s">
        <v>1100</v>
      </c>
      <c r="L787">
        <v>3.9</v>
      </c>
      <c r="M787" t="str">
        <f>IFERROR(VLOOKUP(TRIM(N787),$AP$2:$AQ$12,2,FALSE),"W001")</f>
        <v>W001</v>
      </c>
      <c r="N787" t="s">
        <v>1047</v>
      </c>
      <c r="O787" t="s">
        <v>1060</v>
      </c>
      <c r="P787" t="str">
        <f>VLOOKUP(O787,$AL$2:$AM$12,2,FALSE)</f>
        <v>North</v>
      </c>
      <c r="Q787" t="s">
        <v>1080</v>
      </c>
      <c r="R787">
        <v>465</v>
      </c>
      <c r="S787" t="s">
        <v>1066</v>
      </c>
      <c r="T787">
        <f t="shared" si="85"/>
        <v>4</v>
      </c>
      <c r="U787">
        <v>69.75</v>
      </c>
      <c r="V787">
        <f t="shared" si="86"/>
        <v>4</v>
      </c>
      <c r="W787" t="s">
        <v>1086</v>
      </c>
      <c r="X787" t="s">
        <v>1091</v>
      </c>
      <c r="Y787">
        <f t="shared" si="87"/>
        <v>69.75</v>
      </c>
      <c r="Z787" t="s">
        <v>1108</v>
      </c>
      <c r="AA787" t="str">
        <f t="shared" si="88"/>
        <v>Low</v>
      </c>
      <c r="AB787" t="s">
        <v>1103</v>
      </c>
      <c r="AC787" t="str">
        <f t="shared" si="89"/>
        <v>Yes</v>
      </c>
      <c r="AD787">
        <v>5</v>
      </c>
      <c r="AE787">
        <v>27200</v>
      </c>
      <c r="AF787">
        <v>10880</v>
      </c>
      <c r="AG787">
        <f t="shared" si="90"/>
        <v>16250.25</v>
      </c>
    </row>
    <row r="788" spans="1:33" x14ac:dyDescent="0.25">
      <c r="A788">
        <v>1787</v>
      </c>
      <c r="B788" s="1">
        <v>44945</v>
      </c>
      <c r="C788" s="1">
        <v>44948</v>
      </c>
      <c r="D788" s="1">
        <v>44950</v>
      </c>
      <c r="E788" t="s">
        <v>1064</v>
      </c>
      <c r="F788" t="s">
        <v>816</v>
      </c>
      <c r="G788" t="s">
        <v>1067</v>
      </c>
      <c r="H788" t="str">
        <f t="shared" si="84"/>
        <v>Clothing</v>
      </c>
      <c r="I788">
        <v>7</v>
      </c>
      <c r="J788" t="str">
        <f>VLOOKUP(K788,$AJ$2:$AK$7,2,FALSE)</f>
        <v>S001</v>
      </c>
      <c r="K788" t="s">
        <v>1097</v>
      </c>
      <c r="L788">
        <v>3.3</v>
      </c>
      <c r="M788" t="str">
        <f>IFERROR(VLOOKUP(TRIM(N788),$AP$2:$AQ$12,2,FALSE),"W001")</f>
        <v>W001</v>
      </c>
      <c r="N788" t="s">
        <v>1047</v>
      </c>
      <c r="O788" t="s">
        <v>1053</v>
      </c>
      <c r="P788" t="str">
        <f>VLOOKUP(O788,$AL$2:$AM$12,2,FALSE)</f>
        <v>South</v>
      </c>
      <c r="Q788" t="s">
        <v>1083</v>
      </c>
      <c r="R788">
        <v>1833</v>
      </c>
      <c r="S788" t="s">
        <v>1078</v>
      </c>
      <c r="T788">
        <f t="shared" si="85"/>
        <v>4</v>
      </c>
      <c r="U788">
        <v>916.5</v>
      </c>
      <c r="V788">
        <f t="shared" si="86"/>
        <v>10</v>
      </c>
      <c r="W788" t="s">
        <v>1087</v>
      </c>
      <c r="X788" t="s">
        <v>1091</v>
      </c>
      <c r="Y788">
        <f t="shared" si="87"/>
        <v>0</v>
      </c>
      <c r="Z788" t="s">
        <v>1109</v>
      </c>
      <c r="AA788" t="str">
        <f t="shared" si="88"/>
        <v>High</v>
      </c>
      <c r="AB788" t="s">
        <v>1103</v>
      </c>
      <c r="AC788" t="str">
        <f t="shared" si="89"/>
        <v>No</v>
      </c>
      <c r="AD788">
        <v>2</v>
      </c>
      <c r="AE788">
        <v>10339</v>
      </c>
      <c r="AF788">
        <v>4135.6000000000004</v>
      </c>
      <c r="AG788">
        <f t="shared" si="90"/>
        <v>5286.9</v>
      </c>
    </row>
    <row r="789" spans="1:33" x14ac:dyDescent="0.25">
      <c r="A789">
        <v>1788</v>
      </c>
      <c r="B789" s="1">
        <v>44854</v>
      </c>
      <c r="C789" s="1">
        <v>44856</v>
      </c>
      <c r="D789" s="1">
        <v>44862</v>
      </c>
      <c r="E789" t="s">
        <v>1065</v>
      </c>
      <c r="F789" t="s">
        <v>817</v>
      </c>
      <c r="G789" t="s">
        <v>1069</v>
      </c>
      <c r="H789" t="str">
        <f t="shared" si="84"/>
        <v>Furniture</v>
      </c>
      <c r="I789">
        <v>8</v>
      </c>
      <c r="J789" t="str">
        <f>VLOOKUP(K789,$AJ$2:$AK$7,2,FALSE)</f>
        <v>S005</v>
      </c>
      <c r="K789" t="s">
        <v>1101</v>
      </c>
      <c r="L789">
        <v>4.2</v>
      </c>
      <c r="M789" t="str">
        <f>IFERROR(VLOOKUP(TRIM(N789),$AP$2:$AQ$12,2,FALSE),"W001")</f>
        <v>W010</v>
      </c>
      <c r="N789" t="s">
        <v>1063</v>
      </c>
      <c r="O789" t="s">
        <v>1063</v>
      </c>
      <c r="P789" t="str">
        <f>VLOOKUP(O789,$AL$2:$AM$12,2,FALSE)</f>
        <v>South</v>
      </c>
      <c r="Q789" t="s">
        <v>1083</v>
      </c>
      <c r="R789">
        <v>28</v>
      </c>
      <c r="S789" t="s">
        <v>1079</v>
      </c>
      <c r="T789">
        <f t="shared" si="85"/>
        <v>1</v>
      </c>
      <c r="U789">
        <v>14</v>
      </c>
      <c r="V789">
        <f t="shared" si="86"/>
        <v>10</v>
      </c>
      <c r="W789" t="s">
        <v>1086</v>
      </c>
      <c r="X789" t="s">
        <v>1091</v>
      </c>
      <c r="Y789">
        <f t="shared" si="87"/>
        <v>14</v>
      </c>
      <c r="Z789" t="s">
        <v>1108</v>
      </c>
      <c r="AA789" t="str">
        <f t="shared" si="88"/>
        <v>Medium</v>
      </c>
      <c r="AB789" t="s">
        <v>1103</v>
      </c>
      <c r="AC789" t="str">
        <f t="shared" si="89"/>
        <v>Yes</v>
      </c>
      <c r="AD789">
        <v>4</v>
      </c>
      <c r="AE789">
        <v>57360</v>
      </c>
      <c r="AF789">
        <v>22944</v>
      </c>
      <c r="AG789">
        <f t="shared" si="90"/>
        <v>34402</v>
      </c>
    </row>
    <row r="790" spans="1:33" x14ac:dyDescent="0.25">
      <c r="A790">
        <v>1789</v>
      </c>
      <c r="B790" s="1">
        <v>46211</v>
      </c>
      <c r="C790" s="1">
        <v>46214</v>
      </c>
      <c r="D790" s="1">
        <v>46221</v>
      </c>
      <c r="E790" t="s">
        <v>1065</v>
      </c>
      <c r="F790" t="s">
        <v>818</v>
      </c>
      <c r="G790" t="s">
        <v>1069</v>
      </c>
      <c r="H790" t="str">
        <f t="shared" si="84"/>
        <v>Furniture</v>
      </c>
      <c r="I790">
        <v>9</v>
      </c>
      <c r="J790" t="str">
        <f>VLOOKUP(K790,$AJ$2:$AK$7,2,FALSE)</f>
        <v>S005</v>
      </c>
      <c r="K790" t="s">
        <v>1101</v>
      </c>
      <c r="L790">
        <v>4.5999999999999996</v>
      </c>
      <c r="M790" t="str">
        <f>IFERROR(VLOOKUP(TRIM(N790),$AP$2:$AQ$12,2,FALSE),"W001")</f>
        <v>W001</v>
      </c>
      <c r="N790" t="s">
        <v>1047</v>
      </c>
      <c r="O790" t="s">
        <v>1060</v>
      </c>
      <c r="P790" t="str">
        <f>VLOOKUP(O790,$AL$2:$AM$12,2,FALSE)</f>
        <v>North</v>
      </c>
      <c r="Q790" t="s">
        <v>1080</v>
      </c>
      <c r="R790">
        <v>186</v>
      </c>
      <c r="S790" t="s">
        <v>1079</v>
      </c>
      <c r="T790">
        <f t="shared" si="85"/>
        <v>3</v>
      </c>
      <c r="U790">
        <v>27.9</v>
      </c>
      <c r="V790">
        <f t="shared" si="86"/>
        <v>4</v>
      </c>
      <c r="W790" t="s">
        <v>1088</v>
      </c>
      <c r="X790" t="s">
        <v>1091</v>
      </c>
      <c r="Y790">
        <f t="shared" si="87"/>
        <v>0</v>
      </c>
      <c r="Z790" t="s">
        <v>1108</v>
      </c>
      <c r="AA790" t="str">
        <f t="shared" si="88"/>
        <v>Low</v>
      </c>
      <c r="AB790" t="s">
        <v>1103</v>
      </c>
      <c r="AC790" t="str">
        <f t="shared" si="89"/>
        <v>Yes</v>
      </c>
      <c r="AD790">
        <v>5</v>
      </c>
      <c r="AE790">
        <v>109845</v>
      </c>
      <c r="AF790">
        <v>43938</v>
      </c>
      <c r="AG790">
        <f t="shared" si="90"/>
        <v>65879.100000000006</v>
      </c>
    </row>
    <row r="791" spans="1:33" x14ac:dyDescent="0.25">
      <c r="A791">
        <v>1790</v>
      </c>
      <c r="B791" s="1">
        <v>45577</v>
      </c>
      <c r="C791" s="1">
        <v>45578</v>
      </c>
      <c r="D791" s="1">
        <v>45583</v>
      </c>
      <c r="E791" t="s">
        <v>1065</v>
      </c>
      <c r="F791" t="s">
        <v>819</v>
      </c>
      <c r="G791" t="s">
        <v>1067</v>
      </c>
      <c r="H791" t="str">
        <f t="shared" si="84"/>
        <v>Clothing</v>
      </c>
      <c r="I791">
        <v>1</v>
      </c>
      <c r="J791" t="str">
        <f>VLOOKUP(K791,$AJ$2:$AK$7,2,FALSE)</f>
        <v>S006</v>
      </c>
      <c r="K791" t="s">
        <v>1102</v>
      </c>
      <c r="L791">
        <v>3.9</v>
      </c>
      <c r="M791" t="str">
        <f>IFERROR(VLOOKUP(TRIM(N791),$AP$2:$AQ$12,2,FALSE),"W001")</f>
        <v>W005</v>
      </c>
      <c r="N791" t="s">
        <v>1055</v>
      </c>
      <c r="O791" t="s">
        <v>1055</v>
      </c>
      <c r="P791" t="str">
        <f>VLOOKUP(O791,$AL$2:$AM$12,2,FALSE)</f>
        <v>South</v>
      </c>
      <c r="Q791" t="s">
        <v>1082</v>
      </c>
      <c r="R791">
        <v>45</v>
      </c>
      <c r="S791" t="s">
        <v>1079</v>
      </c>
      <c r="T791">
        <f t="shared" si="85"/>
        <v>1</v>
      </c>
      <c r="U791">
        <v>18</v>
      </c>
      <c r="V791">
        <f t="shared" si="86"/>
        <v>8</v>
      </c>
      <c r="W791" t="s">
        <v>1088</v>
      </c>
      <c r="X791" t="s">
        <v>1091</v>
      </c>
      <c r="Y791">
        <f t="shared" si="87"/>
        <v>0</v>
      </c>
      <c r="Z791" t="s">
        <v>1108</v>
      </c>
      <c r="AA791" t="str">
        <f t="shared" si="88"/>
        <v>Medium</v>
      </c>
      <c r="AB791" t="s">
        <v>1103</v>
      </c>
      <c r="AC791" t="str">
        <f t="shared" si="89"/>
        <v>Yes</v>
      </c>
      <c r="AD791">
        <v>5</v>
      </c>
      <c r="AE791">
        <v>1060</v>
      </c>
      <c r="AF791">
        <v>424</v>
      </c>
      <c r="AG791">
        <f t="shared" si="90"/>
        <v>618</v>
      </c>
    </row>
    <row r="792" spans="1:33" x14ac:dyDescent="0.25">
      <c r="A792">
        <v>1791</v>
      </c>
      <c r="B792" s="1">
        <v>45487</v>
      </c>
      <c r="C792" s="1">
        <v>45488</v>
      </c>
      <c r="D792" s="1">
        <v>45490</v>
      </c>
      <c r="E792" t="s">
        <v>1065</v>
      </c>
      <c r="F792" t="s">
        <v>820</v>
      </c>
      <c r="G792" t="s">
        <v>1069</v>
      </c>
      <c r="H792" t="str">
        <f t="shared" si="84"/>
        <v>Furniture</v>
      </c>
      <c r="I792">
        <v>2</v>
      </c>
      <c r="J792" t="str">
        <f>VLOOKUP(K792,$AJ$2:$AK$7,2,FALSE)</f>
        <v>S006</v>
      </c>
      <c r="K792" t="s">
        <v>1102</v>
      </c>
      <c r="L792">
        <v>4.7</v>
      </c>
      <c r="M792" t="str">
        <f>IFERROR(VLOOKUP(TRIM(N792),$AP$2:$AQ$12,2,FALSE),"W001")</f>
        <v>W007</v>
      </c>
      <c r="N792" t="s">
        <v>1062</v>
      </c>
      <c r="O792" t="s">
        <v>1063</v>
      </c>
      <c r="P792" t="str">
        <f>VLOOKUP(O792,$AL$2:$AM$12,2,FALSE)</f>
        <v>South</v>
      </c>
      <c r="Q792" t="s">
        <v>1081</v>
      </c>
      <c r="R792">
        <v>969</v>
      </c>
      <c r="S792" t="s">
        <v>1078</v>
      </c>
      <c r="T792">
        <f t="shared" si="85"/>
        <v>5</v>
      </c>
      <c r="U792">
        <v>193.8</v>
      </c>
      <c r="V792">
        <f t="shared" si="86"/>
        <v>5</v>
      </c>
      <c r="W792" t="s">
        <v>1088</v>
      </c>
      <c r="X792" t="s">
        <v>1089</v>
      </c>
      <c r="Y792">
        <f t="shared" si="87"/>
        <v>0</v>
      </c>
      <c r="Z792" t="s">
        <v>1108</v>
      </c>
      <c r="AA792" t="str">
        <f t="shared" si="88"/>
        <v>Low</v>
      </c>
      <c r="AB792" t="s">
        <v>1103</v>
      </c>
      <c r="AC792" t="str">
        <f t="shared" si="89"/>
        <v>Yes</v>
      </c>
      <c r="AD792">
        <v>4</v>
      </c>
      <c r="AE792">
        <v>17534</v>
      </c>
      <c r="AF792">
        <v>7013.6</v>
      </c>
      <c r="AG792">
        <f t="shared" si="90"/>
        <v>10326.6</v>
      </c>
    </row>
    <row r="793" spans="1:33" x14ac:dyDescent="0.25">
      <c r="A793">
        <v>1792</v>
      </c>
      <c r="B793" s="1">
        <v>45347</v>
      </c>
      <c r="C793" s="1">
        <v>45348</v>
      </c>
      <c r="D793" s="1">
        <v>45354</v>
      </c>
      <c r="E793" t="s">
        <v>1064</v>
      </c>
      <c r="F793" t="s">
        <v>821</v>
      </c>
      <c r="G793" t="s">
        <v>1067</v>
      </c>
      <c r="H793" t="str">
        <f t="shared" si="84"/>
        <v>Clothing</v>
      </c>
      <c r="I793">
        <v>2</v>
      </c>
      <c r="J793" t="str">
        <f>VLOOKUP(K793,$AJ$2:$AK$7,2,FALSE)</f>
        <v>S003</v>
      </c>
      <c r="K793" t="s">
        <v>1099</v>
      </c>
      <c r="L793">
        <v>4.2</v>
      </c>
      <c r="M793" t="str">
        <f>IFERROR(VLOOKUP(TRIM(N793),$AP$2:$AQ$12,2,FALSE),"W001")</f>
        <v>W003</v>
      </c>
      <c r="N793" t="s">
        <v>1051</v>
      </c>
      <c r="O793" t="s">
        <v>1053</v>
      </c>
      <c r="P793" t="str">
        <f>VLOOKUP(O793,$AL$2:$AM$12,2,FALSE)</f>
        <v>South</v>
      </c>
      <c r="Q793" t="s">
        <v>1080</v>
      </c>
      <c r="R793">
        <v>757</v>
      </c>
      <c r="S793" t="s">
        <v>1066</v>
      </c>
      <c r="T793">
        <f t="shared" si="85"/>
        <v>5</v>
      </c>
      <c r="U793">
        <v>113.55</v>
      </c>
      <c r="V793">
        <f t="shared" si="86"/>
        <v>4</v>
      </c>
      <c r="W793" t="s">
        <v>1086</v>
      </c>
      <c r="X793" t="s">
        <v>1090</v>
      </c>
      <c r="Y793">
        <f t="shared" si="87"/>
        <v>113.55</v>
      </c>
      <c r="Z793" t="s">
        <v>1108</v>
      </c>
      <c r="AA793" t="str">
        <f t="shared" si="88"/>
        <v>Low</v>
      </c>
      <c r="AB793" t="s">
        <v>1103</v>
      </c>
      <c r="AC793" t="str">
        <f t="shared" si="89"/>
        <v>Yes</v>
      </c>
      <c r="AD793">
        <v>5</v>
      </c>
      <c r="AE793">
        <v>1202</v>
      </c>
      <c r="AF793">
        <v>480.8</v>
      </c>
      <c r="AG793">
        <f t="shared" si="90"/>
        <v>607.65000000000009</v>
      </c>
    </row>
    <row r="794" spans="1:33" x14ac:dyDescent="0.25">
      <c r="A794">
        <v>1793</v>
      </c>
      <c r="B794" s="1">
        <v>45709</v>
      </c>
      <c r="C794" s="1">
        <v>45710</v>
      </c>
      <c r="D794" s="1">
        <v>45716</v>
      </c>
      <c r="E794" t="s">
        <v>1065</v>
      </c>
      <c r="F794" t="s">
        <v>822</v>
      </c>
      <c r="G794" t="s">
        <v>1069</v>
      </c>
      <c r="H794" t="str">
        <f t="shared" si="84"/>
        <v>Furniture</v>
      </c>
      <c r="I794">
        <v>5</v>
      </c>
      <c r="J794" t="str">
        <f>VLOOKUP(K794,$AJ$2:$AK$7,2,FALSE)</f>
        <v>S003</v>
      </c>
      <c r="K794" t="s">
        <v>1099</v>
      </c>
      <c r="L794">
        <v>3.7</v>
      </c>
      <c r="M794" t="str">
        <f>IFERROR(VLOOKUP(TRIM(N794),$AP$2:$AQ$12,2,FALSE),"W001")</f>
        <v>W010</v>
      </c>
      <c r="N794" t="s">
        <v>1063</v>
      </c>
      <c r="O794" t="s">
        <v>1059</v>
      </c>
      <c r="P794" t="str">
        <f>VLOOKUP(O794,$AL$2:$AM$12,2,FALSE)</f>
        <v>North</v>
      </c>
      <c r="Q794" t="s">
        <v>1083</v>
      </c>
      <c r="R794">
        <v>246</v>
      </c>
      <c r="S794" t="s">
        <v>1066</v>
      </c>
      <c r="T794">
        <f t="shared" si="85"/>
        <v>1</v>
      </c>
      <c r="U794">
        <v>123</v>
      </c>
      <c r="V794">
        <f t="shared" si="86"/>
        <v>10</v>
      </c>
      <c r="W794" t="s">
        <v>1087</v>
      </c>
      <c r="X794" t="s">
        <v>1089</v>
      </c>
      <c r="Y794">
        <f t="shared" si="87"/>
        <v>0</v>
      </c>
      <c r="Z794" t="s">
        <v>1108</v>
      </c>
      <c r="AA794" t="str">
        <f t="shared" si="88"/>
        <v>Medium</v>
      </c>
      <c r="AB794" t="s">
        <v>1103</v>
      </c>
      <c r="AC794" t="str">
        <f t="shared" si="89"/>
        <v>Yes</v>
      </c>
      <c r="AD794">
        <v>5</v>
      </c>
      <c r="AE794">
        <v>47235</v>
      </c>
      <c r="AF794">
        <v>18894</v>
      </c>
      <c r="AG794">
        <f t="shared" si="90"/>
        <v>28218</v>
      </c>
    </row>
    <row r="795" spans="1:33" x14ac:dyDescent="0.25">
      <c r="A795">
        <v>1794</v>
      </c>
      <c r="B795" s="1">
        <v>45206</v>
      </c>
      <c r="C795" s="1">
        <v>45209</v>
      </c>
      <c r="D795" s="1">
        <v>45213</v>
      </c>
      <c r="E795" t="s">
        <v>1065</v>
      </c>
      <c r="F795" t="s">
        <v>823</v>
      </c>
      <c r="G795" t="s">
        <v>1070</v>
      </c>
      <c r="H795" t="str">
        <f t="shared" si="84"/>
        <v>Furniture</v>
      </c>
      <c r="I795">
        <v>9</v>
      </c>
      <c r="J795" t="str">
        <f>VLOOKUP(K795,$AJ$2:$AK$7,2,FALSE)</f>
        <v>S004</v>
      </c>
      <c r="K795" t="s">
        <v>1100</v>
      </c>
      <c r="L795">
        <v>3.5</v>
      </c>
      <c r="M795" t="str">
        <f>IFERROR(VLOOKUP(TRIM(N795),$AP$2:$AQ$12,2,FALSE),"W001")</f>
        <v>W002</v>
      </c>
      <c r="N795" t="s">
        <v>1049</v>
      </c>
      <c r="O795" t="s">
        <v>1063</v>
      </c>
      <c r="P795" t="str">
        <f>VLOOKUP(O795,$AL$2:$AM$12,2,FALSE)</f>
        <v>South</v>
      </c>
      <c r="Q795" t="s">
        <v>1084</v>
      </c>
      <c r="R795">
        <v>704</v>
      </c>
      <c r="S795" t="s">
        <v>1066</v>
      </c>
      <c r="T795">
        <f t="shared" si="85"/>
        <v>3</v>
      </c>
      <c r="U795">
        <v>211.2</v>
      </c>
      <c r="V795">
        <f t="shared" si="86"/>
        <v>6</v>
      </c>
      <c r="W795" t="s">
        <v>1088</v>
      </c>
      <c r="X795" t="s">
        <v>1091</v>
      </c>
      <c r="Y795">
        <f t="shared" si="87"/>
        <v>0</v>
      </c>
      <c r="Z795" t="s">
        <v>1108</v>
      </c>
      <c r="AA795" t="str">
        <f t="shared" si="88"/>
        <v>Low</v>
      </c>
      <c r="AB795" t="s">
        <v>1103</v>
      </c>
      <c r="AC795" t="str">
        <f t="shared" si="89"/>
        <v>Yes</v>
      </c>
      <c r="AD795">
        <v>5</v>
      </c>
      <c r="AE795">
        <v>22662</v>
      </c>
      <c r="AF795">
        <v>9064.8000000000011</v>
      </c>
      <c r="AG795">
        <f t="shared" si="90"/>
        <v>13385.999999999998</v>
      </c>
    </row>
    <row r="796" spans="1:33" x14ac:dyDescent="0.25">
      <c r="A796">
        <v>1795</v>
      </c>
      <c r="B796" s="1">
        <v>44708</v>
      </c>
      <c r="C796" s="1">
        <v>44709</v>
      </c>
      <c r="D796" s="1">
        <v>44711</v>
      </c>
      <c r="E796" t="s">
        <v>1065</v>
      </c>
      <c r="F796" t="s">
        <v>824</v>
      </c>
      <c r="G796" t="s">
        <v>1071</v>
      </c>
      <c r="H796" t="str">
        <f t="shared" si="84"/>
        <v>Clothing</v>
      </c>
      <c r="I796">
        <v>9</v>
      </c>
      <c r="J796" t="str">
        <f>VLOOKUP(K796,$AJ$2:$AK$7,2,FALSE)</f>
        <v>S004</v>
      </c>
      <c r="K796" t="s">
        <v>1100</v>
      </c>
      <c r="L796">
        <v>5</v>
      </c>
      <c r="M796" t="str">
        <f>IFERROR(VLOOKUP(TRIM(N796),$AP$2:$AQ$12,2,FALSE),"W001")</f>
        <v>W005</v>
      </c>
      <c r="N796" t="s">
        <v>1055</v>
      </c>
      <c r="O796" t="s">
        <v>1057</v>
      </c>
      <c r="P796" t="str">
        <f>VLOOKUP(O796,$AL$2:$AM$12,2,FALSE)</f>
        <v>South</v>
      </c>
      <c r="Q796" t="s">
        <v>1085</v>
      </c>
      <c r="R796">
        <v>796</v>
      </c>
      <c r="S796" t="s">
        <v>1066</v>
      </c>
      <c r="T796">
        <f t="shared" si="85"/>
        <v>7</v>
      </c>
      <c r="U796">
        <v>79.599999999999994</v>
      </c>
      <c r="V796">
        <f t="shared" si="86"/>
        <v>3</v>
      </c>
      <c r="W796" t="s">
        <v>1088</v>
      </c>
      <c r="X796" t="s">
        <v>1089</v>
      </c>
      <c r="Y796">
        <f t="shared" si="87"/>
        <v>0</v>
      </c>
      <c r="Z796" t="s">
        <v>1108</v>
      </c>
      <c r="AA796" t="str">
        <f t="shared" si="88"/>
        <v>Low</v>
      </c>
      <c r="AB796" t="s">
        <v>1103</v>
      </c>
      <c r="AC796" t="str">
        <f t="shared" si="89"/>
        <v>Yes</v>
      </c>
      <c r="AD796">
        <v>5</v>
      </c>
      <c r="AE796">
        <v>21924</v>
      </c>
      <c r="AF796">
        <v>8769.6</v>
      </c>
      <c r="AG796">
        <f t="shared" si="90"/>
        <v>13074.8</v>
      </c>
    </row>
    <row r="797" spans="1:33" x14ac:dyDescent="0.25">
      <c r="A797">
        <v>1796</v>
      </c>
      <c r="B797" s="1">
        <v>45220</v>
      </c>
      <c r="C797" s="1">
        <v>45223</v>
      </c>
      <c r="D797" s="1">
        <v>45225</v>
      </c>
      <c r="E797" t="s">
        <v>1064</v>
      </c>
      <c r="F797" t="s">
        <v>825</v>
      </c>
      <c r="G797" t="s">
        <v>1068</v>
      </c>
      <c r="H797" t="str">
        <f t="shared" si="84"/>
        <v>Electronics</v>
      </c>
      <c r="I797">
        <v>3</v>
      </c>
      <c r="J797" t="str">
        <f>VLOOKUP(K797,$AJ$2:$AK$7,2,FALSE)</f>
        <v>S002</v>
      </c>
      <c r="K797" t="s">
        <v>1098</v>
      </c>
      <c r="L797">
        <v>3.4</v>
      </c>
      <c r="M797" t="str">
        <f>IFERROR(VLOOKUP(TRIM(N797),$AP$2:$AQ$12,2,FALSE),"W001")</f>
        <v>W004</v>
      </c>
      <c r="N797" t="s">
        <v>1053</v>
      </c>
      <c r="O797" t="s">
        <v>1062</v>
      </c>
      <c r="P797" t="str">
        <f>VLOOKUP(O797,$AL$2:$AM$12,2,FALSE)</f>
        <v>North</v>
      </c>
      <c r="Q797" t="s">
        <v>1084</v>
      </c>
      <c r="R797">
        <v>1959</v>
      </c>
      <c r="S797" t="s">
        <v>1078</v>
      </c>
      <c r="T797">
        <f t="shared" si="85"/>
        <v>7</v>
      </c>
      <c r="U797">
        <v>587.70000000000005</v>
      </c>
      <c r="V797">
        <f t="shared" si="86"/>
        <v>6</v>
      </c>
      <c r="W797" t="s">
        <v>1087</v>
      </c>
      <c r="X797" t="s">
        <v>1091</v>
      </c>
      <c r="Y797">
        <f t="shared" si="87"/>
        <v>0</v>
      </c>
      <c r="Z797" t="s">
        <v>1109</v>
      </c>
      <c r="AA797" t="str">
        <f t="shared" si="88"/>
        <v>High</v>
      </c>
      <c r="AB797" t="s">
        <v>1104</v>
      </c>
      <c r="AC797" t="str">
        <f t="shared" si="89"/>
        <v>No</v>
      </c>
      <c r="AD797">
        <v>1</v>
      </c>
      <c r="AE797">
        <v>123948</v>
      </c>
      <c r="AF797">
        <v>49579.200000000004</v>
      </c>
      <c r="AG797">
        <f t="shared" si="90"/>
        <v>73781.099999999991</v>
      </c>
    </row>
    <row r="798" spans="1:33" x14ac:dyDescent="0.25">
      <c r="A798">
        <v>1797</v>
      </c>
      <c r="B798" s="1">
        <v>45446</v>
      </c>
      <c r="C798" s="1">
        <v>45448</v>
      </c>
      <c r="D798" s="1">
        <v>45455</v>
      </c>
      <c r="E798" t="s">
        <v>1065</v>
      </c>
      <c r="F798" t="s">
        <v>826</v>
      </c>
      <c r="G798" t="s">
        <v>1067</v>
      </c>
      <c r="H798" t="str">
        <f t="shared" si="84"/>
        <v>Clothing</v>
      </c>
      <c r="I798">
        <v>3</v>
      </c>
      <c r="J798" t="str">
        <f>VLOOKUP(K798,$AJ$2:$AK$7,2,FALSE)</f>
        <v>S003</v>
      </c>
      <c r="K798" t="s">
        <v>1099</v>
      </c>
      <c r="L798">
        <v>4.5</v>
      </c>
      <c r="M798" t="str">
        <f>IFERROR(VLOOKUP(TRIM(N798),$AP$2:$AQ$12,2,FALSE),"W001")</f>
        <v>W011</v>
      </c>
      <c r="N798" t="s">
        <v>1059</v>
      </c>
      <c r="O798" t="s">
        <v>1060</v>
      </c>
      <c r="P798" t="str">
        <f>VLOOKUP(O798,$AL$2:$AM$12,2,FALSE)</f>
        <v>North</v>
      </c>
      <c r="Q798" t="s">
        <v>1083</v>
      </c>
      <c r="R798">
        <v>631</v>
      </c>
      <c r="S798" t="s">
        <v>1066</v>
      </c>
      <c r="T798">
        <f t="shared" si="85"/>
        <v>2</v>
      </c>
      <c r="U798">
        <v>315.5</v>
      </c>
      <c r="V798">
        <f t="shared" si="86"/>
        <v>10</v>
      </c>
      <c r="W798" t="s">
        <v>1087</v>
      </c>
      <c r="X798" t="s">
        <v>1090</v>
      </c>
      <c r="Y798">
        <f t="shared" si="87"/>
        <v>0</v>
      </c>
      <c r="Z798" t="s">
        <v>1108</v>
      </c>
      <c r="AA798" t="str">
        <f t="shared" si="88"/>
        <v>Medium</v>
      </c>
      <c r="AB798" t="s">
        <v>1103</v>
      </c>
      <c r="AC798" t="str">
        <f t="shared" si="89"/>
        <v>Yes</v>
      </c>
      <c r="AD798">
        <v>5</v>
      </c>
      <c r="AE798">
        <v>4341</v>
      </c>
      <c r="AF798">
        <v>1736.4</v>
      </c>
      <c r="AG798">
        <f t="shared" si="90"/>
        <v>2289.1</v>
      </c>
    </row>
    <row r="799" spans="1:33" x14ac:dyDescent="0.25">
      <c r="A799">
        <v>1798</v>
      </c>
      <c r="B799" s="1">
        <v>45438</v>
      </c>
      <c r="C799" s="1">
        <v>45440</v>
      </c>
      <c r="D799" s="1">
        <v>45442</v>
      </c>
      <c r="E799" t="s">
        <v>1065</v>
      </c>
      <c r="F799" t="s">
        <v>827</v>
      </c>
      <c r="G799" t="s">
        <v>1070</v>
      </c>
      <c r="H799" t="str">
        <f t="shared" si="84"/>
        <v>Furniture</v>
      </c>
      <c r="I799">
        <v>2</v>
      </c>
      <c r="J799" t="str">
        <f>VLOOKUP(K799,$AJ$2:$AK$7,2,FALSE)</f>
        <v>S001</v>
      </c>
      <c r="K799" t="s">
        <v>1097</v>
      </c>
      <c r="L799">
        <v>3.7</v>
      </c>
      <c r="M799" t="str">
        <f>IFERROR(VLOOKUP(TRIM(N799),$AP$2:$AQ$12,2,FALSE),"W001")</f>
        <v>W007</v>
      </c>
      <c r="N799" t="s">
        <v>1062</v>
      </c>
      <c r="O799" t="s">
        <v>1049</v>
      </c>
      <c r="P799" t="str">
        <f>VLOOKUP(O799,$AL$2:$AM$12,2,FALSE)</f>
        <v>North</v>
      </c>
      <c r="Q799" t="s">
        <v>1080</v>
      </c>
      <c r="R799">
        <v>1666</v>
      </c>
      <c r="S799" t="s">
        <v>1078</v>
      </c>
      <c r="T799">
        <f t="shared" si="85"/>
        <v>8</v>
      </c>
      <c r="U799">
        <v>249.9</v>
      </c>
      <c r="V799">
        <f t="shared" si="86"/>
        <v>4</v>
      </c>
      <c r="W799" t="s">
        <v>1086</v>
      </c>
      <c r="X799" t="s">
        <v>1091</v>
      </c>
      <c r="Y799">
        <f t="shared" si="87"/>
        <v>249.9</v>
      </c>
      <c r="Z799" t="s">
        <v>1108</v>
      </c>
      <c r="AA799" t="str">
        <f t="shared" si="88"/>
        <v>Low</v>
      </c>
      <c r="AB799" t="s">
        <v>1103</v>
      </c>
      <c r="AC799" t="str">
        <f t="shared" si="89"/>
        <v>Yes</v>
      </c>
      <c r="AD799">
        <v>5</v>
      </c>
      <c r="AE799">
        <v>13422</v>
      </c>
      <c r="AF799">
        <v>5368.8</v>
      </c>
      <c r="AG799">
        <f t="shared" si="90"/>
        <v>7803.3</v>
      </c>
    </row>
    <row r="800" spans="1:33" x14ac:dyDescent="0.25">
      <c r="A800">
        <v>1799</v>
      </c>
      <c r="B800" s="1">
        <v>45297</v>
      </c>
      <c r="C800" s="1">
        <v>45299</v>
      </c>
      <c r="D800" s="1">
        <v>45305</v>
      </c>
      <c r="E800" t="s">
        <v>1065</v>
      </c>
      <c r="F800" t="s">
        <v>828</v>
      </c>
      <c r="G800" t="s">
        <v>1072</v>
      </c>
      <c r="H800" t="str">
        <f t="shared" si="84"/>
        <v>Electronics</v>
      </c>
      <c r="I800">
        <v>10</v>
      </c>
      <c r="J800" t="str">
        <f>VLOOKUP(K800,$AJ$2:$AK$7,2,FALSE)</f>
        <v>S003</v>
      </c>
      <c r="K800" t="s">
        <v>1099</v>
      </c>
      <c r="L800">
        <v>4.5</v>
      </c>
      <c r="M800" t="str">
        <f>IFERROR(VLOOKUP(TRIM(N800),$AP$2:$AQ$12,2,FALSE),"W001")</f>
        <v>W002</v>
      </c>
      <c r="N800" t="s">
        <v>1049</v>
      </c>
      <c r="O800" t="s">
        <v>1049</v>
      </c>
      <c r="P800" t="str">
        <f>VLOOKUP(O800,$AL$2:$AM$12,2,FALSE)</f>
        <v>North</v>
      </c>
      <c r="Q800" t="s">
        <v>1080</v>
      </c>
      <c r="R800">
        <v>39</v>
      </c>
      <c r="S800" t="s">
        <v>1079</v>
      </c>
      <c r="T800">
        <f t="shared" si="85"/>
        <v>2</v>
      </c>
      <c r="U800">
        <v>5.85</v>
      </c>
      <c r="V800">
        <f t="shared" si="86"/>
        <v>4</v>
      </c>
      <c r="W800" t="s">
        <v>1087</v>
      </c>
      <c r="X800" t="s">
        <v>1090</v>
      </c>
      <c r="Y800">
        <f t="shared" si="87"/>
        <v>0</v>
      </c>
      <c r="Z800" t="s">
        <v>1108</v>
      </c>
      <c r="AA800" t="str">
        <f t="shared" si="88"/>
        <v>Low</v>
      </c>
      <c r="AB800" t="s">
        <v>1103</v>
      </c>
      <c r="AC800" t="str">
        <f t="shared" si="89"/>
        <v>Yes</v>
      </c>
      <c r="AD800">
        <v>5</v>
      </c>
      <c r="AE800">
        <v>205490</v>
      </c>
      <c r="AF800">
        <v>82196</v>
      </c>
      <c r="AG800">
        <f t="shared" si="90"/>
        <v>123288.15</v>
      </c>
    </row>
    <row r="801" spans="1:33" x14ac:dyDescent="0.25">
      <c r="A801">
        <v>1800</v>
      </c>
      <c r="B801" s="1">
        <v>44332</v>
      </c>
      <c r="C801" s="1">
        <v>44335</v>
      </c>
      <c r="D801" s="1">
        <v>44338</v>
      </c>
      <c r="E801" t="s">
        <v>1065</v>
      </c>
      <c r="F801" t="s">
        <v>829</v>
      </c>
      <c r="G801" t="s">
        <v>1068</v>
      </c>
      <c r="H801" t="str">
        <f t="shared" si="84"/>
        <v>Electronics</v>
      </c>
      <c r="I801">
        <v>5</v>
      </c>
      <c r="J801" t="str">
        <f>VLOOKUP(K801,$AJ$2:$AK$7,2,FALSE)</f>
        <v>S004</v>
      </c>
      <c r="K801" t="s">
        <v>1100</v>
      </c>
      <c r="L801">
        <v>3.4</v>
      </c>
      <c r="M801" t="str">
        <f>IFERROR(VLOOKUP(TRIM(N801),$AP$2:$AQ$12,2,FALSE),"W001")</f>
        <v>W008</v>
      </c>
      <c r="N801" t="s">
        <v>1061</v>
      </c>
      <c r="O801" t="s">
        <v>1059</v>
      </c>
      <c r="P801" t="str">
        <f>VLOOKUP(O801,$AL$2:$AM$12,2,FALSE)</f>
        <v>North</v>
      </c>
      <c r="Q801" t="s">
        <v>1084</v>
      </c>
      <c r="R801">
        <v>981</v>
      </c>
      <c r="S801" t="s">
        <v>1078</v>
      </c>
      <c r="T801">
        <f t="shared" si="85"/>
        <v>4</v>
      </c>
      <c r="U801">
        <v>294.3</v>
      </c>
      <c r="V801">
        <f t="shared" si="86"/>
        <v>6</v>
      </c>
      <c r="W801" t="s">
        <v>1088</v>
      </c>
      <c r="X801" t="s">
        <v>1090</v>
      </c>
      <c r="Y801">
        <f t="shared" si="87"/>
        <v>0</v>
      </c>
      <c r="Z801" t="s">
        <v>1108</v>
      </c>
      <c r="AA801" t="str">
        <f t="shared" si="88"/>
        <v>Low</v>
      </c>
      <c r="AB801" t="s">
        <v>1103</v>
      </c>
      <c r="AC801" t="str">
        <f t="shared" si="89"/>
        <v>Yes</v>
      </c>
      <c r="AD801">
        <v>5</v>
      </c>
      <c r="AE801">
        <v>338760</v>
      </c>
      <c r="AF801">
        <v>135504</v>
      </c>
      <c r="AG801">
        <f t="shared" si="90"/>
        <v>202961.7</v>
      </c>
    </row>
    <row r="802" spans="1:33" x14ac:dyDescent="0.25">
      <c r="A802">
        <v>1801</v>
      </c>
      <c r="B802" s="1">
        <v>45249</v>
      </c>
      <c r="C802" s="1">
        <v>45250</v>
      </c>
      <c r="D802" s="1">
        <v>45254</v>
      </c>
      <c r="E802" t="s">
        <v>1066</v>
      </c>
      <c r="F802" t="s">
        <v>830</v>
      </c>
      <c r="G802" t="s">
        <v>1070</v>
      </c>
      <c r="H802" t="str">
        <f t="shared" si="84"/>
        <v>Furniture</v>
      </c>
      <c r="I802">
        <v>1</v>
      </c>
      <c r="J802" t="str">
        <f>VLOOKUP(K802,$AJ$2:$AK$7,2,FALSE)</f>
        <v>S005</v>
      </c>
      <c r="K802" t="s">
        <v>1101</v>
      </c>
      <c r="L802">
        <v>4.5</v>
      </c>
      <c r="M802" t="str">
        <f>IFERROR(VLOOKUP(TRIM(N802),$AP$2:$AQ$12,2,FALSE),"W001")</f>
        <v>W010</v>
      </c>
      <c r="N802" t="s">
        <v>1063</v>
      </c>
      <c r="O802" t="s">
        <v>1060</v>
      </c>
      <c r="P802" t="str">
        <f>VLOOKUP(O802,$AL$2:$AM$12,2,FALSE)</f>
        <v>North</v>
      </c>
      <c r="Q802" t="s">
        <v>1081</v>
      </c>
      <c r="R802">
        <v>1991</v>
      </c>
      <c r="S802" t="s">
        <v>1078</v>
      </c>
      <c r="T802">
        <f t="shared" si="85"/>
        <v>9</v>
      </c>
      <c r="U802">
        <v>398.2</v>
      </c>
      <c r="V802">
        <f t="shared" si="86"/>
        <v>5</v>
      </c>
      <c r="W802" t="s">
        <v>1088</v>
      </c>
      <c r="X802" t="s">
        <v>1091</v>
      </c>
      <c r="Y802">
        <f t="shared" si="87"/>
        <v>0</v>
      </c>
      <c r="Z802" t="s">
        <v>1109</v>
      </c>
      <c r="AA802" t="str">
        <f t="shared" si="88"/>
        <v>High</v>
      </c>
      <c r="AB802" t="s">
        <v>1104</v>
      </c>
      <c r="AC802" t="str">
        <f t="shared" si="89"/>
        <v>No</v>
      </c>
      <c r="AD802">
        <v>2</v>
      </c>
      <c r="AE802">
        <v>2692</v>
      </c>
      <c r="AF802">
        <v>1076.8</v>
      </c>
      <c r="AG802">
        <f t="shared" si="90"/>
        <v>1217</v>
      </c>
    </row>
    <row r="803" spans="1:33" x14ac:dyDescent="0.25">
      <c r="A803">
        <v>1802</v>
      </c>
      <c r="B803" s="1">
        <v>45953</v>
      </c>
      <c r="C803" s="1">
        <v>45956</v>
      </c>
      <c r="D803" s="1">
        <v>45959</v>
      </c>
      <c r="E803" t="s">
        <v>1065</v>
      </c>
      <c r="F803" t="s">
        <v>831</v>
      </c>
      <c r="G803" t="s">
        <v>1069</v>
      </c>
      <c r="H803" t="str">
        <f t="shared" si="84"/>
        <v>Furniture</v>
      </c>
      <c r="I803">
        <v>10</v>
      </c>
      <c r="J803" t="str">
        <f>VLOOKUP(K803,$AJ$2:$AK$7,2,FALSE)</f>
        <v>S002</v>
      </c>
      <c r="K803" t="s">
        <v>1098</v>
      </c>
      <c r="L803">
        <v>4.9000000000000004</v>
      </c>
      <c r="M803" t="str">
        <f>IFERROR(VLOOKUP(TRIM(N803),$AP$2:$AQ$12,2,FALSE),"W001")</f>
        <v>W005</v>
      </c>
      <c r="N803" t="s">
        <v>1055</v>
      </c>
      <c r="O803" t="s">
        <v>1057</v>
      </c>
      <c r="P803" t="str">
        <f>VLOOKUP(O803,$AL$2:$AM$12,2,FALSE)</f>
        <v>South</v>
      </c>
      <c r="Q803" t="s">
        <v>1082</v>
      </c>
      <c r="R803">
        <v>1844</v>
      </c>
      <c r="S803" t="s">
        <v>1078</v>
      </c>
      <c r="T803">
        <f t="shared" si="85"/>
        <v>5</v>
      </c>
      <c r="U803">
        <v>737.6</v>
      </c>
      <c r="V803">
        <f t="shared" si="86"/>
        <v>8</v>
      </c>
      <c r="W803" t="s">
        <v>1087</v>
      </c>
      <c r="X803" t="s">
        <v>1091</v>
      </c>
      <c r="Y803">
        <f t="shared" si="87"/>
        <v>0</v>
      </c>
      <c r="Z803" t="s">
        <v>1109</v>
      </c>
      <c r="AA803" t="str">
        <f t="shared" si="88"/>
        <v>High</v>
      </c>
      <c r="AB803" t="s">
        <v>1103</v>
      </c>
      <c r="AC803" t="str">
        <f t="shared" si="89"/>
        <v>No</v>
      </c>
      <c r="AD803">
        <v>3</v>
      </c>
      <c r="AE803">
        <v>123660</v>
      </c>
      <c r="AF803">
        <v>49464</v>
      </c>
      <c r="AG803">
        <f t="shared" si="90"/>
        <v>73458.399999999994</v>
      </c>
    </row>
    <row r="804" spans="1:33" x14ac:dyDescent="0.25">
      <c r="A804">
        <v>1803</v>
      </c>
      <c r="B804" s="1">
        <v>46094</v>
      </c>
      <c r="C804" s="1">
        <v>46096</v>
      </c>
      <c r="D804" s="1">
        <v>46103</v>
      </c>
      <c r="E804" t="s">
        <v>1066</v>
      </c>
      <c r="F804" t="s">
        <v>832</v>
      </c>
      <c r="G804" t="s">
        <v>1070</v>
      </c>
      <c r="H804" t="str">
        <f t="shared" si="84"/>
        <v>Furniture</v>
      </c>
      <c r="I804">
        <v>7</v>
      </c>
      <c r="J804" t="str">
        <f>VLOOKUP(K804,$AJ$2:$AK$7,2,FALSE)</f>
        <v>S006</v>
      </c>
      <c r="K804" t="s">
        <v>1102</v>
      </c>
      <c r="L804">
        <v>4</v>
      </c>
      <c r="M804" t="str">
        <f>IFERROR(VLOOKUP(TRIM(N804),$AP$2:$AQ$12,2,FALSE),"W001")</f>
        <v>W008</v>
      </c>
      <c r="N804" t="s">
        <v>1061</v>
      </c>
      <c r="O804" t="s">
        <v>1049</v>
      </c>
      <c r="P804" t="str">
        <f>VLOOKUP(O804,$AL$2:$AM$12,2,FALSE)</f>
        <v>North</v>
      </c>
      <c r="Q804" t="s">
        <v>1085</v>
      </c>
      <c r="R804">
        <v>544</v>
      </c>
      <c r="S804" t="s">
        <v>1066</v>
      </c>
      <c r="T804">
        <f t="shared" si="85"/>
        <v>6</v>
      </c>
      <c r="U804">
        <v>54.4</v>
      </c>
      <c r="V804">
        <f t="shared" si="86"/>
        <v>3</v>
      </c>
      <c r="W804" t="s">
        <v>1088</v>
      </c>
      <c r="X804" t="s">
        <v>1089</v>
      </c>
      <c r="Y804">
        <f t="shared" si="87"/>
        <v>0</v>
      </c>
      <c r="Z804" t="s">
        <v>1108</v>
      </c>
      <c r="AA804" t="str">
        <f t="shared" si="88"/>
        <v>Low</v>
      </c>
      <c r="AB804" t="s">
        <v>1103</v>
      </c>
      <c r="AC804" t="str">
        <f t="shared" si="89"/>
        <v>Yes</v>
      </c>
      <c r="AD804">
        <v>4</v>
      </c>
      <c r="AE804">
        <v>20132</v>
      </c>
      <c r="AF804">
        <v>8052.8</v>
      </c>
      <c r="AG804">
        <f t="shared" si="90"/>
        <v>12024.800000000001</v>
      </c>
    </row>
    <row r="805" spans="1:33" x14ac:dyDescent="0.25">
      <c r="A805">
        <v>1804</v>
      </c>
      <c r="B805" s="1">
        <v>44460</v>
      </c>
      <c r="C805" s="1">
        <v>44463</v>
      </c>
      <c r="D805" s="1">
        <v>44467</v>
      </c>
      <c r="E805" t="s">
        <v>1065</v>
      </c>
      <c r="F805" t="s">
        <v>833</v>
      </c>
      <c r="G805" t="s">
        <v>1069</v>
      </c>
      <c r="H805" t="str">
        <f t="shared" si="84"/>
        <v>Furniture</v>
      </c>
      <c r="I805">
        <v>2</v>
      </c>
      <c r="J805" t="str">
        <f>VLOOKUP(K805,$AJ$2:$AK$7,2,FALSE)</f>
        <v>S003</v>
      </c>
      <c r="K805" t="s">
        <v>1099</v>
      </c>
      <c r="L805">
        <v>4.3</v>
      </c>
      <c r="M805" t="str">
        <f>IFERROR(VLOOKUP(TRIM(N805),$AP$2:$AQ$12,2,FALSE),"W001")</f>
        <v>W008</v>
      </c>
      <c r="N805" t="s">
        <v>1061</v>
      </c>
      <c r="O805" t="s">
        <v>1047</v>
      </c>
      <c r="P805" t="str">
        <f>VLOOKUP(O805,$AL$2:$AM$12,2,FALSE)</f>
        <v>West</v>
      </c>
      <c r="Q805" t="s">
        <v>1085</v>
      </c>
      <c r="R805">
        <v>1966</v>
      </c>
      <c r="S805" t="s">
        <v>1078</v>
      </c>
      <c r="T805">
        <f t="shared" si="85"/>
        <v>13</v>
      </c>
      <c r="U805">
        <v>196.6</v>
      </c>
      <c r="V805">
        <f t="shared" si="86"/>
        <v>3</v>
      </c>
      <c r="W805" t="s">
        <v>1086</v>
      </c>
      <c r="X805" t="s">
        <v>1091</v>
      </c>
      <c r="Y805">
        <f t="shared" si="87"/>
        <v>196.6</v>
      </c>
      <c r="Z805" t="s">
        <v>1109</v>
      </c>
      <c r="AA805" t="str">
        <f t="shared" si="88"/>
        <v>High</v>
      </c>
      <c r="AB805" t="s">
        <v>1104</v>
      </c>
      <c r="AC805" t="str">
        <f t="shared" si="89"/>
        <v>No</v>
      </c>
      <c r="AD805">
        <v>2</v>
      </c>
      <c r="AE805">
        <v>29760</v>
      </c>
      <c r="AF805">
        <v>11904</v>
      </c>
      <c r="AG805">
        <f t="shared" si="90"/>
        <v>17659.400000000001</v>
      </c>
    </row>
    <row r="806" spans="1:33" x14ac:dyDescent="0.25">
      <c r="A806">
        <v>1805</v>
      </c>
      <c r="B806" s="1">
        <v>44281</v>
      </c>
      <c r="C806" s="1">
        <v>44283</v>
      </c>
      <c r="D806" s="1">
        <v>44288</v>
      </c>
      <c r="E806" t="s">
        <v>1066</v>
      </c>
      <c r="F806" t="s">
        <v>834</v>
      </c>
      <c r="G806" t="s">
        <v>1072</v>
      </c>
      <c r="H806" t="str">
        <f t="shared" si="84"/>
        <v>Electronics</v>
      </c>
      <c r="I806">
        <v>5</v>
      </c>
      <c r="J806" t="str">
        <f>VLOOKUP(K806,$AJ$2:$AK$7,2,FALSE)</f>
        <v>S001</v>
      </c>
      <c r="K806" t="s">
        <v>1097</v>
      </c>
      <c r="L806">
        <v>4.2</v>
      </c>
      <c r="M806" t="str">
        <f>IFERROR(VLOOKUP(TRIM(N806),$AP$2:$AQ$12,2,FALSE),"W001")</f>
        <v>W009</v>
      </c>
      <c r="N806" t="s">
        <v>1060</v>
      </c>
      <c r="O806" t="s">
        <v>1057</v>
      </c>
      <c r="P806" t="str">
        <f>VLOOKUP(O806,$AL$2:$AM$12,2,FALSE)</f>
        <v>South</v>
      </c>
      <c r="Q806" t="s">
        <v>1084</v>
      </c>
      <c r="R806">
        <v>720</v>
      </c>
      <c r="S806" t="s">
        <v>1066</v>
      </c>
      <c r="T806">
        <f t="shared" si="85"/>
        <v>3</v>
      </c>
      <c r="U806">
        <v>216</v>
      </c>
      <c r="V806">
        <f t="shared" si="86"/>
        <v>6</v>
      </c>
      <c r="W806" t="s">
        <v>1088</v>
      </c>
      <c r="X806" t="s">
        <v>1091</v>
      </c>
      <c r="Y806">
        <f t="shared" si="87"/>
        <v>0</v>
      </c>
      <c r="Z806" t="s">
        <v>1108</v>
      </c>
      <c r="AA806" t="str">
        <f t="shared" si="88"/>
        <v>Low</v>
      </c>
      <c r="AB806" t="s">
        <v>1103</v>
      </c>
      <c r="AC806" t="str">
        <f t="shared" si="89"/>
        <v>Yes</v>
      </c>
      <c r="AD806">
        <v>4</v>
      </c>
      <c r="AE806">
        <v>120850</v>
      </c>
      <c r="AF806">
        <v>48340</v>
      </c>
      <c r="AG806">
        <f t="shared" si="90"/>
        <v>72294</v>
      </c>
    </row>
    <row r="807" spans="1:33" x14ac:dyDescent="0.25">
      <c r="A807">
        <v>1806</v>
      </c>
      <c r="B807" s="1">
        <v>45646</v>
      </c>
      <c r="C807" s="1">
        <v>45648</v>
      </c>
      <c r="D807" s="1">
        <v>45653</v>
      </c>
      <c r="E807" t="s">
        <v>1066</v>
      </c>
      <c r="F807" t="s">
        <v>835</v>
      </c>
      <c r="G807" t="s">
        <v>1068</v>
      </c>
      <c r="H807" t="str">
        <f t="shared" si="84"/>
        <v>Electronics</v>
      </c>
      <c r="I807">
        <v>6</v>
      </c>
      <c r="J807" t="str">
        <f>VLOOKUP(K807,$AJ$2:$AK$7,2,FALSE)</f>
        <v>S006</v>
      </c>
      <c r="K807" t="s">
        <v>1102</v>
      </c>
      <c r="L807">
        <v>5</v>
      </c>
      <c r="M807" t="str">
        <f>IFERROR(VLOOKUP(TRIM(N807),$AP$2:$AQ$12,2,FALSE),"W001")</f>
        <v>W004</v>
      </c>
      <c r="N807" t="s">
        <v>1053</v>
      </c>
      <c r="O807" t="s">
        <v>1062</v>
      </c>
      <c r="P807" t="str">
        <f>VLOOKUP(O807,$AL$2:$AM$12,2,FALSE)</f>
        <v>North</v>
      </c>
      <c r="Q807" t="s">
        <v>1084</v>
      </c>
      <c r="R807">
        <v>1035</v>
      </c>
      <c r="S807" t="s">
        <v>1078</v>
      </c>
      <c r="T807">
        <f t="shared" si="85"/>
        <v>4</v>
      </c>
      <c r="U807">
        <v>310.5</v>
      </c>
      <c r="V807">
        <f t="shared" si="86"/>
        <v>6</v>
      </c>
      <c r="W807" t="s">
        <v>1087</v>
      </c>
      <c r="X807" t="s">
        <v>1091</v>
      </c>
      <c r="Y807">
        <f t="shared" si="87"/>
        <v>0</v>
      </c>
      <c r="Z807" t="s">
        <v>1108</v>
      </c>
      <c r="AA807" t="str">
        <f t="shared" si="88"/>
        <v>Low</v>
      </c>
      <c r="AB807" t="s">
        <v>1103</v>
      </c>
      <c r="AC807" t="str">
        <f t="shared" si="89"/>
        <v>Yes</v>
      </c>
      <c r="AD807">
        <v>5</v>
      </c>
      <c r="AE807">
        <v>406284</v>
      </c>
      <c r="AF807">
        <v>162513.60000000001</v>
      </c>
      <c r="AG807">
        <f t="shared" si="90"/>
        <v>243459.9</v>
      </c>
    </row>
    <row r="808" spans="1:33" x14ac:dyDescent="0.25">
      <c r="A808">
        <v>1807</v>
      </c>
      <c r="B808" s="1">
        <v>44399</v>
      </c>
      <c r="C808" s="1">
        <v>44402</v>
      </c>
      <c r="D808" s="1">
        <v>44407</v>
      </c>
      <c r="E808" t="s">
        <v>1064</v>
      </c>
      <c r="F808" t="s">
        <v>836</v>
      </c>
      <c r="G808" t="s">
        <v>1067</v>
      </c>
      <c r="H808" t="str">
        <f t="shared" si="84"/>
        <v>Clothing</v>
      </c>
      <c r="I808">
        <v>3</v>
      </c>
      <c r="J808" t="str">
        <f>VLOOKUP(K808,$AJ$2:$AK$7,2,FALSE)</f>
        <v>S003</v>
      </c>
      <c r="K808" t="s">
        <v>1099</v>
      </c>
      <c r="L808">
        <v>3.9</v>
      </c>
      <c r="M808" t="str">
        <f>IFERROR(VLOOKUP(TRIM(N808),$AP$2:$AQ$12,2,FALSE),"W001")</f>
        <v>W007</v>
      </c>
      <c r="N808" t="s">
        <v>1062</v>
      </c>
      <c r="O808" t="s">
        <v>1053</v>
      </c>
      <c r="P808" t="str">
        <f>VLOOKUP(O808,$AL$2:$AM$12,2,FALSE)</f>
        <v>South</v>
      </c>
      <c r="Q808" t="s">
        <v>1085</v>
      </c>
      <c r="R808">
        <v>480</v>
      </c>
      <c r="S808" t="s">
        <v>1066</v>
      </c>
      <c r="T808">
        <f t="shared" si="85"/>
        <v>5</v>
      </c>
      <c r="U808">
        <v>48</v>
      </c>
      <c r="V808">
        <f t="shared" si="86"/>
        <v>3</v>
      </c>
      <c r="W808" t="s">
        <v>1086</v>
      </c>
      <c r="X808" t="s">
        <v>1091</v>
      </c>
      <c r="Y808">
        <f t="shared" si="87"/>
        <v>48</v>
      </c>
      <c r="Z808" t="s">
        <v>1108</v>
      </c>
      <c r="AA808" t="str">
        <f t="shared" si="88"/>
        <v>Low</v>
      </c>
      <c r="AB808" t="s">
        <v>1103</v>
      </c>
      <c r="AC808" t="str">
        <f t="shared" si="89"/>
        <v>Yes</v>
      </c>
      <c r="AD808">
        <v>5</v>
      </c>
      <c r="AE808">
        <v>2886</v>
      </c>
      <c r="AF808">
        <v>1154.4000000000001</v>
      </c>
      <c r="AG808">
        <f t="shared" si="90"/>
        <v>1683.6</v>
      </c>
    </row>
    <row r="809" spans="1:33" x14ac:dyDescent="0.25">
      <c r="A809">
        <v>1808</v>
      </c>
      <c r="B809" s="1">
        <v>45932</v>
      </c>
      <c r="C809" s="1">
        <v>45934</v>
      </c>
      <c r="D809" s="1">
        <v>45937</v>
      </c>
      <c r="E809" t="s">
        <v>1066</v>
      </c>
      <c r="F809" t="s">
        <v>837</v>
      </c>
      <c r="G809" t="s">
        <v>1069</v>
      </c>
      <c r="H809" t="str">
        <f t="shared" si="84"/>
        <v>Furniture</v>
      </c>
      <c r="I809">
        <v>9</v>
      </c>
      <c r="J809" t="str">
        <f>VLOOKUP(K809,$AJ$2:$AK$7,2,FALSE)</f>
        <v>S005</v>
      </c>
      <c r="K809" t="s">
        <v>1101</v>
      </c>
      <c r="L809">
        <v>3.2</v>
      </c>
      <c r="M809" t="str">
        <f>IFERROR(VLOOKUP(TRIM(N809),$AP$2:$AQ$12,2,FALSE),"W001")</f>
        <v>W001</v>
      </c>
      <c r="N809" t="s">
        <v>1047</v>
      </c>
      <c r="O809" t="s">
        <v>1049</v>
      </c>
      <c r="P809" t="str">
        <f>VLOOKUP(O809,$AL$2:$AM$12,2,FALSE)</f>
        <v>North</v>
      </c>
      <c r="Q809" t="s">
        <v>1081</v>
      </c>
      <c r="R809">
        <v>1690</v>
      </c>
      <c r="S809" t="s">
        <v>1078</v>
      </c>
      <c r="T809">
        <f t="shared" si="85"/>
        <v>8</v>
      </c>
      <c r="U809">
        <v>338</v>
      </c>
      <c r="V809">
        <f t="shared" si="86"/>
        <v>5</v>
      </c>
      <c r="W809" t="s">
        <v>1087</v>
      </c>
      <c r="X809" t="s">
        <v>1089</v>
      </c>
      <c r="Y809">
        <f t="shared" si="87"/>
        <v>0</v>
      </c>
      <c r="Z809" t="s">
        <v>1109</v>
      </c>
      <c r="AA809" t="str">
        <f t="shared" si="88"/>
        <v>High</v>
      </c>
      <c r="AB809" t="s">
        <v>1103</v>
      </c>
      <c r="AC809" t="str">
        <f t="shared" si="89"/>
        <v>No</v>
      </c>
      <c r="AD809">
        <v>2</v>
      </c>
      <c r="AE809">
        <v>79623</v>
      </c>
      <c r="AF809">
        <v>31849.200000000001</v>
      </c>
      <c r="AG809">
        <f t="shared" si="90"/>
        <v>47435.8</v>
      </c>
    </row>
    <row r="810" spans="1:33" x14ac:dyDescent="0.25">
      <c r="A810">
        <v>1809</v>
      </c>
      <c r="B810" s="1">
        <v>46121</v>
      </c>
      <c r="C810" s="1">
        <v>46123</v>
      </c>
      <c r="D810" s="1">
        <v>46128</v>
      </c>
      <c r="E810" t="s">
        <v>1064</v>
      </c>
      <c r="F810" t="s">
        <v>838</v>
      </c>
      <c r="G810" t="s">
        <v>1067</v>
      </c>
      <c r="H810" t="str">
        <f t="shared" si="84"/>
        <v>Clothing</v>
      </c>
      <c r="I810">
        <v>4</v>
      </c>
      <c r="J810" t="str">
        <f>VLOOKUP(K810,$AJ$2:$AK$7,2,FALSE)</f>
        <v>S006</v>
      </c>
      <c r="K810" t="s">
        <v>1102</v>
      </c>
      <c r="L810">
        <v>3.9</v>
      </c>
      <c r="M810" t="str">
        <f>IFERROR(VLOOKUP(TRIM(N810),$AP$2:$AQ$12,2,FALSE),"W001")</f>
        <v>W009</v>
      </c>
      <c r="N810" t="s">
        <v>1060</v>
      </c>
      <c r="O810" t="s">
        <v>1047</v>
      </c>
      <c r="P810" t="str">
        <f>VLOOKUP(O810,$AL$2:$AM$12,2,FALSE)</f>
        <v>West</v>
      </c>
      <c r="Q810" t="s">
        <v>1085</v>
      </c>
      <c r="R810">
        <v>109</v>
      </c>
      <c r="S810" t="s">
        <v>1079</v>
      </c>
      <c r="T810">
        <f t="shared" si="85"/>
        <v>4</v>
      </c>
      <c r="U810">
        <v>10.9</v>
      </c>
      <c r="V810">
        <f t="shared" si="86"/>
        <v>3</v>
      </c>
      <c r="W810" t="s">
        <v>1087</v>
      </c>
      <c r="X810" t="s">
        <v>1091</v>
      </c>
      <c r="Y810">
        <f t="shared" si="87"/>
        <v>0</v>
      </c>
      <c r="Z810" t="s">
        <v>1108</v>
      </c>
      <c r="AA810" t="str">
        <f t="shared" si="88"/>
        <v>Low</v>
      </c>
      <c r="AB810" t="s">
        <v>1103</v>
      </c>
      <c r="AC810" t="str">
        <f t="shared" si="89"/>
        <v>Yes</v>
      </c>
      <c r="AD810">
        <v>5</v>
      </c>
      <c r="AE810">
        <v>3408</v>
      </c>
      <c r="AF810">
        <v>1363.2</v>
      </c>
      <c r="AG810">
        <f t="shared" si="90"/>
        <v>2033.8999999999999</v>
      </c>
    </row>
    <row r="811" spans="1:33" x14ac:dyDescent="0.25">
      <c r="A811">
        <v>1810</v>
      </c>
      <c r="B811" s="1">
        <v>45820</v>
      </c>
      <c r="C811" s="1">
        <v>45822</v>
      </c>
      <c r="D811" s="1">
        <v>45825</v>
      </c>
      <c r="E811" t="s">
        <v>1066</v>
      </c>
      <c r="F811" t="s">
        <v>839</v>
      </c>
      <c r="G811" t="s">
        <v>1068</v>
      </c>
      <c r="H811" t="str">
        <f t="shared" si="84"/>
        <v>Electronics</v>
      </c>
      <c r="I811">
        <v>9</v>
      </c>
      <c r="J811" t="str">
        <f>VLOOKUP(K811,$AJ$2:$AK$7,2,FALSE)</f>
        <v>S004</v>
      </c>
      <c r="K811" t="s">
        <v>1100</v>
      </c>
      <c r="L811">
        <v>4.4000000000000004</v>
      </c>
      <c r="M811" t="str">
        <f>IFERROR(VLOOKUP(TRIM(N811),$AP$2:$AQ$12,2,FALSE),"W001")</f>
        <v>W009</v>
      </c>
      <c r="N811" t="s">
        <v>1060</v>
      </c>
      <c r="O811" t="s">
        <v>1051</v>
      </c>
      <c r="P811" t="str">
        <f>VLOOKUP(O811,$AL$2:$AM$12,2,FALSE)</f>
        <v>West</v>
      </c>
      <c r="Q811" t="s">
        <v>1081</v>
      </c>
      <c r="R811">
        <v>1775</v>
      </c>
      <c r="S811" t="s">
        <v>1078</v>
      </c>
      <c r="T811">
        <f t="shared" si="85"/>
        <v>8</v>
      </c>
      <c r="U811">
        <v>355</v>
      </c>
      <c r="V811">
        <f t="shared" si="86"/>
        <v>5</v>
      </c>
      <c r="W811" t="s">
        <v>1088</v>
      </c>
      <c r="X811" t="s">
        <v>1091</v>
      </c>
      <c r="Y811">
        <f t="shared" si="87"/>
        <v>0</v>
      </c>
      <c r="Z811" t="s">
        <v>1109</v>
      </c>
      <c r="AA811" t="str">
        <f t="shared" si="88"/>
        <v>High</v>
      </c>
      <c r="AB811" t="s">
        <v>1103</v>
      </c>
      <c r="AC811" t="str">
        <f t="shared" si="89"/>
        <v>No</v>
      </c>
      <c r="AD811">
        <v>2</v>
      </c>
      <c r="AE811">
        <v>494892</v>
      </c>
      <c r="AF811">
        <v>197956.80000000002</v>
      </c>
      <c r="AG811">
        <f t="shared" si="90"/>
        <v>296580.19999999995</v>
      </c>
    </row>
    <row r="812" spans="1:33" x14ac:dyDescent="0.25">
      <c r="A812">
        <v>1811</v>
      </c>
      <c r="B812" s="1">
        <v>45732</v>
      </c>
      <c r="C812" s="1">
        <v>45734</v>
      </c>
      <c r="D812" s="1">
        <v>45736</v>
      </c>
      <c r="E812" t="s">
        <v>1065</v>
      </c>
      <c r="F812" t="s">
        <v>840</v>
      </c>
      <c r="G812" t="s">
        <v>1068</v>
      </c>
      <c r="H812" t="str">
        <f t="shared" si="84"/>
        <v>Electronics</v>
      </c>
      <c r="I812">
        <v>10</v>
      </c>
      <c r="J812" t="str">
        <f>VLOOKUP(K812,$AJ$2:$AK$7,2,FALSE)</f>
        <v>S001</v>
      </c>
      <c r="K812" t="s">
        <v>1097</v>
      </c>
      <c r="L812">
        <v>3.2</v>
      </c>
      <c r="M812" t="str">
        <f>IFERROR(VLOOKUP(TRIM(N812),$AP$2:$AQ$12,2,FALSE),"W001")</f>
        <v>W001</v>
      </c>
      <c r="N812" t="s">
        <v>1047</v>
      </c>
      <c r="O812" t="s">
        <v>1061</v>
      </c>
      <c r="P812" t="str">
        <f>VLOOKUP(O812,$AL$2:$AM$12,2,FALSE)</f>
        <v>West</v>
      </c>
      <c r="Q812" t="s">
        <v>1082</v>
      </c>
      <c r="R812">
        <v>1673</v>
      </c>
      <c r="S812" t="s">
        <v>1078</v>
      </c>
      <c r="T812">
        <f t="shared" si="85"/>
        <v>4</v>
      </c>
      <c r="U812">
        <v>669.2</v>
      </c>
      <c r="V812">
        <f t="shared" si="86"/>
        <v>8</v>
      </c>
      <c r="W812" t="s">
        <v>1088</v>
      </c>
      <c r="X812" t="s">
        <v>1091</v>
      </c>
      <c r="Y812">
        <f t="shared" si="87"/>
        <v>0</v>
      </c>
      <c r="Z812" t="s">
        <v>1109</v>
      </c>
      <c r="AA812" t="str">
        <f t="shared" si="88"/>
        <v>High</v>
      </c>
      <c r="AB812" t="s">
        <v>1104</v>
      </c>
      <c r="AC812" t="str">
        <f t="shared" si="89"/>
        <v>No</v>
      </c>
      <c r="AD812">
        <v>2</v>
      </c>
      <c r="AE812">
        <v>416110</v>
      </c>
      <c r="AF812">
        <v>166444</v>
      </c>
      <c r="AG812">
        <f t="shared" si="90"/>
        <v>248996.8</v>
      </c>
    </row>
    <row r="813" spans="1:33" x14ac:dyDescent="0.25">
      <c r="A813">
        <v>1812</v>
      </c>
      <c r="B813" s="1">
        <v>44806</v>
      </c>
      <c r="C813" s="1">
        <v>44809</v>
      </c>
      <c r="D813" s="1">
        <v>44814</v>
      </c>
      <c r="E813" t="s">
        <v>1065</v>
      </c>
      <c r="F813" t="s">
        <v>841</v>
      </c>
      <c r="G813" t="s">
        <v>1067</v>
      </c>
      <c r="H813" t="str">
        <f t="shared" si="84"/>
        <v>Clothing</v>
      </c>
      <c r="I813">
        <v>1</v>
      </c>
      <c r="J813" t="str">
        <f>VLOOKUP(K813,$AJ$2:$AK$7,2,FALSE)</f>
        <v>S002</v>
      </c>
      <c r="K813" t="s">
        <v>1098</v>
      </c>
      <c r="L813">
        <v>3.2</v>
      </c>
      <c r="M813" t="str">
        <f>IFERROR(VLOOKUP(TRIM(N813),$AP$2:$AQ$12,2,FALSE),"W001")</f>
        <v>W004</v>
      </c>
      <c r="N813" t="s">
        <v>1053</v>
      </c>
      <c r="O813" t="s">
        <v>1047</v>
      </c>
      <c r="P813" t="str">
        <f>VLOOKUP(O813,$AL$2:$AM$12,2,FALSE)</f>
        <v>West</v>
      </c>
      <c r="Q813" t="s">
        <v>1080</v>
      </c>
      <c r="R813">
        <v>972</v>
      </c>
      <c r="S813" t="s">
        <v>1078</v>
      </c>
      <c r="T813">
        <f t="shared" si="85"/>
        <v>5</v>
      </c>
      <c r="U813">
        <v>145.80000000000001</v>
      </c>
      <c r="V813">
        <f t="shared" si="86"/>
        <v>4</v>
      </c>
      <c r="W813" t="s">
        <v>1087</v>
      </c>
      <c r="X813" t="s">
        <v>1091</v>
      </c>
      <c r="Y813">
        <f t="shared" si="87"/>
        <v>0</v>
      </c>
      <c r="Z813" t="s">
        <v>1108</v>
      </c>
      <c r="AA813" t="str">
        <f t="shared" si="88"/>
        <v>Low</v>
      </c>
      <c r="AB813" t="s">
        <v>1103</v>
      </c>
      <c r="AC813" t="str">
        <f t="shared" si="89"/>
        <v>Yes</v>
      </c>
      <c r="AD813">
        <v>4</v>
      </c>
      <c r="AE813">
        <v>523</v>
      </c>
      <c r="AF813">
        <v>209.20000000000002</v>
      </c>
      <c r="AG813">
        <f t="shared" si="90"/>
        <v>167.99999999999994</v>
      </c>
    </row>
    <row r="814" spans="1:33" x14ac:dyDescent="0.25">
      <c r="A814">
        <v>1813</v>
      </c>
      <c r="B814" s="1">
        <v>45022</v>
      </c>
      <c r="C814" s="1">
        <v>45025</v>
      </c>
      <c r="D814" s="1">
        <v>45031</v>
      </c>
      <c r="E814" t="s">
        <v>1065</v>
      </c>
      <c r="F814" t="s">
        <v>842</v>
      </c>
      <c r="G814" t="s">
        <v>1069</v>
      </c>
      <c r="H814" t="str">
        <f t="shared" si="84"/>
        <v>Furniture</v>
      </c>
      <c r="I814">
        <v>5</v>
      </c>
      <c r="J814" t="str">
        <f>VLOOKUP(K814,$AJ$2:$AK$7,2,FALSE)</f>
        <v>S001</v>
      </c>
      <c r="K814" t="s">
        <v>1097</v>
      </c>
      <c r="L814">
        <v>3.9</v>
      </c>
      <c r="M814" t="str">
        <f>IFERROR(VLOOKUP(TRIM(N814),$AP$2:$AQ$12,2,FALSE),"W001")</f>
        <v>W011</v>
      </c>
      <c r="N814" t="s">
        <v>1059</v>
      </c>
      <c r="O814" t="s">
        <v>1063</v>
      </c>
      <c r="P814" t="str">
        <f>VLOOKUP(O814,$AL$2:$AM$12,2,FALSE)</f>
        <v>South</v>
      </c>
      <c r="Q814" t="s">
        <v>1081</v>
      </c>
      <c r="R814">
        <v>1138</v>
      </c>
      <c r="S814" t="s">
        <v>1078</v>
      </c>
      <c r="T814">
        <f t="shared" si="85"/>
        <v>6</v>
      </c>
      <c r="U814">
        <v>227.6</v>
      </c>
      <c r="V814">
        <f t="shared" si="86"/>
        <v>5</v>
      </c>
      <c r="W814" t="s">
        <v>1088</v>
      </c>
      <c r="X814" t="s">
        <v>1089</v>
      </c>
      <c r="Y814">
        <f t="shared" si="87"/>
        <v>0</v>
      </c>
      <c r="Z814" t="s">
        <v>1108</v>
      </c>
      <c r="AA814" t="str">
        <f t="shared" si="88"/>
        <v>Low</v>
      </c>
      <c r="AB814" t="s">
        <v>1103</v>
      </c>
      <c r="AC814" t="str">
        <f t="shared" si="89"/>
        <v>Yes</v>
      </c>
      <c r="AD814">
        <v>4</v>
      </c>
      <c r="AE814">
        <v>63505</v>
      </c>
      <c r="AF814">
        <v>25402</v>
      </c>
      <c r="AG814">
        <f t="shared" si="90"/>
        <v>37875.4</v>
      </c>
    </row>
    <row r="815" spans="1:33" x14ac:dyDescent="0.25">
      <c r="A815">
        <v>1814</v>
      </c>
      <c r="B815" s="1">
        <v>45861</v>
      </c>
      <c r="C815" s="1">
        <v>45864</v>
      </c>
      <c r="D815" s="1">
        <v>45870</v>
      </c>
      <c r="E815" t="s">
        <v>1066</v>
      </c>
      <c r="F815" t="s">
        <v>843</v>
      </c>
      <c r="G815" t="s">
        <v>1072</v>
      </c>
      <c r="H815" t="str">
        <f t="shared" si="84"/>
        <v>Electronics</v>
      </c>
      <c r="I815">
        <v>10</v>
      </c>
      <c r="J815" t="str">
        <f>VLOOKUP(K815,$AJ$2:$AK$7,2,FALSE)</f>
        <v>S005</v>
      </c>
      <c r="K815" t="s">
        <v>1101</v>
      </c>
      <c r="L815">
        <v>3.3</v>
      </c>
      <c r="M815" t="str">
        <f>IFERROR(VLOOKUP(TRIM(N815),$AP$2:$AQ$12,2,FALSE),"W001")</f>
        <v>W004</v>
      </c>
      <c r="N815" t="s">
        <v>1053</v>
      </c>
      <c r="O815" t="s">
        <v>1060</v>
      </c>
      <c r="P815" t="str">
        <f>VLOOKUP(O815,$AL$2:$AM$12,2,FALSE)</f>
        <v>North</v>
      </c>
      <c r="Q815" t="s">
        <v>1085</v>
      </c>
      <c r="R815">
        <v>1235</v>
      </c>
      <c r="S815" t="s">
        <v>1078</v>
      </c>
      <c r="T815">
        <f t="shared" si="85"/>
        <v>9</v>
      </c>
      <c r="U815">
        <v>123.5</v>
      </c>
      <c r="V815">
        <f t="shared" si="86"/>
        <v>3</v>
      </c>
      <c r="W815" t="s">
        <v>1088</v>
      </c>
      <c r="X815" t="s">
        <v>1089</v>
      </c>
      <c r="Y815">
        <f t="shared" si="87"/>
        <v>0</v>
      </c>
      <c r="Z815" t="s">
        <v>1108</v>
      </c>
      <c r="AA815" t="str">
        <f t="shared" si="88"/>
        <v>Low</v>
      </c>
      <c r="AB815" t="s">
        <v>1103</v>
      </c>
      <c r="AC815" t="str">
        <f t="shared" si="89"/>
        <v>Yes</v>
      </c>
      <c r="AD815">
        <v>4</v>
      </c>
      <c r="AE815">
        <v>233670</v>
      </c>
      <c r="AF815">
        <v>93468</v>
      </c>
      <c r="AG815">
        <f t="shared" si="90"/>
        <v>140078.5</v>
      </c>
    </row>
    <row r="816" spans="1:33" x14ac:dyDescent="0.25">
      <c r="A816">
        <v>1815</v>
      </c>
      <c r="B816" s="1">
        <v>45571</v>
      </c>
      <c r="C816" s="1">
        <v>45573</v>
      </c>
      <c r="D816" s="1">
        <v>45579</v>
      </c>
      <c r="E816" t="s">
        <v>1066</v>
      </c>
      <c r="F816" t="s">
        <v>844</v>
      </c>
      <c r="G816" t="s">
        <v>1071</v>
      </c>
      <c r="H816" t="str">
        <f t="shared" si="84"/>
        <v>Clothing</v>
      </c>
      <c r="I816">
        <v>7</v>
      </c>
      <c r="J816" t="str">
        <f>VLOOKUP(K816,$AJ$2:$AK$7,2,FALSE)</f>
        <v>S004</v>
      </c>
      <c r="K816" t="s">
        <v>1100</v>
      </c>
      <c r="L816">
        <v>4.8</v>
      </c>
      <c r="M816" t="str">
        <f>IFERROR(VLOOKUP(TRIM(N816),$AP$2:$AQ$12,2,FALSE),"W001")</f>
        <v>W002</v>
      </c>
      <c r="N816" t="s">
        <v>1049</v>
      </c>
      <c r="O816" t="s">
        <v>1061</v>
      </c>
      <c r="P816" t="str">
        <f>VLOOKUP(O816,$AL$2:$AM$12,2,FALSE)</f>
        <v>West</v>
      </c>
      <c r="Q816" t="s">
        <v>1080</v>
      </c>
      <c r="R816">
        <v>879</v>
      </c>
      <c r="S816" t="s">
        <v>1078</v>
      </c>
      <c r="T816">
        <f t="shared" si="85"/>
        <v>5</v>
      </c>
      <c r="U816">
        <v>131.85</v>
      </c>
      <c r="V816">
        <f t="shared" si="86"/>
        <v>4</v>
      </c>
      <c r="W816" t="s">
        <v>1086</v>
      </c>
      <c r="X816" t="s">
        <v>1091</v>
      </c>
      <c r="Y816">
        <f t="shared" si="87"/>
        <v>131.85</v>
      </c>
      <c r="Z816" t="s">
        <v>1108</v>
      </c>
      <c r="AA816" t="str">
        <f t="shared" si="88"/>
        <v>Low</v>
      </c>
      <c r="AB816" t="s">
        <v>1103</v>
      </c>
      <c r="AC816" t="str">
        <f t="shared" si="89"/>
        <v>Yes</v>
      </c>
      <c r="AD816">
        <v>5</v>
      </c>
      <c r="AE816">
        <v>11431</v>
      </c>
      <c r="AF816">
        <v>4572.4000000000005</v>
      </c>
      <c r="AG816">
        <f t="shared" si="90"/>
        <v>6726.7499999999991</v>
      </c>
    </row>
    <row r="817" spans="1:33" x14ac:dyDescent="0.25">
      <c r="A817">
        <v>1816</v>
      </c>
      <c r="B817" s="1">
        <v>45266</v>
      </c>
      <c r="C817" s="1">
        <v>45269</v>
      </c>
      <c r="D817" s="1">
        <v>45272</v>
      </c>
      <c r="E817" t="s">
        <v>1065</v>
      </c>
      <c r="F817" t="s">
        <v>845</v>
      </c>
      <c r="G817" t="s">
        <v>1067</v>
      </c>
      <c r="H817" t="str">
        <f t="shared" si="84"/>
        <v>Clothing</v>
      </c>
      <c r="I817">
        <v>2</v>
      </c>
      <c r="J817" t="str">
        <f>VLOOKUP(K817,$AJ$2:$AK$7,2,FALSE)</f>
        <v>S006</v>
      </c>
      <c r="K817" t="s">
        <v>1102</v>
      </c>
      <c r="L817">
        <v>3.7</v>
      </c>
      <c r="M817" t="str">
        <f>IFERROR(VLOOKUP(TRIM(N817),$AP$2:$AQ$12,2,FALSE),"W001")</f>
        <v>W008</v>
      </c>
      <c r="N817" t="s">
        <v>1061</v>
      </c>
      <c r="O817" t="s">
        <v>1051</v>
      </c>
      <c r="P817" t="str">
        <f>VLOOKUP(O817,$AL$2:$AM$12,2,FALSE)</f>
        <v>West</v>
      </c>
      <c r="Q817" t="s">
        <v>1084</v>
      </c>
      <c r="R817">
        <v>935</v>
      </c>
      <c r="S817" t="s">
        <v>1078</v>
      </c>
      <c r="T817">
        <f t="shared" si="85"/>
        <v>4</v>
      </c>
      <c r="U817">
        <v>280.5</v>
      </c>
      <c r="V817">
        <f t="shared" si="86"/>
        <v>6</v>
      </c>
      <c r="W817" t="s">
        <v>1086</v>
      </c>
      <c r="X817" t="s">
        <v>1091</v>
      </c>
      <c r="Y817">
        <f t="shared" si="87"/>
        <v>280.5</v>
      </c>
      <c r="Z817" t="s">
        <v>1108</v>
      </c>
      <c r="AA817" t="str">
        <f t="shared" si="88"/>
        <v>Low</v>
      </c>
      <c r="AB817" t="s">
        <v>1103</v>
      </c>
      <c r="AC817" t="str">
        <f t="shared" si="89"/>
        <v>Yes</v>
      </c>
      <c r="AD817">
        <v>4</v>
      </c>
      <c r="AE817">
        <v>2482</v>
      </c>
      <c r="AF817">
        <v>992.80000000000007</v>
      </c>
      <c r="AG817">
        <f t="shared" si="90"/>
        <v>1208.6999999999998</v>
      </c>
    </row>
    <row r="818" spans="1:33" x14ac:dyDescent="0.25">
      <c r="A818">
        <v>1817</v>
      </c>
      <c r="B818" s="1">
        <v>44351</v>
      </c>
      <c r="C818" s="1">
        <v>44353</v>
      </c>
      <c r="D818" s="1">
        <v>44355</v>
      </c>
      <c r="E818" t="s">
        <v>1064</v>
      </c>
      <c r="F818" t="s">
        <v>846</v>
      </c>
      <c r="G818" t="s">
        <v>1068</v>
      </c>
      <c r="H818" t="str">
        <f t="shared" si="84"/>
        <v>Electronics</v>
      </c>
      <c r="I818">
        <v>5</v>
      </c>
      <c r="J818" t="str">
        <f>VLOOKUP(K818,$AJ$2:$AK$7,2,FALSE)</f>
        <v>S006</v>
      </c>
      <c r="K818" t="s">
        <v>1102</v>
      </c>
      <c r="L818">
        <v>3.7</v>
      </c>
      <c r="M818" t="str">
        <f>IFERROR(VLOOKUP(TRIM(N818),$AP$2:$AQ$12,2,FALSE),"W001")</f>
        <v>W002</v>
      </c>
      <c r="N818" t="s">
        <v>1049</v>
      </c>
      <c r="O818" t="s">
        <v>1060</v>
      </c>
      <c r="P818" t="str">
        <f>VLOOKUP(O818,$AL$2:$AM$12,2,FALSE)</f>
        <v>North</v>
      </c>
      <c r="Q818" t="s">
        <v>1083</v>
      </c>
      <c r="R818">
        <v>983</v>
      </c>
      <c r="S818" t="s">
        <v>1078</v>
      </c>
      <c r="T818">
        <f t="shared" si="85"/>
        <v>2</v>
      </c>
      <c r="U818">
        <v>491.5</v>
      </c>
      <c r="V818">
        <f t="shared" si="86"/>
        <v>10</v>
      </c>
      <c r="W818" t="s">
        <v>1087</v>
      </c>
      <c r="X818" t="s">
        <v>1089</v>
      </c>
      <c r="Y818">
        <f t="shared" si="87"/>
        <v>0</v>
      </c>
      <c r="Z818" t="s">
        <v>1108</v>
      </c>
      <c r="AA818" t="str">
        <f t="shared" si="88"/>
        <v>Medium</v>
      </c>
      <c r="AB818" t="s">
        <v>1104</v>
      </c>
      <c r="AC818" t="str">
        <f t="shared" si="89"/>
        <v>Yes</v>
      </c>
      <c r="AD818">
        <v>2</v>
      </c>
      <c r="AE818">
        <v>317065</v>
      </c>
      <c r="AF818">
        <v>126826</v>
      </c>
      <c r="AG818">
        <f t="shared" si="90"/>
        <v>189747.5</v>
      </c>
    </row>
    <row r="819" spans="1:33" x14ac:dyDescent="0.25">
      <c r="A819">
        <v>1818</v>
      </c>
      <c r="B819" s="1">
        <v>46241</v>
      </c>
      <c r="C819" s="1">
        <v>46244</v>
      </c>
      <c r="D819" s="1">
        <v>46249</v>
      </c>
      <c r="E819" t="s">
        <v>1066</v>
      </c>
      <c r="F819" t="s">
        <v>847</v>
      </c>
      <c r="G819" t="s">
        <v>1071</v>
      </c>
      <c r="H819" t="str">
        <f t="shared" si="84"/>
        <v>Clothing</v>
      </c>
      <c r="I819">
        <v>8</v>
      </c>
      <c r="J819" t="str">
        <f>VLOOKUP(K819,$AJ$2:$AK$7,2,FALSE)</f>
        <v>S004</v>
      </c>
      <c r="K819" t="s">
        <v>1100</v>
      </c>
      <c r="L819">
        <v>4.4000000000000004</v>
      </c>
      <c r="M819" t="str">
        <f>IFERROR(VLOOKUP(TRIM(N819),$AP$2:$AQ$12,2,FALSE),"W001")</f>
        <v>W005</v>
      </c>
      <c r="N819" t="s">
        <v>1055</v>
      </c>
      <c r="O819" t="s">
        <v>1049</v>
      </c>
      <c r="P819" t="str">
        <f>VLOOKUP(O819,$AL$2:$AM$12,2,FALSE)</f>
        <v>North</v>
      </c>
      <c r="Q819" t="s">
        <v>1084</v>
      </c>
      <c r="R819">
        <v>1959</v>
      </c>
      <c r="S819" t="s">
        <v>1078</v>
      </c>
      <c r="T819">
        <f t="shared" si="85"/>
        <v>7</v>
      </c>
      <c r="U819">
        <v>587.70000000000005</v>
      </c>
      <c r="V819">
        <f t="shared" si="86"/>
        <v>6</v>
      </c>
      <c r="W819" t="s">
        <v>1088</v>
      </c>
      <c r="X819" t="s">
        <v>1091</v>
      </c>
      <c r="Y819">
        <f t="shared" si="87"/>
        <v>0</v>
      </c>
      <c r="Z819" t="s">
        <v>1109</v>
      </c>
      <c r="AA819" t="str">
        <f t="shared" si="88"/>
        <v>High</v>
      </c>
      <c r="AB819" t="s">
        <v>1103</v>
      </c>
      <c r="AC819" t="str">
        <f t="shared" si="89"/>
        <v>No</v>
      </c>
      <c r="AD819">
        <v>2</v>
      </c>
      <c r="AE819">
        <v>12632</v>
      </c>
      <c r="AF819">
        <v>5052.8</v>
      </c>
      <c r="AG819">
        <f t="shared" si="90"/>
        <v>6991.5</v>
      </c>
    </row>
    <row r="820" spans="1:33" x14ac:dyDescent="0.25">
      <c r="A820">
        <v>1819</v>
      </c>
      <c r="B820" s="1">
        <v>44491</v>
      </c>
      <c r="C820" s="1">
        <v>44492</v>
      </c>
      <c r="D820" s="1">
        <v>44494</v>
      </c>
      <c r="E820" t="s">
        <v>1066</v>
      </c>
      <c r="F820" t="s">
        <v>848</v>
      </c>
      <c r="G820" t="s">
        <v>1068</v>
      </c>
      <c r="H820" t="str">
        <f t="shared" si="84"/>
        <v>Electronics</v>
      </c>
      <c r="I820">
        <v>10</v>
      </c>
      <c r="J820" t="str">
        <f>VLOOKUP(K820,$AJ$2:$AK$7,2,FALSE)</f>
        <v>S005</v>
      </c>
      <c r="K820" t="s">
        <v>1101</v>
      </c>
      <c r="L820">
        <v>4.0999999999999996</v>
      </c>
      <c r="M820" t="str">
        <f>IFERROR(VLOOKUP(TRIM(N820),$AP$2:$AQ$12,2,FALSE),"W001")</f>
        <v>W006</v>
      </c>
      <c r="N820" t="s">
        <v>1057</v>
      </c>
      <c r="O820" t="s">
        <v>1057</v>
      </c>
      <c r="P820" t="str">
        <f>VLOOKUP(O820,$AL$2:$AM$12,2,FALSE)</f>
        <v>South</v>
      </c>
      <c r="Q820" t="s">
        <v>1084</v>
      </c>
      <c r="R820">
        <v>38</v>
      </c>
      <c r="S820" t="s">
        <v>1079</v>
      </c>
      <c r="T820">
        <f t="shared" si="85"/>
        <v>1</v>
      </c>
      <c r="U820">
        <v>11.4</v>
      </c>
      <c r="V820">
        <f t="shared" si="86"/>
        <v>6</v>
      </c>
      <c r="W820" t="s">
        <v>1088</v>
      </c>
      <c r="X820" t="s">
        <v>1091</v>
      </c>
      <c r="Y820">
        <f t="shared" si="87"/>
        <v>0</v>
      </c>
      <c r="Z820" t="s">
        <v>1108</v>
      </c>
      <c r="AA820" t="str">
        <f t="shared" si="88"/>
        <v>Low</v>
      </c>
      <c r="AB820" t="s">
        <v>1103</v>
      </c>
      <c r="AC820" t="str">
        <f t="shared" si="89"/>
        <v>Yes</v>
      </c>
      <c r="AD820">
        <v>5</v>
      </c>
      <c r="AE820">
        <v>479530</v>
      </c>
      <c r="AF820">
        <v>191812</v>
      </c>
      <c r="AG820">
        <f t="shared" si="90"/>
        <v>287706.59999999998</v>
      </c>
    </row>
    <row r="821" spans="1:33" x14ac:dyDescent="0.25">
      <c r="A821">
        <v>1820</v>
      </c>
      <c r="B821" s="1">
        <v>44658</v>
      </c>
      <c r="C821" s="1">
        <v>44659</v>
      </c>
      <c r="D821" s="1">
        <v>44665</v>
      </c>
      <c r="E821" t="s">
        <v>1066</v>
      </c>
      <c r="F821" t="s">
        <v>849</v>
      </c>
      <c r="G821" t="s">
        <v>1070</v>
      </c>
      <c r="H821" t="str">
        <f t="shared" si="84"/>
        <v>Furniture</v>
      </c>
      <c r="I821">
        <v>3</v>
      </c>
      <c r="J821" t="str">
        <f>VLOOKUP(K821,$AJ$2:$AK$7,2,FALSE)</f>
        <v>S002</v>
      </c>
      <c r="K821" t="s">
        <v>1098</v>
      </c>
      <c r="L821">
        <v>4.2</v>
      </c>
      <c r="M821" t="str">
        <f>IFERROR(VLOOKUP(TRIM(N821),$AP$2:$AQ$12,2,FALSE),"W001")</f>
        <v>W002</v>
      </c>
      <c r="N821" t="s">
        <v>1049</v>
      </c>
      <c r="O821" t="s">
        <v>1053</v>
      </c>
      <c r="P821" t="str">
        <f>VLOOKUP(O821,$AL$2:$AM$12,2,FALSE)</f>
        <v>South</v>
      </c>
      <c r="Q821" t="s">
        <v>1081</v>
      </c>
      <c r="R821">
        <v>318</v>
      </c>
      <c r="S821" t="s">
        <v>1066</v>
      </c>
      <c r="T821">
        <f t="shared" si="85"/>
        <v>2</v>
      </c>
      <c r="U821">
        <v>63.6</v>
      </c>
      <c r="V821">
        <f t="shared" si="86"/>
        <v>5</v>
      </c>
      <c r="W821" t="s">
        <v>1086</v>
      </c>
      <c r="X821" t="s">
        <v>1089</v>
      </c>
      <c r="Y821">
        <f t="shared" si="87"/>
        <v>63.6</v>
      </c>
      <c r="Z821" t="s">
        <v>1108</v>
      </c>
      <c r="AA821" t="str">
        <f t="shared" si="88"/>
        <v>Low</v>
      </c>
      <c r="AB821" t="s">
        <v>1103</v>
      </c>
      <c r="AC821" t="str">
        <f t="shared" si="89"/>
        <v>Yes</v>
      </c>
      <c r="AD821">
        <v>5</v>
      </c>
      <c r="AE821">
        <v>9540</v>
      </c>
      <c r="AF821">
        <v>3816</v>
      </c>
      <c r="AG821">
        <f t="shared" si="90"/>
        <v>5660.4</v>
      </c>
    </row>
    <row r="822" spans="1:33" x14ac:dyDescent="0.25">
      <c r="A822">
        <v>1821</v>
      </c>
      <c r="B822" s="1">
        <v>45485</v>
      </c>
      <c r="C822" s="1">
        <v>45486</v>
      </c>
      <c r="D822" s="1">
        <v>45493</v>
      </c>
      <c r="E822" t="s">
        <v>1066</v>
      </c>
      <c r="F822" t="s">
        <v>850</v>
      </c>
      <c r="G822" t="s">
        <v>1070</v>
      </c>
      <c r="H822" t="str">
        <f t="shared" si="84"/>
        <v>Furniture</v>
      </c>
      <c r="I822">
        <v>4</v>
      </c>
      <c r="J822" t="str">
        <f>VLOOKUP(K822,$AJ$2:$AK$7,2,FALSE)</f>
        <v>S006</v>
      </c>
      <c r="K822" t="s">
        <v>1102</v>
      </c>
      <c r="L822">
        <v>3</v>
      </c>
      <c r="M822" t="str">
        <f>IFERROR(VLOOKUP(TRIM(N822),$AP$2:$AQ$12,2,FALSE),"W001")</f>
        <v>W006</v>
      </c>
      <c r="N822" t="s">
        <v>1057</v>
      </c>
      <c r="O822" t="s">
        <v>1051</v>
      </c>
      <c r="P822" t="str">
        <f>VLOOKUP(O822,$AL$2:$AM$12,2,FALSE)</f>
        <v>West</v>
      </c>
      <c r="Q822" t="s">
        <v>1085</v>
      </c>
      <c r="R822">
        <v>552</v>
      </c>
      <c r="S822" t="s">
        <v>1066</v>
      </c>
      <c r="T822">
        <f t="shared" si="85"/>
        <v>6</v>
      </c>
      <c r="U822">
        <v>55.2</v>
      </c>
      <c r="V822">
        <f t="shared" si="86"/>
        <v>3</v>
      </c>
      <c r="W822" t="s">
        <v>1087</v>
      </c>
      <c r="X822" t="s">
        <v>1091</v>
      </c>
      <c r="Y822">
        <f t="shared" si="87"/>
        <v>0</v>
      </c>
      <c r="Z822" t="s">
        <v>1108</v>
      </c>
      <c r="AA822" t="str">
        <f t="shared" si="88"/>
        <v>Low</v>
      </c>
      <c r="AB822" t="s">
        <v>1103</v>
      </c>
      <c r="AC822" t="str">
        <f t="shared" si="89"/>
        <v>Yes</v>
      </c>
      <c r="AD822">
        <v>4</v>
      </c>
      <c r="AE822">
        <v>19796</v>
      </c>
      <c r="AF822">
        <v>7918.4000000000005</v>
      </c>
      <c r="AG822">
        <f t="shared" si="90"/>
        <v>11822.399999999998</v>
      </c>
    </row>
    <row r="823" spans="1:33" x14ac:dyDescent="0.25">
      <c r="A823">
        <v>1822</v>
      </c>
      <c r="B823" s="1">
        <v>44388</v>
      </c>
      <c r="C823" s="1">
        <v>44390</v>
      </c>
      <c r="D823" s="1">
        <v>44392</v>
      </c>
      <c r="E823" t="s">
        <v>1065</v>
      </c>
      <c r="F823" t="s">
        <v>851</v>
      </c>
      <c r="G823" t="s">
        <v>1069</v>
      </c>
      <c r="H823" t="str">
        <f t="shared" si="84"/>
        <v>Furniture</v>
      </c>
      <c r="I823">
        <v>2</v>
      </c>
      <c r="J823" t="str">
        <f>VLOOKUP(K823,$AJ$2:$AK$7,2,FALSE)</f>
        <v>S004</v>
      </c>
      <c r="K823" t="s">
        <v>1100</v>
      </c>
      <c r="L823">
        <v>3.8</v>
      </c>
      <c r="M823" t="str">
        <f>IFERROR(VLOOKUP(TRIM(N823),$AP$2:$AQ$12,2,FALSE),"W001")</f>
        <v>W005</v>
      </c>
      <c r="N823" t="s">
        <v>1055</v>
      </c>
      <c r="O823" t="s">
        <v>1060</v>
      </c>
      <c r="P823" t="str">
        <f>VLOOKUP(O823,$AL$2:$AM$12,2,FALSE)</f>
        <v>North</v>
      </c>
      <c r="Q823" t="s">
        <v>1082</v>
      </c>
      <c r="R823">
        <v>1860</v>
      </c>
      <c r="S823" t="s">
        <v>1078</v>
      </c>
      <c r="T823">
        <f t="shared" si="85"/>
        <v>5</v>
      </c>
      <c r="U823">
        <v>744</v>
      </c>
      <c r="V823">
        <f t="shared" si="86"/>
        <v>8</v>
      </c>
      <c r="W823" t="s">
        <v>1087</v>
      </c>
      <c r="X823" t="s">
        <v>1090</v>
      </c>
      <c r="Y823">
        <f t="shared" si="87"/>
        <v>0</v>
      </c>
      <c r="Z823" t="s">
        <v>1109</v>
      </c>
      <c r="AA823" t="str">
        <f t="shared" si="88"/>
        <v>High</v>
      </c>
      <c r="AB823" t="s">
        <v>1104</v>
      </c>
      <c r="AC823" t="str">
        <f t="shared" si="89"/>
        <v>No</v>
      </c>
      <c r="AD823">
        <v>2</v>
      </c>
      <c r="AE823">
        <v>15214</v>
      </c>
      <c r="AF823">
        <v>6085.6</v>
      </c>
      <c r="AG823">
        <f t="shared" si="90"/>
        <v>8384.4</v>
      </c>
    </row>
    <row r="824" spans="1:33" x14ac:dyDescent="0.25">
      <c r="A824">
        <v>1823</v>
      </c>
      <c r="B824" s="1">
        <v>45509</v>
      </c>
      <c r="C824" s="1">
        <v>45511</v>
      </c>
      <c r="D824" s="1">
        <v>45513</v>
      </c>
      <c r="E824" t="s">
        <v>1064</v>
      </c>
      <c r="F824" t="s">
        <v>852</v>
      </c>
      <c r="G824" t="s">
        <v>1069</v>
      </c>
      <c r="H824" t="str">
        <f t="shared" si="84"/>
        <v>Furniture</v>
      </c>
      <c r="I824">
        <v>1</v>
      </c>
      <c r="J824" t="str">
        <f>VLOOKUP(K824,$AJ$2:$AK$7,2,FALSE)</f>
        <v>S001</v>
      </c>
      <c r="K824" t="s">
        <v>1097</v>
      </c>
      <c r="L824">
        <v>4</v>
      </c>
      <c r="M824" t="str">
        <f>IFERROR(VLOOKUP(TRIM(N824),$AP$2:$AQ$12,2,FALSE),"W001")</f>
        <v>W001</v>
      </c>
      <c r="N824" t="s">
        <v>1047</v>
      </c>
      <c r="O824" t="s">
        <v>1062</v>
      </c>
      <c r="P824" t="str">
        <f>VLOOKUP(O824,$AL$2:$AM$12,2,FALSE)</f>
        <v>North</v>
      </c>
      <c r="Q824" t="s">
        <v>1080</v>
      </c>
      <c r="R824">
        <v>1252</v>
      </c>
      <c r="S824" t="s">
        <v>1078</v>
      </c>
      <c r="T824">
        <f t="shared" si="85"/>
        <v>6</v>
      </c>
      <c r="U824">
        <v>187.8</v>
      </c>
      <c r="V824">
        <f t="shared" si="86"/>
        <v>4</v>
      </c>
      <c r="W824" t="s">
        <v>1088</v>
      </c>
      <c r="X824" t="s">
        <v>1091</v>
      </c>
      <c r="Y824">
        <f t="shared" si="87"/>
        <v>0</v>
      </c>
      <c r="Z824" t="s">
        <v>1108</v>
      </c>
      <c r="AA824" t="str">
        <f t="shared" si="88"/>
        <v>Low</v>
      </c>
      <c r="AB824" t="s">
        <v>1103</v>
      </c>
      <c r="AC824" t="str">
        <f t="shared" si="89"/>
        <v>Yes</v>
      </c>
      <c r="AD824">
        <v>5</v>
      </c>
      <c r="AE824">
        <v>5401</v>
      </c>
      <c r="AF824">
        <v>2160.4</v>
      </c>
      <c r="AG824">
        <f t="shared" si="90"/>
        <v>3052.7999999999997</v>
      </c>
    </row>
    <row r="825" spans="1:33" x14ac:dyDescent="0.25">
      <c r="A825">
        <v>1824</v>
      </c>
      <c r="B825" s="1">
        <v>44646</v>
      </c>
      <c r="C825" s="1">
        <v>44648</v>
      </c>
      <c r="D825" s="1">
        <v>44652</v>
      </c>
      <c r="E825" t="s">
        <v>1064</v>
      </c>
      <c r="F825" t="s">
        <v>853</v>
      </c>
      <c r="G825" t="s">
        <v>1069</v>
      </c>
      <c r="H825" t="str">
        <f t="shared" si="84"/>
        <v>Furniture</v>
      </c>
      <c r="I825">
        <v>6</v>
      </c>
      <c r="J825" t="str">
        <f>VLOOKUP(K825,$AJ$2:$AK$7,2,FALSE)</f>
        <v>S002</v>
      </c>
      <c r="K825" t="s">
        <v>1098</v>
      </c>
      <c r="L825">
        <v>3.9</v>
      </c>
      <c r="M825" t="str">
        <f>IFERROR(VLOOKUP(TRIM(N825),$AP$2:$AQ$12,2,FALSE),"W001")</f>
        <v>W002</v>
      </c>
      <c r="N825" t="s">
        <v>1049</v>
      </c>
      <c r="O825" t="s">
        <v>1055</v>
      </c>
      <c r="P825" t="str">
        <f>VLOOKUP(O825,$AL$2:$AM$12,2,FALSE)</f>
        <v>South</v>
      </c>
      <c r="Q825" t="s">
        <v>1080</v>
      </c>
      <c r="R825">
        <v>1290</v>
      </c>
      <c r="S825" t="s">
        <v>1078</v>
      </c>
      <c r="T825">
        <f t="shared" si="85"/>
        <v>6</v>
      </c>
      <c r="U825">
        <v>193.5</v>
      </c>
      <c r="V825">
        <f t="shared" si="86"/>
        <v>4</v>
      </c>
      <c r="W825" t="s">
        <v>1086</v>
      </c>
      <c r="X825" t="s">
        <v>1091</v>
      </c>
      <c r="Y825">
        <f t="shared" si="87"/>
        <v>193.5</v>
      </c>
      <c r="Z825" t="s">
        <v>1108</v>
      </c>
      <c r="AA825" t="str">
        <f t="shared" si="88"/>
        <v>Low</v>
      </c>
      <c r="AB825" t="s">
        <v>1103</v>
      </c>
      <c r="AC825" t="str">
        <f t="shared" si="89"/>
        <v>Yes</v>
      </c>
      <c r="AD825">
        <v>4</v>
      </c>
      <c r="AE825">
        <v>36528</v>
      </c>
      <c r="AF825">
        <v>14611.2</v>
      </c>
      <c r="AG825">
        <f t="shared" si="90"/>
        <v>21723.3</v>
      </c>
    </row>
    <row r="826" spans="1:33" x14ac:dyDescent="0.25">
      <c r="A826">
        <v>1825</v>
      </c>
      <c r="B826" s="1">
        <v>44685</v>
      </c>
      <c r="C826" s="1">
        <v>44688</v>
      </c>
      <c r="D826" s="1">
        <v>44692</v>
      </c>
      <c r="E826" t="s">
        <v>1065</v>
      </c>
      <c r="F826" t="s">
        <v>854</v>
      </c>
      <c r="G826" t="s">
        <v>1067</v>
      </c>
      <c r="H826" t="str">
        <f t="shared" si="84"/>
        <v>Clothing</v>
      </c>
      <c r="I826">
        <v>5</v>
      </c>
      <c r="J826" t="str">
        <f>VLOOKUP(K826,$AJ$2:$AK$7,2,FALSE)</f>
        <v>S003</v>
      </c>
      <c r="K826" t="s">
        <v>1099</v>
      </c>
      <c r="L826">
        <v>4.7</v>
      </c>
      <c r="M826" t="str">
        <f>IFERROR(VLOOKUP(TRIM(N826),$AP$2:$AQ$12,2,FALSE),"W001")</f>
        <v>W001</v>
      </c>
      <c r="N826" t="s">
        <v>1047</v>
      </c>
      <c r="O826" t="s">
        <v>1055</v>
      </c>
      <c r="P826" t="str">
        <f>VLOOKUP(O826,$AL$2:$AM$12,2,FALSE)</f>
        <v>South</v>
      </c>
      <c r="Q826" t="s">
        <v>1084</v>
      </c>
      <c r="R826">
        <v>1038</v>
      </c>
      <c r="S826" t="s">
        <v>1078</v>
      </c>
      <c r="T826">
        <f t="shared" si="85"/>
        <v>4</v>
      </c>
      <c r="U826">
        <v>311.39999999999998</v>
      </c>
      <c r="V826">
        <f t="shared" si="86"/>
        <v>6</v>
      </c>
      <c r="W826" t="s">
        <v>1088</v>
      </c>
      <c r="X826" t="s">
        <v>1091</v>
      </c>
      <c r="Y826">
        <f t="shared" si="87"/>
        <v>0</v>
      </c>
      <c r="Z826" t="s">
        <v>1108</v>
      </c>
      <c r="AA826" t="str">
        <f t="shared" si="88"/>
        <v>Low</v>
      </c>
      <c r="AB826" t="s">
        <v>1103</v>
      </c>
      <c r="AC826" t="str">
        <f t="shared" si="89"/>
        <v>Yes</v>
      </c>
      <c r="AD826">
        <v>4</v>
      </c>
      <c r="AE826">
        <v>6300</v>
      </c>
      <c r="AF826">
        <v>2520</v>
      </c>
      <c r="AG826">
        <f t="shared" si="90"/>
        <v>3468.6</v>
      </c>
    </row>
    <row r="827" spans="1:33" x14ac:dyDescent="0.25">
      <c r="A827">
        <v>1826</v>
      </c>
      <c r="B827" s="1">
        <v>44550</v>
      </c>
      <c r="C827" s="1">
        <v>44551</v>
      </c>
      <c r="D827" s="1">
        <v>44553</v>
      </c>
      <c r="E827" t="s">
        <v>1064</v>
      </c>
      <c r="F827" t="s">
        <v>855</v>
      </c>
      <c r="G827" t="s">
        <v>1072</v>
      </c>
      <c r="H827" t="str">
        <f t="shared" si="84"/>
        <v>Electronics</v>
      </c>
      <c r="I827">
        <v>8</v>
      </c>
      <c r="J827" t="str">
        <f>VLOOKUP(K827,$AJ$2:$AK$7,2,FALSE)</f>
        <v>S005</v>
      </c>
      <c r="K827" t="s">
        <v>1101</v>
      </c>
      <c r="L827">
        <v>4.3</v>
      </c>
      <c r="M827" t="str">
        <f>IFERROR(VLOOKUP(TRIM(N827),$AP$2:$AQ$12,2,FALSE),"W001")</f>
        <v>W001</v>
      </c>
      <c r="N827" t="s">
        <v>1047</v>
      </c>
      <c r="O827" t="s">
        <v>1055</v>
      </c>
      <c r="P827" t="str">
        <f>VLOOKUP(O827,$AL$2:$AM$12,2,FALSE)</f>
        <v>South</v>
      </c>
      <c r="Q827" t="s">
        <v>1085</v>
      </c>
      <c r="R827">
        <v>1499</v>
      </c>
      <c r="S827" t="s">
        <v>1078</v>
      </c>
      <c r="T827">
        <f t="shared" si="85"/>
        <v>10</v>
      </c>
      <c r="U827">
        <v>149.9</v>
      </c>
      <c r="V827">
        <f t="shared" si="86"/>
        <v>3</v>
      </c>
      <c r="W827" t="s">
        <v>1087</v>
      </c>
      <c r="X827" t="s">
        <v>1089</v>
      </c>
      <c r="Y827">
        <f t="shared" si="87"/>
        <v>0</v>
      </c>
      <c r="Z827" t="s">
        <v>1108</v>
      </c>
      <c r="AA827" t="str">
        <f t="shared" si="88"/>
        <v>Low</v>
      </c>
      <c r="AB827" t="s">
        <v>1103</v>
      </c>
      <c r="AC827" t="str">
        <f t="shared" si="89"/>
        <v>Yes</v>
      </c>
      <c r="AD827">
        <v>5</v>
      </c>
      <c r="AE827">
        <v>119320</v>
      </c>
      <c r="AF827">
        <v>47728</v>
      </c>
      <c r="AG827">
        <f t="shared" si="90"/>
        <v>71442.100000000006</v>
      </c>
    </row>
    <row r="828" spans="1:33" x14ac:dyDescent="0.25">
      <c r="A828">
        <v>1827</v>
      </c>
      <c r="B828" s="1">
        <v>45051</v>
      </c>
      <c r="C828" s="1">
        <v>45052</v>
      </c>
      <c r="D828" s="1">
        <v>45059</v>
      </c>
      <c r="E828" t="s">
        <v>1064</v>
      </c>
      <c r="F828" t="s">
        <v>856</v>
      </c>
      <c r="G828" t="s">
        <v>1067</v>
      </c>
      <c r="H828" t="str">
        <f t="shared" si="84"/>
        <v>Clothing</v>
      </c>
      <c r="I828">
        <v>4</v>
      </c>
      <c r="J828" t="str">
        <f>VLOOKUP(K828,$AJ$2:$AK$7,2,FALSE)</f>
        <v>S006</v>
      </c>
      <c r="K828" t="s">
        <v>1102</v>
      </c>
      <c r="L828">
        <v>4.4000000000000004</v>
      </c>
      <c r="M828" t="str">
        <f>IFERROR(VLOOKUP(TRIM(N828),$AP$2:$AQ$12,2,FALSE),"W001")</f>
        <v>W002</v>
      </c>
      <c r="N828" t="s">
        <v>1049</v>
      </c>
      <c r="O828" t="s">
        <v>1049</v>
      </c>
      <c r="P828" t="str">
        <f>VLOOKUP(O828,$AL$2:$AM$12,2,FALSE)</f>
        <v>North</v>
      </c>
      <c r="Q828" t="s">
        <v>1083</v>
      </c>
      <c r="R828">
        <v>36</v>
      </c>
      <c r="S828" t="s">
        <v>1079</v>
      </c>
      <c r="T828">
        <f t="shared" si="85"/>
        <v>1</v>
      </c>
      <c r="U828">
        <v>18</v>
      </c>
      <c r="V828">
        <f t="shared" si="86"/>
        <v>10</v>
      </c>
      <c r="W828" t="s">
        <v>1087</v>
      </c>
      <c r="X828" t="s">
        <v>1091</v>
      </c>
      <c r="Y828">
        <f t="shared" si="87"/>
        <v>0</v>
      </c>
      <c r="Z828" t="s">
        <v>1108</v>
      </c>
      <c r="AA828" t="str">
        <f t="shared" si="88"/>
        <v>Medium</v>
      </c>
      <c r="AB828" t="s">
        <v>1103</v>
      </c>
      <c r="AC828" t="str">
        <f t="shared" si="89"/>
        <v>Yes</v>
      </c>
      <c r="AD828">
        <v>5</v>
      </c>
      <c r="AE828">
        <v>2236</v>
      </c>
      <c r="AF828">
        <v>894.40000000000009</v>
      </c>
      <c r="AG828">
        <f t="shared" si="90"/>
        <v>1323.6</v>
      </c>
    </row>
    <row r="829" spans="1:33" x14ac:dyDescent="0.25">
      <c r="A829">
        <v>1828</v>
      </c>
      <c r="B829" s="1">
        <v>46147</v>
      </c>
      <c r="C829" s="1">
        <v>46150</v>
      </c>
      <c r="D829" s="1">
        <v>46156</v>
      </c>
      <c r="E829" t="s">
        <v>1064</v>
      </c>
      <c r="F829" t="s">
        <v>857</v>
      </c>
      <c r="G829" t="s">
        <v>1067</v>
      </c>
      <c r="H829" t="str">
        <f t="shared" si="84"/>
        <v>Clothing</v>
      </c>
      <c r="I829">
        <v>8</v>
      </c>
      <c r="J829" t="str">
        <f>VLOOKUP(K829,$AJ$2:$AK$7,2,FALSE)</f>
        <v>S006</v>
      </c>
      <c r="K829" t="s">
        <v>1102</v>
      </c>
      <c r="L829">
        <v>4.7</v>
      </c>
      <c r="M829" t="str">
        <f>IFERROR(VLOOKUP(TRIM(N829),$AP$2:$AQ$12,2,FALSE),"W001")</f>
        <v>W011</v>
      </c>
      <c r="N829" t="s">
        <v>1059</v>
      </c>
      <c r="O829" t="s">
        <v>1055</v>
      </c>
      <c r="P829" t="str">
        <f>VLOOKUP(O829,$AL$2:$AM$12,2,FALSE)</f>
        <v>South</v>
      </c>
      <c r="Q829" t="s">
        <v>1083</v>
      </c>
      <c r="R829">
        <v>1153</v>
      </c>
      <c r="S829" t="s">
        <v>1078</v>
      </c>
      <c r="T829">
        <f t="shared" si="85"/>
        <v>3</v>
      </c>
      <c r="U829">
        <v>576.5</v>
      </c>
      <c r="V829">
        <f t="shared" si="86"/>
        <v>10</v>
      </c>
      <c r="W829" t="s">
        <v>1087</v>
      </c>
      <c r="X829" t="s">
        <v>1091</v>
      </c>
      <c r="Y829">
        <f t="shared" si="87"/>
        <v>0</v>
      </c>
      <c r="Z829" t="s">
        <v>1108</v>
      </c>
      <c r="AA829" t="str">
        <f t="shared" si="88"/>
        <v>Medium</v>
      </c>
      <c r="AB829" t="s">
        <v>1103</v>
      </c>
      <c r="AC829" t="str">
        <f t="shared" si="89"/>
        <v>Yes</v>
      </c>
      <c r="AD829">
        <v>5</v>
      </c>
      <c r="AE829">
        <v>5088</v>
      </c>
      <c r="AF829">
        <v>2035.2</v>
      </c>
      <c r="AG829">
        <f t="shared" si="90"/>
        <v>2476.3000000000002</v>
      </c>
    </row>
    <row r="830" spans="1:33" x14ac:dyDescent="0.25">
      <c r="A830">
        <v>1829</v>
      </c>
      <c r="B830" s="1">
        <v>45173</v>
      </c>
      <c r="C830" s="1">
        <v>45176</v>
      </c>
      <c r="D830" s="1">
        <v>45181</v>
      </c>
      <c r="E830" t="s">
        <v>1066</v>
      </c>
      <c r="F830" t="s">
        <v>858</v>
      </c>
      <c r="G830" t="s">
        <v>1069</v>
      </c>
      <c r="H830" t="str">
        <f t="shared" si="84"/>
        <v>Furniture</v>
      </c>
      <c r="I830">
        <v>8</v>
      </c>
      <c r="J830" t="str">
        <f>VLOOKUP(K830,$AJ$2:$AK$7,2,FALSE)</f>
        <v>S005</v>
      </c>
      <c r="K830" t="s">
        <v>1101</v>
      </c>
      <c r="L830">
        <v>4.9000000000000004</v>
      </c>
      <c r="M830" t="str">
        <f>IFERROR(VLOOKUP(TRIM(N830),$AP$2:$AQ$12,2,FALSE),"W001")</f>
        <v>W007</v>
      </c>
      <c r="N830" t="s">
        <v>1062</v>
      </c>
      <c r="O830" t="s">
        <v>1047</v>
      </c>
      <c r="P830" t="str">
        <f>VLOOKUP(O830,$AL$2:$AM$12,2,FALSE)</f>
        <v>West</v>
      </c>
      <c r="Q830" t="s">
        <v>1085</v>
      </c>
      <c r="R830">
        <v>1707</v>
      </c>
      <c r="S830" t="s">
        <v>1078</v>
      </c>
      <c r="T830">
        <f t="shared" si="85"/>
        <v>12</v>
      </c>
      <c r="U830">
        <v>170.7</v>
      </c>
      <c r="V830">
        <f t="shared" si="86"/>
        <v>3</v>
      </c>
      <c r="W830" t="s">
        <v>1087</v>
      </c>
      <c r="X830" t="s">
        <v>1090</v>
      </c>
      <c r="Y830">
        <f t="shared" si="87"/>
        <v>0</v>
      </c>
      <c r="Z830" t="s">
        <v>1108</v>
      </c>
      <c r="AA830" t="str">
        <f t="shared" si="88"/>
        <v>Low</v>
      </c>
      <c r="AB830" t="s">
        <v>1103</v>
      </c>
      <c r="AC830" t="str">
        <f t="shared" si="89"/>
        <v>Yes</v>
      </c>
      <c r="AD830">
        <v>4</v>
      </c>
      <c r="AE830">
        <v>105160</v>
      </c>
      <c r="AF830">
        <v>42064</v>
      </c>
      <c r="AG830">
        <f t="shared" si="90"/>
        <v>62925.3</v>
      </c>
    </row>
    <row r="831" spans="1:33" x14ac:dyDescent="0.25">
      <c r="A831">
        <v>1830</v>
      </c>
      <c r="B831" s="1">
        <v>45299</v>
      </c>
      <c r="C831" s="1">
        <v>45302</v>
      </c>
      <c r="D831" s="1">
        <v>45307</v>
      </c>
      <c r="E831" t="s">
        <v>1064</v>
      </c>
      <c r="F831" t="s">
        <v>859</v>
      </c>
      <c r="G831" t="s">
        <v>1067</v>
      </c>
      <c r="H831" t="str">
        <f t="shared" si="84"/>
        <v>Clothing</v>
      </c>
      <c r="I831">
        <v>10</v>
      </c>
      <c r="J831" t="str">
        <f>VLOOKUP(K831,$AJ$2:$AK$7,2,FALSE)</f>
        <v>S006</v>
      </c>
      <c r="K831" t="s">
        <v>1102</v>
      </c>
      <c r="L831">
        <v>3.8</v>
      </c>
      <c r="M831" t="str">
        <f>IFERROR(VLOOKUP(TRIM(N831),$AP$2:$AQ$12,2,FALSE),"W001")</f>
        <v>W010</v>
      </c>
      <c r="N831" t="s">
        <v>1063</v>
      </c>
      <c r="O831" t="s">
        <v>1061</v>
      </c>
      <c r="P831" t="str">
        <f>VLOOKUP(O831,$AL$2:$AM$12,2,FALSE)</f>
        <v>West</v>
      </c>
      <c r="Q831" t="s">
        <v>1083</v>
      </c>
      <c r="R831">
        <v>927</v>
      </c>
      <c r="S831" t="s">
        <v>1078</v>
      </c>
      <c r="T831">
        <f t="shared" si="85"/>
        <v>2</v>
      </c>
      <c r="U831">
        <v>463.5</v>
      </c>
      <c r="V831">
        <f t="shared" si="86"/>
        <v>10</v>
      </c>
      <c r="W831" t="s">
        <v>1088</v>
      </c>
      <c r="X831" t="s">
        <v>1089</v>
      </c>
      <c r="Y831">
        <f t="shared" si="87"/>
        <v>0</v>
      </c>
      <c r="Z831" t="s">
        <v>1108</v>
      </c>
      <c r="AA831" t="str">
        <f t="shared" si="88"/>
        <v>Medium</v>
      </c>
      <c r="AB831" t="s">
        <v>1103</v>
      </c>
      <c r="AC831" t="str">
        <f t="shared" si="89"/>
        <v>Yes</v>
      </c>
      <c r="AD831">
        <v>4</v>
      </c>
      <c r="AE831">
        <v>5900</v>
      </c>
      <c r="AF831">
        <v>2360</v>
      </c>
      <c r="AG831">
        <f t="shared" si="90"/>
        <v>3076.5</v>
      </c>
    </row>
    <row r="832" spans="1:33" x14ac:dyDescent="0.25">
      <c r="A832">
        <v>1831</v>
      </c>
      <c r="B832" s="1">
        <v>46010</v>
      </c>
      <c r="C832" s="1">
        <v>46012</v>
      </c>
      <c r="D832" s="1">
        <v>46018</v>
      </c>
      <c r="E832" t="s">
        <v>1066</v>
      </c>
      <c r="F832" t="s">
        <v>860</v>
      </c>
      <c r="G832" t="s">
        <v>1071</v>
      </c>
      <c r="H832" t="str">
        <f t="shared" si="84"/>
        <v>Clothing</v>
      </c>
      <c r="I832">
        <v>2</v>
      </c>
      <c r="J832" t="str">
        <f>VLOOKUP(K832,$AJ$2:$AK$7,2,FALSE)</f>
        <v>S004</v>
      </c>
      <c r="K832" t="s">
        <v>1100</v>
      </c>
      <c r="L832">
        <v>4.4000000000000004</v>
      </c>
      <c r="M832" t="str">
        <f>IFERROR(VLOOKUP(TRIM(N832),$AP$2:$AQ$12,2,FALSE),"W001")</f>
        <v>W002</v>
      </c>
      <c r="N832" t="s">
        <v>1049</v>
      </c>
      <c r="O832" t="s">
        <v>1051</v>
      </c>
      <c r="P832" t="str">
        <f>VLOOKUP(O832,$AL$2:$AM$12,2,FALSE)</f>
        <v>West</v>
      </c>
      <c r="Q832" t="s">
        <v>1084</v>
      </c>
      <c r="R832">
        <v>1162</v>
      </c>
      <c r="S832" t="s">
        <v>1078</v>
      </c>
      <c r="T832">
        <f t="shared" si="85"/>
        <v>4</v>
      </c>
      <c r="U832">
        <v>348.6</v>
      </c>
      <c r="V832">
        <f t="shared" si="86"/>
        <v>6</v>
      </c>
      <c r="W832" t="s">
        <v>1088</v>
      </c>
      <c r="X832" t="s">
        <v>1090</v>
      </c>
      <c r="Y832">
        <f t="shared" si="87"/>
        <v>0</v>
      </c>
      <c r="Z832" t="s">
        <v>1108</v>
      </c>
      <c r="AA832" t="str">
        <f t="shared" si="88"/>
        <v>Low</v>
      </c>
      <c r="AB832" t="s">
        <v>1103</v>
      </c>
      <c r="AC832" t="str">
        <f t="shared" si="89"/>
        <v>Yes</v>
      </c>
      <c r="AD832">
        <v>5</v>
      </c>
      <c r="AE832">
        <v>2664</v>
      </c>
      <c r="AF832">
        <v>1065.6000000000001</v>
      </c>
      <c r="AG832">
        <f t="shared" si="90"/>
        <v>1249.7999999999997</v>
      </c>
    </row>
    <row r="833" spans="1:33" x14ac:dyDescent="0.25">
      <c r="A833">
        <v>1832</v>
      </c>
      <c r="B833" s="1">
        <v>46234</v>
      </c>
      <c r="C833" s="1">
        <v>46235</v>
      </c>
      <c r="D833" s="1">
        <v>46242</v>
      </c>
      <c r="E833" t="s">
        <v>1064</v>
      </c>
      <c r="F833" t="s">
        <v>861</v>
      </c>
      <c r="G833" t="s">
        <v>1067</v>
      </c>
      <c r="H833" t="str">
        <f t="shared" si="84"/>
        <v>Clothing</v>
      </c>
      <c r="I833">
        <v>1</v>
      </c>
      <c r="J833" t="str">
        <f>VLOOKUP(K833,$AJ$2:$AK$7,2,FALSE)</f>
        <v>S002</v>
      </c>
      <c r="K833" t="s">
        <v>1098</v>
      </c>
      <c r="L833">
        <v>4.8</v>
      </c>
      <c r="M833" t="str">
        <f>IFERROR(VLOOKUP(TRIM(N833),$AP$2:$AQ$12,2,FALSE),"W001")</f>
        <v>W004</v>
      </c>
      <c r="N833" t="s">
        <v>1053</v>
      </c>
      <c r="O833" t="s">
        <v>1055</v>
      </c>
      <c r="P833" t="str">
        <f>VLOOKUP(O833,$AL$2:$AM$12,2,FALSE)</f>
        <v>South</v>
      </c>
      <c r="Q833" t="s">
        <v>1083</v>
      </c>
      <c r="R833">
        <v>1596</v>
      </c>
      <c r="S833" t="s">
        <v>1078</v>
      </c>
      <c r="T833">
        <f t="shared" si="85"/>
        <v>3</v>
      </c>
      <c r="U833">
        <v>798</v>
      </c>
      <c r="V833">
        <f t="shared" si="86"/>
        <v>10</v>
      </c>
      <c r="W833" t="s">
        <v>1086</v>
      </c>
      <c r="X833" t="s">
        <v>1091</v>
      </c>
      <c r="Y833">
        <f t="shared" si="87"/>
        <v>798</v>
      </c>
      <c r="Z833" t="s">
        <v>1108</v>
      </c>
      <c r="AA833" t="str">
        <f t="shared" si="88"/>
        <v>Medium</v>
      </c>
      <c r="AB833" t="s">
        <v>1104</v>
      </c>
      <c r="AC833" t="str">
        <f t="shared" si="89"/>
        <v>Yes</v>
      </c>
      <c r="AD833">
        <v>2</v>
      </c>
      <c r="AE833">
        <v>1047</v>
      </c>
      <c r="AF833">
        <v>418.8</v>
      </c>
      <c r="AG833">
        <f t="shared" si="90"/>
        <v>-169.79999999999995</v>
      </c>
    </row>
    <row r="834" spans="1:33" x14ac:dyDescent="0.25">
      <c r="A834">
        <v>1833</v>
      </c>
      <c r="B834" s="1">
        <v>44609</v>
      </c>
      <c r="C834" s="1">
        <v>44611</v>
      </c>
      <c r="D834" s="1">
        <v>44618</v>
      </c>
      <c r="E834" t="s">
        <v>1065</v>
      </c>
      <c r="F834" t="s">
        <v>862</v>
      </c>
      <c r="G834" t="s">
        <v>1072</v>
      </c>
      <c r="H834" t="str">
        <f t="shared" si="84"/>
        <v>Electronics</v>
      </c>
      <c r="I834">
        <v>6</v>
      </c>
      <c r="J834" t="str">
        <f>VLOOKUP(K834,$AJ$2:$AK$7,2,FALSE)</f>
        <v>S004</v>
      </c>
      <c r="K834" t="s">
        <v>1100</v>
      </c>
      <c r="L834">
        <v>3</v>
      </c>
      <c r="M834" t="str">
        <f>IFERROR(VLOOKUP(TRIM(N834),$AP$2:$AQ$12,2,FALSE),"W001")</f>
        <v>W002</v>
      </c>
      <c r="N834" t="s">
        <v>1049</v>
      </c>
      <c r="O834" t="s">
        <v>1055</v>
      </c>
      <c r="P834" t="str">
        <f>VLOOKUP(O834,$AL$2:$AM$12,2,FALSE)</f>
        <v>South</v>
      </c>
      <c r="Q834" t="s">
        <v>1081</v>
      </c>
      <c r="R834">
        <v>1529</v>
      </c>
      <c r="S834" t="s">
        <v>1078</v>
      </c>
      <c r="T834">
        <f t="shared" si="85"/>
        <v>7</v>
      </c>
      <c r="U834">
        <v>305.8</v>
      </c>
      <c r="V834">
        <f t="shared" si="86"/>
        <v>5</v>
      </c>
      <c r="W834" t="s">
        <v>1086</v>
      </c>
      <c r="X834" t="s">
        <v>1090</v>
      </c>
      <c r="Y834">
        <f t="shared" si="87"/>
        <v>305.8</v>
      </c>
      <c r="Z834" t="s">
        <v>1108</v>
      </c>
      <c r="AA834" t="str">
        <f t="shared" si="88"/>
        <v>Low</v>
      </c>
      <c r="AB834" t="s">
        <v>1103</v>
      </c>
      <c r="AC834" t="str">
        <f t="shared" si="89"/>
        <v>Yes</v>
      </c>
      <c r="AD834">
        <v>5</v>
      </c>
      <c r="AE834">
        <v>73086</v>
      </c>
      <c r="AF834">
        <v>29234.400000000001</v>
      </c>
      <c r="AG834">
        <f t="shared" si="90"/>
        <v>43545.799999999996</v>
      </c>
    </row>
    <row r="835" spans="1:33" x14ac:dyDescent="0.25">
      <c r="A835">
        <v>1834</v>
      </c>
      <c r="B835" s="1">
        <v>45804</v>
      </c>
      <c r="C835" s="1">
        <v>45805</v>
      </c>
      <c r="D835" s="1">
        <v>45809</v>
      </c>
      <c r="E835" t="s">
        <v>1065</v>
      </c>
      <c r="F835" t="s">
        <v>863</v>
      </c>
      <c r="G835" t="s">
        <v>1067</v>
      </c>
      <c r="H835" t="str">
        <f t="shared" ref="H835:H898" si="91">IF(OR(G835="Laptop",G835="Mobile"),"Electronics",
IF(OR(G835="T-Shirt",G835="Jeans"),"Clothing",
IF(OR(G835="Table",G835="Chair"),"Furniture","")))</f>
        <v>Clothing</v>
      </c>
      <c r="I835">
        <v>6</v>
      </c>
      <c r="J835" t="str">
        <f>VLOOKUP(K835,$AJ$2:$AK$7,2,FALSE)</f>
        <v>S006</v>
      </c>
      <c r="K835" t="s">
        <v>1102</v>
      </c>
      <c r="L835">
        <v>4.5</v>
      </c>
      <c r="M835" t="str">
        <f>IFERROR(VLOOKUP(TRIM(N835),$AP$2:$AQ$12,2,FALSE),"W001")</f>
        <v>W009</v>
      </c>
      <c r="N835" t="s">
        <v>1060</v>
      </c>
      <c r="O835" t="s">
        <v>1060</v>
      </c>
      <c r="P835" t="str">
        <f>VLOOKUP(O835,$AL$2:$AM$12,2,FALSE)</f>
        <v>North</v>
      </c>
      <c r="Q835" t="s">
        <v>1080</v>
      </c>
      <c r="R835">
        <v>24</v>
      </c>
      <c r="S835" t="s">
        <v>1079</v>
      </c>
      <c r="T835">
        <f t="shared" ref="T835:T898" si="92">IF(Q835="Air",ROUND(R835/700,0)+1,
IF(Q835="Express",ROUND(R835/500,0)+1,
IF(Q835="Courier",ROUND(R835/350,0)+1,
IF(Q835="Road",ROUND(R835/250,0)+1,
IF(Q835="Rail",ROUND(R835/300,0)+2,
IF(Q835="Ship",ROUND(R835/200,0)+3,""))))))</f>
        <v>2</v>
      </c>
      <c r="U835">
        <v>3.6</v>
      </c>
      <c r="V835">
        <f t="shared" ref="V835:V898" si="93">IF(Q835="Road",5,
IF(Q835="Rail",4,
IF(Q835="Air",10,
IF(Q835="Ship",3,
IF(Q835="Courier",6,
IF(Q835="Express",8))))))</f>
        <v>4</v>
      </c>
      <c r="W835" t="s">
        <v>1088</v>
      </c>
      <c r="X835" t="s">
        <v>1089</v>
      </c>
      <c r="Y835">
        <f t="shared" ref="Y835:Y898" si="94">IF(W835="COD",U835,0)</f>
        <v>0</v>
      </c>
      <c r="Z835" t="s">
        <v>1108</v>
      </c>
      <c r="AA835" t="str">
        <f t="shared" ref="AA835:AA898" si="95">IF(Z835="Delayed","High",
IF(OR(Q835="Air",Q835="Express"),"Medium","Low"))</f>
        <v>Low</v>
      </c>
      <c r="AB835" t="s">
        <v>1103</v>
      </c>
      <c r="AC835" t="str">
        <f t="shared" ref="AC835:AC898" si="96">IF(Z835="Delayed","No","Yes")</f>
        <v>Yes</v>
      </c>
      <c r="AD835">
        <v>5</v>
      </c>
      <c r="AE835">
        <v>7710</v>
      </c>
      <c r="AF835">
        <v>3084</v>
      </c>
      <c r="AG835">
        <f t="shared" ref="AG835:AG898" si="97">AE835 - AF835-U835</f>
        <v>4622.3999999999996</v>
      </c>
    </row>
    <row r="836" spans="1:33" x14ac:dyDescent="0.25">
      <c r="A836">
        <v>1835</v>
      </c>
      <c r="B836" s="1">
        <v>45270</v>
      </c>
      <c r="C836" s="1">
        <v>45271</v>
      </c>
      <c r="D836" s="1">
        <v>45276</v>
      </c>
      <c r="E836" t="s">
        <v>1064</v>
      </c>
      <c r="F836" t="s">
        <v>864</v>
      </c>
      <c r="G836" t="s">
        <v>1067</v>
      </c>
      <c r="H836" t="str">
        <f t="shared" si="91"/>
        <v>Clothing</v>
      </c>
      <c r="I836">
        <v>5</v>
      </c>
      <c r="J836" t="str">
        <f>VLOOKUP(K836,$AJ$2:$AK$7,2,FALSE)</f>
        <v>S005</v>
      </c>
      <c r="K836" t="s">
        <v>1101</v>
      </c>
      <c r="L836">
        <v>4.9000000000000004</v>
      </c>
      <c r="M836" t="str">
        <f>IFERROR(VLOOKUP(TRIM(N836),$AP$2:$AQ$12,2,FALSE),"W001")</f>
        <v>W009</v>
      </c>
      <c r="N836" t="s">
        <v>1060</v>
      </c>
      <c r="O836" t="s">
        <v>1062</v>
      </c>
      <c r="P836" t="str">
        <f>VLOOKUP(O836,$AL$2:$AM$12,2,FALSE)</f>
        <v>North</v>
      </c>
      <c r="Q836" t="s">
        <v>1083</v>
      </c>
      <c r="R836">
        <v>1174</v>
      </c>
      <c r="S836" t="s">
        <v>1078</v>
      </c>
      <c r="T836">
        <f t="shared" si="92"/>
        <v>3</v>
      </c>
      <c r="U836">
        <v>587</v>
      </c>
      <c r="V836">
        <f t="shared" si="93"/>
        <v>10</v>
      </c>
      <c r="W836" t="s">
        <v>1088</v>
      </c>
      <c r="X836" t="s">
        <v>1090</v>
      </c>
      <c r="Y836">
        <f t="shared" si="94"/>
        <v>0</v>
      </c>
      <c r="Z836" t="s">
        <v>1108</v>
      </c>
      <c r="AA836" t="str">
        <f t="shared" si="95"/>
        <v>Medium</v>
      </c>
      <c r="AB836" t="s">
        <v>1103</v>
      </c>
      <c r="AC836" t="str">
        <f t="shared" si="96"/>
        <v>Yes</v>
      </c>
      <c r="AD836">
        <v>5</v>
      </c>
      <c r="AE836">
        <v>7295</v>
      </c>
      <c r="AF836">
        <v>2918</v>
      </c>
      <c r="AG836">
        <f t="shared" si="97"/>
        <v>3790</v>
      </c>
    </row>
    <row r="837" spans="1:33" x14ac:dyDescent="0.25">
      <c r="A837">
        <v>1836</v>
      </c>
      <c r="B837" s="1">
        <v>44614</v>
      </c>
      <c r="C837" s="1">
        <v>44615</v>
      </c>
      <c r="D837" s="1">
        <v>44620</v>
      </c>
      <c r="E837" t="s">
        <v>1065</v>
      </c>
      <c r="F837" t="s">
        <v>865</v>
      </c>
      <c r="G837" t="s">
        <v>1070</v>
      </c>
      <c r="H837" t="str">
        <f t="shared" si="91"/>
        <v>Furniture</v>
      </c>
      <c r="I837">
        <v>5</v>
      </c>
      <c r="J837" t="str">
        <f>VLOOKUP(K837,$AJ$2:$AK$7,2,FALSE)</f>
        <v>S002</v>
      </c>
      <c r="K837" t="s">
        <v>1098</v>
      </c>
      <c r="L837">
        <v>4.2</v>
      </c>
      <c r="M837" t="str">
        <f>IFERROR(VLOOKUP(TRIM(N837),$AP$2:$AQ$12,2,FALSE),"W001")</f>
        <v>W002</v>
      </c>
      <c r="N837" t="s">
        <v>1049</v>
      </c>
      <c r="O837" t="s">
        <v>1057</v>
      </c>
      <c r="P837" t="str">
        <f>VLOOKUP(O837,$AL$2:$AM$12,2,FALSE)</f>
        <v>South</v>
      </c>
      <c r="Q837" t="s">
        <v>1080</v>
      </c>
      <c r="R837">
        <v>476</v>
      </c>
      <c r="S837" t="s">
        <v>1066</v>
      </c>
      <c r="T837">
        <f t="shared" si="92"/>
        <v>4</v>
      </c>
      <c r="U837">
        <v>71.400000000000006</v>
      </c>
      <c r="V837">
        <f t="shared" si="93"/>
        <v>4</v>
      </c>
      <c r="W837" t="s">
        <v>1086</v>
      </c>
      <c r="X837" t="s">
        <v>1089</v>
      </c>
      <c r="Y837">
        <f t="shared" si="94"/>
        <v>71.400000000000006</v>
      </c>
      <c r="Z837" t="s">
        <v>1108</v>
      </c>
      <c r="AA837" t="str">
        <f t="shared" si="95"/>
        <v>Low</v>
      </c>
      <c r="AB837" t="s">
        <v>1103</v>
      </c>
      <c r="AC837" t="str">
        <f t="shared" si="96"/>
        <v>Yes</v>
      </c>
      <c r="AD837">
        <v>5</v>
      </c>
      <c r="AE837">
        <v>17965</v>
      </c>
      <c r="AF837">
        <v>7186</v>
      </c>
      <c r="AG837">
        <f t="shared" si="97"/>
        <v>10707.6</v>
      </c>
    </row>
    <row r="838" spans="1:33" x14ac:dyDescent="0.25">
      <c r="A838">
        <v>1837</v>
      </c>
      <c r="B838" s="1">
        <v>46210</v>
      </c>
      <c r="C838" s="1">
        <v>46212</v>
      </c>
      <c r="D838" s="1">
        <v>46217</v>
      </c>
      <c r="E838" t="s">
        <v>1066</v>
      </c>
      <c r="F838" t="s">
        <v>866</v>
      </c>
      <c r="G838" t="s">
        <v>1068</v>
      </c>
      <c r="H838" t="str">
        <f t="shared" si="91"/>
        <v>Electronics</v>
      </c>
      <c r="I838">
        <v>3</v>
      </c>
      <c r="J838" t="str">
        <f>VLOOKUP(K838,$AJ$2:$AK$7,2,FALSE)</f>
        <v>S004</v>
      </c>
      <c r="K838" t="s">
        <v>1100</v>
      </c>
      <c r="L838">
        <v>3.9</v>
      </c>
      <c r="M838" t="str">
        <f>IFERROR(VLOOKUP(TRIM(N838),$AP$2:$AQ$12,2,FALSE),"W001")</f>
        <v>W006</v>
      </c>
      <c r="N838" t="s">
        <v>1057</v>
      </c>
      <c r="O838" t="s">
        <v>1049</v>
      </c>
      <c r="P838" t="str">
        <f>VLOOKUP(O838,$AL$2:$AM$12,2,FALSE)</f>
        <v>North</v>
      </c>
      <c r="Q838" t="s">
        <v>1084</v>
      </c>
      <c r="R838">
        <v>1580</v>
      </c>
      <c r="S838" t="s">
        <v>1078</v>
      </c>
      <c r="T838">
        <f t="shared" si="92"/>
        <v>6</v>
      </c>
      <c r="U838">
        <v>474</v>
      </c>
      <c r="V838">
        <f t="shared" si="93"/>
        <v>6</v>
      </c>
      <c r="W838" t="s">
        <v>1086</v>
      </c>
      <c r="X838" t="s">
        <v>1090</v>
      </c>
      <c r="Y838">
        <f t="shared" si="94"/>
        <v>474</v>
      </c>
      <c r="Z838" t="s">
        <v>1109</v>
      </c>
      <c r="AA838" t="str">
        <f t="shared" si="95"/>
        <v>High</v>
      </c>
      <c r="AB838" t="s">
        <v>1104</v>
      </c>
      <c r="AC838" t="str">
        <f t="shared" si="96"/>
        <v>No</v>
      </c>
      <c r="AD838">
        <v>1</v>
      </c>
      <c r="AE838">
        <v>156792</v>
      </c>
      <c r="AF838">
        <v>62716.800000000003</v>
      </c>
      <c r="AG838">
        <f t="shared" si="97"/>
        <v>93601.2</v>
      </c>
    </row>
    <row r="839" spans="1:33" x14ac:dyDescent="0.25">
      <c r="A839">
        <v>1838</v>
      </c>
      <c r="B839" s="1">
        <v>44456</v>
      </c>
      <c r="C839" s="1">
        <v>44457</v>
      </c>
      <c r="D839" s="1">
        <v>44459</v>
      </c>
      <c r="E839" t="s">
        <v>1065</v>
      </c>
      <c r="F839" t="s">
        <v>867</v>
      </c>
      <c r="G839" t="s">
        <v>1069</v>
      </c>
      <c r="H839" t="str">
        <f t="shared" si="91"/>
        <v>Furniture</v>
      </c>
      <c r="I839">
        <v>3</v>
      </c>
      <c r="J839" t="str">
        <f>VLOOKUP(K839,$AJ$2:$AK$7,2,FALSE)</f>
        <v>S006</v>
      </c>
      <c r="K839" t="s">
        <v>1102</v>
      </c>
      <c r="L839">
        <v>4.3</v>
      </c>
      <c r="M839" t="str">
        <f>IFERROR(VLOOKUP(TRIM(N839),$AP$2:$AQ$12,2,FALSE),"W001")</f>
        <v>W009</v>
      </c>
      <c r="N839" t="s">
        <v>1060</v>
      </c>
      <c r="O839" t="s">
        <v>1051</v>
      </c>
      <c r="P839" t="str">
        <f>VLOOKUP(O839,$AL$2:$AM$12,2,FALSE)</f>
        <v>West</v>
      </c>
      <c r="Q839" t="s">
        <v>1084</v>
      </c>
      <c r="R839">
        <v>1700</v>
      </c>
      <c r="S839" t="s">
        <v>1078</v>
      </c>
      <c r="T839">
        <f t="shared" si="92"/>
        <v>6</v>
      </c>
      <c r="U839">
        <v>510</v>
      </c>
      <c r="V839">
        <f t="shared" si="93"/>
        <v>6</v>
      </c>
      <c r="W839" t="s">
        <v>1087</v>
      </c>
      <c r="X839" t="s">
        <v>1090</v>
      </c>
      <c r="Y839">
        <f t="shared" si="94"/>
        <v>0</v>
      </c>
      <c r="Z839" t="s">
        <v>1109</v>
      </c>
      <c r="AA839" t="str">
        <f t="shared" si="95"/>
        <v>High</v>
      </c>
      <c r="AB839" t="s">
        <v>1103</v>
      </c>
      <c r="AC839" t="str">
        <f t="shared" si="96"/>
        <v>No</v>
      </c>
      <c r="AD839">
        <v>2</v>
      </c>
      <c r="AE839">
        <v>18363</v>
      </c>
      <c r="AF839">
        <v>7345.2000000000007</v>
      </c>
      <c r="AG839">
        <f t="shared" si="97"/>
        <v>10507.8</v>
      </c>
    </row>
    <row r="840" spans="1:33" x14ac:dyDescent="0.25">
      <c r="A840">
        <v>1839</v>
      </c>
      <c r="B840" s="1">
        <v>45356</v>
      </c>
      <c r="C840" s="1">
        <v>45357</v>
      </c>
      <c r="D840" s="1">
        <v>45359</v>
      </c>
      <c r="E840" t="s">
        <v>1064</v>
      </c>
      <c r="F840" t="s">
        <v>868</v>
      </c>
      <c r="G840" t="s">
        <v>1068</v>
      </c>
      <c r="H840" t="str">
        <f t="shared" si="91"/>
        <v>Electronics</v>
      </c>
      <c r="I840">
        <v>9</v>
      </c>
      <c r="J840" t="str">
        <f>VLOOKUP(K840,$AJ$2:$AK$7,2,FALSE)</f>
        <v>S004</v>
      </c>
      <c r="K840" t="s">
        <v>1100</v>
      </c>
      <c r="L840">
        <v>4.2</v>
      </c>
      <c r="M840" t="str">
        <f>IFERROR(VLOOKUP(TRIM(N840),$AP$2:$AQ$12,2,FALSE),"W001")</f>
        <v>W005</v>
      </c>
      <c r="N840" t="s">
        <v>1055</v>
      </c>
      <c r="O840" t="s">
        <v>1061</v>
      </c>
      <c r="P840" t="str">
        <f>VLOOKUP(O840,$AL$2:$AM$12,2,FALSE)</f>
        <v>West</v>
      </c>
      <c r="Q840" t="s">
        <v>1084</v>
      </c>
      <c r="R840">
        <v>778</v>
      </c>
      <c r="S840" t="s">
        <v>1066</v>
      </c>
      <c r="T840">
        <f t="shared" si="92"/>
        <v>3</v>
      </c>
      <c r="U840">
        <v>233.4</v>
      </c>
      <c r="V840">
        <f t="shared" si="93"/>
        <v>6</v>
      </c>
      <c r="W840" t="s">
        <v>1088</v>
      </c>
      <c r="X840" t="s">
        <v>1090</v>
      </c>
      <c r="Y840">
        <f t="shared" si="94"/>
        <v>0</v>
      </c>
      <c r="Z840" t="s">
        <v>1108</v>
      </c>
      <c r="AA840" t="str">
        <f t="shared" si="95"/>
        <v>Low</v>
      </c>
      <c r="AB840" t="s">
        <v>1103</v>
      </c>
      <c r="AC840" t="str">
        <f t="shared" si="96"/>
        <v>Yes</v>
      </c>
      <c r="AD840">
        <v>4</v>
      </c>
      <c r="AE840">
        <v>455481</v>
      </c>
      <c r="AF840">
        <v>182192.40000000002</v>
      </c>
      <c r="AG840">
        <f t="shared" si="97"/>
        <v>273055.19999999995</v>
      </c>
    </row>
    <row r="841" spans="1:33" x14ac:dyDescent="0.25">
      <c r="A841">
        <v>1840</v>
      </c>
      <c r="B841" s="1">
        <v>46172</v>
      </c>
      <c r="C841" s="1">
        <v>46173</v>
      </c>
      <c r="D841" s="1">
        <v>46177</v>
      </c>
      <c r="E841" t="s">
        <v>1066</v>
      </c>
      <c r="F841" t="s">
        <v>869</v>
      </c>
      <c r="G841" t="s">
        <v>1072</v>
      </c>
      <c r="H841" t="str">
        <f t="shared" si="91"/>
        <v>Electronics</v>
      </c>
      <c r="I841">
        <v>1</v>
      </c>
      <c r="J841" t="str">
        <f>VLOOKUP(K841,$AJ$2:$AK$7,2,FALSE)</f>
        <v>S003</v>
      </c>
      <c r="K841" t="s">
        <v>1099</v>
      </c>
      <c r="L841">
        <v>3.6</v>
      </c>
      <c r="M841" t="str">
        <f>IFERROR(VLOOKUP(TRIM(N841),$AP$2:$AQ$12,2,FALSE),"W001")</f>
        <v>W006</v>
      </c>
      <c r="N841" t="s">
        <v>1057</v>
      </c>
      <c r="O841" t="s">
        <v>1059</v>
      </c>
      <c r="P841" t="str">
        <f>VLOOKUP(O841,$AL$2:$AM$12,2,FALSE)</f>
        <v>North</v>
      </c>
      <c r="Q841" t="s">
        <v>1083</v>
      </c>
      <c r="R841">
        <v>213</v>
      </c>
      <c r="S841" t="s">
        <v>1066</v>
      </c>
      <c r="T841">
        <f t="shared" si="92"/>
        <v>1</v>
      </c>
      <c r="U841">
        <v>106.5</v>
      </c>
      <c r="V841">
        <f t="shared" si="93"/>
        <v>10</v>
      </c>
      <c r="W841" t="s">
        <v>1086</v>
      </c>
      <c r="X841" t="s">
        <v>1089</v>
      </c>
      <c r="Y841">
        <f t="shared" si="94"/>
        <v>106.5</v>
      </c>
      <c r="Z841" t="s">
        <v>1108</v>
      </c>
      <c r="AA841" t="str">
        <f t="shared" si="95"/>
        <v>Medium</v>
      </c>
      <c r="AB841" t="s">
        <v>1103</v>
      </c>
      <c r="AC841" t="str">
        <f t="shared" si="96"/>
        <v>Yes</v>
      </c>
      <c r="AD841">
        <v>4</v>
      </c>
      <c r="AE841">
        <v>19096</v>
      </c>
      <c r="AF841">
        <v>7638.4000000000005</v>
      </c>
      <c r="AG841">
        <f t="shared" si="97"/>
        <v>11351.099999999999</v>
      </c>
    </row>
    <row r="842" spans="1:33" x14ac:dyDescent="0.25">
      <c r="A842">
        <v>1841</v>
      </c>
      <c r="B842" s="1">
        <v>45766</v>
      </c>
      <c r="C842" s="1">
        <v>45767</v>
      </c>
      <c r="D842" s="1">
        <v>45770</v>
      </c>
      <c r="E842" t="s">
        <v>1066</v>
      </c>
      <c r="F842" t="s">
        <v>870</v>
      </c>
      <c r="G842" t="s">
        <v>1072</v>
      </c>
      <c r="H842" t="str">
        <f t="shared" si="91"/>
        <v>Electronics</v>
      </c>
      <c r="I842">
        <v>8</v>
      </c>
      <c r="J842" t="str">
        <f>VLOOKUP(K842,$AJ$2:$AK$7,2,FALSE)</f>
        <v>S001</v>
      </c>
      <c r="K842" t="s">
        <v>1097</v>
      </c>
      <c r="L842">
        <v>4.9000000000000004</v>
      </c>
      <c r="M842" t="str">
        <f>IFERROR(VLOOKUP(TRIM(N842),$AP$2:$AQ$12,2,FALSE),"W001")</f>
        <v>W011</v>
      </c>
      <c r="N842" t="s">
        <v>1059</v>
      </c>
      <c r="O842" t="s">
        <v>1060</v>
      </c>
      <c r="P842" t="str">
        <f>VLOOKUP(O842,$AL$2:$AM$12,2,FALSE)</f>
        <v>North</v>
      </c>
      <c r="Q842" t="s">
        <v>1082</v>
      </c>
      <c r="R842">
        <v>1518</v>
      </c>
      <c r="S842" t="s">
        <v>1078</v>
      </c>
      <c r="T842">
        <f t="shared" si="92"/>
        <v>4</v>
      </c>
      <c r="U842">
        <v>607.20000000000005</v>
      </c>
      <c r="V842">
        <f t="shared" si="93"/>
        <v>8</v>
      </c>
      <c r="W842" t="s">
        <v>1087</v>
      </c>
      <c r="X842" t="s">
        <v>1091</v>
      </c>
      <c r="Y842">
        <f t="shared" si="94"/>
        <v>0</v>
      </c>
      <c r="Z842" t="s">
        <v>1109</v>
      </c>
      <c r="AA842" t="str">
        <f t="shared" si="95"/>
        <v>High</v>
      </c>
      <c r="AB842" t="s">
        <v>1103</v>
      </c>
      <c r="AC842" t="str">
        <f t="shared" si="96"/>
        <v>No</v>
      </c>
      <c r="AD842">
        <v>3</v>
      </c>
      <c r="AE842">
        <v>117848</v>
      </c>
      <c r="AF842">
        <v>47139.200000000004</v>
      </c>
      <c r="AG842">
        <f t="shared" si="97"/>
        <v>70101.599999999991</v>
      </c>
    </row>
    <row r="843" spans="1:33" x14ac:dyDescent="0.25">
      <c r="A843">
        <v>1842</v>
      </c>
      <c r="B843" s="1">
        <v>45243</v>
      </c>
      <c r="C843" s="1">
        <v>45245</v>
      </c>
      <c r="D843" s="1">
        <v>45252</v>
      </c>
      <c r="E843" t="s">
        <v>1064</v>
      </c>
      <c r="F843" t="s">
        <v>871</v>
      </c>
      <c r="G843" t="s">
        <v>1072</v>
      </c>
      <c r="H843" t="str">
        <f t="shared" si="91"/>
        <v>Electronics</v>
      </c>
      <c r="I843">
        <v>4</v>
      </c>
      <c r="J843" t="str">
        <f>VLOOKUP(K843,$AJ$2:$AK$7,2,FALSE)</f>
        <v>S004</v>
      </c>
      <c r="K843" t="s">
        <v>1100</v>
      </c>
      <c r="L843">
        <v>3.9</v>
      </c>
      <c r="M843" t="str">
        <f>IFERROR(VLOOKUP(TRIM(N843),$AP$2:$AQ$12,2,FALSE),"W001")</f>
        <v>W011</v>
      </c>
      <c r="N843" t="s">
        <v>1059</v>
      </c>
      <c r="O843" t="s">
        <v>1051</v>
      </c>
      <c r="P843" t="str">
        <f>VLOOKUP(O843,$AL$2:$AM$12,2,FALSE)</f>
        <v>West</v>
      </c>
      <c r="Q843" t="s">
        <v>1083</v>
      </c>
      <c r="R843">
        <v>355</v>
      </c>
      <c r="S843" t="s">
        <v>1066</v>
      </c>
      <c r="T843">
        <f t="shared" si="92"/>
        <v>2</v>
      </c>
      <c r="U843">
        <v>177.5</v>
      </c>
      <c r="V843">
        <f t="shared" si="93"/>
        <v>10</v>
      </c>
      <c r="W843" t="s">
        <v>1087</v>
      </c>
      <c r="X843" t="s">
        <v>1090</v>
      </c>
      <c r="Y843">
        <f t="shared" si="94"/>
        <v>0</v>
      </c>
      <c r="Z843" t="s">
        <v>1108</v>
      </c>
      <c r="AA843" t="str">
        <f t="shared" si="95"/>
        <v>Medium</v>
      </c>
      <c r="AB843" t="s">
        <v>1103</v>
      </c>
      <c r="AC843" t="str">
        <f t="shared" si="96"/>
        <v>Yes</v>
      </c>
      <c r="AD843">
        <v>4</v>
      </c>
      <c r="AE843">
        <v>64148</v>
      </c>
      <c r="AF843">
        <v>25659.200000000001</v>
      </c>
      <c r="AG843">
        <f t="shared" si="97"/>
        <v>38311.300000000003</v>
      </c>
    </row>
    <row r="844" spans="1:33" x14ac:dyDescent="0.25">
      <c r="A844">
        <v>1843</v>
      </c>
      <c r="B844" s="1">
        <v>45424</v>
      </c>
      <c r="C844" s="1">
        <v>45425</v>
      </c>
      <c r="D844" s="1">
        <v>45432</v>
      </c>
      <c r="E844" t="s">
        <v>1066</v>
      </c>
      <c r="F844" t="s">
        <v>872</v>
      </c>
      <c r="G844" t="s">
        <v>1068</v>
      </c>
      <c r="H844" t="str">
        <f t="shared" si="91"/>
        <v>Electronics</v>
      </c>
      <c r="I844">
        <v>9</v>
      </c>
      <c r="J844" t="str">
        <f>VLOOKUP(K844,$AJ$2:$AK$7,2,FALSE)</f>
        <v>S003</v>
      </c>
      <c r="K844" t="s">
        <v>1099</v>
      </c>
      <c r="L844">
        <v>4.7</v>
      </c>
      <c r="M844" t="str">
        <f>IFERROR(VLOOKUP(TRIM(N844),$AP$2:$AQ$12,2,FALSE),"W001")</f>
        <v>W009</v>
      </c>
      <c r="N844" t="s">
        <v>1060</v>
      </c>
      <c r="O844" t="s">
        <v>1057</v>
      </c>
      <c r="P844" t="str">
        <f>VLOOKUP(O844,$AL$2:$AM$12,2,FALSE)</f>
        <v>South</v>
      </c>
      <c r="Q844" t="s">
        <v>1084</v>
      </c>
      <c r="R844">
        <v>1918</v>
      </c>
      <c r="S844" t="s">
        <v>1078</v>
      </c>
      <c r="T844">
        <f t="shared" si="92"/>
        <v>6</v>
      </c>
      <c r="U844">
        <v>575.4</v>
      </c>
      <c r="V844">
        <f t="shared" si="93"/>
        <v>6</v>
      </c>
      <c r="W844" t="s">
        <v>1086</v>
      </c>
      <c r="X844" t="s">
        <v>1091</v>
      </c>
      <c r="Y844">
        <f t="shared" si="94"/>
        <v>575.4</v>
      </c>
      <c r="Z844" t="s">
        <v>1109</v>
      </c>
      <c r="AA844" t="str">
        <f t="shared" si="95"/>
        <v>High</v>
      </c>
      <c r="AB844" t="s">
        <v>1104</v>
      </c>
      <c r="AC844" t="str">
        <f t="shared" si="96"/>
        <v>No</v>
      </c>
      <c r="AD844">
        <v>1</v>
      </c>
      <c r="AE844">
        <v>625905</v>
      </c>
      <c r="AF844">
        <v>250362</v>
      </c>
      <c r="AG844">
        <f t="shared" si="97"/>
        <v>374967.6</v>
      </c>
    </row>
    <row r="845" spans="1:33" x14ac:dyDescent="0.25">
      <c r="A845">
        <v>1844</v>
      </c>
      <c r="B845" s="1">
        <v>46119</v>
      </c>
      <c r="C845" s="1">
        <v>46122</v>
      </c>
      <c r="D845" s="1">
        <v>46125</v>
      </c>
      <c r="E845" t="s">
        <v>1065</v>
      </c>
      <c r="F845" t="s">
        <v>873</v>
      </c>
      <c r="G845" t="s">
        <v>1068</v>
      </c>
      <c r="H845" t="str">
        <f t="shared" si="91"/>
        <v>Electronics</v>
      </c>
      <c r="I845">
        <v>4</v>
      </c>
      <c r="J845" t="str">
        <f>VLOOKUP(K845,$AJ$2:$AK$7,2,FALSE)</f>
        <v>S001</v>
      </c>
      <c r="K845" t="s">
        <v>1097</v>
      </c>
      <c r="L845">
        <v>5</v>
      </c>
      <c r="M845" t="str">
        <f>IFERROR(VLOOKUP(TRIM(N845),$AP$2:$AQ$12,2,FALSE),"W001")</f>
        <v>W007</v>
      </c>
      <c r="N845" t="s">
        <v>1062</v>
      </c>
      <c r="O845" t="s">
        <v>1055</v>
      </c>
      <c r="P845" t="str">
        <f>VLOOKUP(O845,$AL$2:$AM$12,2,FALSE)</f>
        <v>South</v>
      </c>
      <c r="Q845" t="s">
        <v>1085</v>
      </c>
      <c r="R845">
        <v>1871</v>
      </c>
      <c r="S845" t="s">
        <v>1078</v>
      </c>
      <c r="T845">
        <f t="shared" si="92"/>
        <v>12</v>
      </c>
      <c r="U845">
        <v>187.1</v>
      </c>
      <c r="V845">
        <f t="shared" si="93"/>
        <v>3</v>
      </c>
      <c r="W845" t="s">
        <v>1088</v>
      </c>
      <c r="X845" t="s">
        <v>1091</v>
      </c>
      <c r="Y845">
        <f t="shared" si="94"/>
        <v>0</v>
      </c>
      <c r="Z845" t="s">
        <v>1108</v>
      </c>
      <c r="AA845" t="str">
        <f t="shared" si="95"/>
        <v>Low</v>
      </c>
      <c r="AB845" t="s">
        <v>1103</v>
      </c>
      <c r="AC845" t="str">
        <f t="shared" si="96"/>
        <v>Yes</v>
      </c>
      <c r="AD845">
        <v>5</v>
      </c>
      <c r="AE845">
        <v>276076</v>
      </c>
      <c r="AF845">
        <v>110430.40000000001</v>
      </c>
      <c r="AG845">
        <f t="shared" si="97"/>
        <v>165458.49999999997</v>
      </c>
    </row>
    <row r="846" spans="1:33" x14ac:dyDescent="0.25">
      <c r="A846">
        <v>1845</v>
      </c>
      <c r="B846" s="1">
        <v>44662</v>
      </c>
      <c r="C846" s="1">
        <v>44665</v>
      </c>
      <c r="D846" s="1">
        <v>44668</v>
      </c>
      <c r="E846" t="s">
        <v>1065</v>
      </c>
      <c r="F846" t="s">
        <v>874</v>
      </c>
      <c r="G846" t="s">
        <v>1067</v>
      </c>
      <c r="H846" t="str">
        <f t="shared" si="91"/>
        <v>Clothing</v>
      </c>
      <c r="I846">
        <v>3</v>
      </c>
      <c r="J846" t="str">
        <f>VLOOKUP(K846,$AJ$2:$AK$7,2,FALSE)</f>
        <v>S004</v>
      </c>
      <c r="K846" t="s">
        <v>1100</v>
      </c>
      <c r="L846">
        <v>4.9000000000000004</v>
      </c>
      <c r="M846" t="str">
        <f>IFERROR(VLOOKUP(TRIM(N846),$AP$2:$AQ$12,2,FALSE),"W001")</f>
        <v>W001</v>
      </c>
      <c r="N846" t="s">
        <v>1047</v>
      </c>
      <c r="O846" t="s">
        <v>1060</v>
      </c>
      <c r="P846" t="str">
        <f>VLOOKUP(O846,$AL$2:$AM$12,2,FALSE)</f>
        <v>North</v>
      </c>
      <c r="Q846" t="s">
        <v>1084</v>
      </c>
      <c r="R846">
        <v>717</v>
      </c>
      <c r="S846" t="s">
        <v>1066</v>
      </c>
      <c r="T846">
        <f t="shared" si="92"/>
        <v>3</v>
      </c>
      <c r="U846">
        <v>215.1</v>
      </c>
      <c r="V846">
        <f t="shared" si="93"/>
        <v>6</v>
      </c>
      <c r="W846" t="s">
        <v>1088</v>
      </c>
      <c r="X846" t="s">
        <v>1091</v>
      </c>
      <c r="Y846">
        <f t="shared" si="94"/>
        <v>0</v>
      </c>
      <c r="Z846" t="s">
        <v>1108</v>
      </c>
      <c r="AA846" t="str">
        <f t="shared" si="95"/>
        <v>Low</v>
      </c>
      <c r="AB846" t="s">
        <v>1103</v>
      </c>
      <c r="AC846" t="str">
        <f t="shared" si="96"/>
        <v>Yes</v>
      </c>
      <c r="AD846">
        <v>4</v>
      </c>
      <c r="AE846">
        <v>2688</v>
      </c>
      <c r="AF846">
        <v>1075.2</v>
      </c>
      <c r="AG846">
        <f t="shared" si="97"/>
        <v>1397.7</v>
      </c>
    </row>
    <row r="847" spans="1:33" x14ac:dyDescent="0.25">
      <c r="A847">
        <v>1846</v>
      </c>
      <c r="B847" s="1">
        <v>44536</v>
      </c>
      <c r="C847" s="1">
        <v>44537</v>
      </c>
      <c r="D847" s="1">
        <v>44540</v>
      </c>
      <c r="E847" t="s">
        <v>1066</v>
      </c>
      <c r="F847" t="s">
        <v>875</v>
      </c>
      <c r="G847" t="s">
        <v>1071</v>
      </c>
      <c r="H847" t="str">
        <f t="shared" si="91"/>
        <v>Clothing</v>
      </c>
      <c r="I847">
        <v>6</v>
      </c>
      <c r="J847" t="str">
        <f>VLOOKUP(K847,$AJ$2:$AK$7,2,FALSE)</f>
        <v>S002</v>
      </c>
      <c r="K847" t="s">
        <v>1098</v>
      </c>
      <c r="L847">
        <v>3.9</v>
      </c>
      <c r="M847" t="str">
        <f>IFERROR(VLOOKUP(TRIM(N847),$AP$2:$AQ$12,2,FALSE),"W001")</f>
        <v>W011</v>
      </c>
      <c r="N847" t="s">
        <v>1059</v>
      </c>
      <c r="O847" t="s">
        <v>1059</v>
      </c>
      <c r="P847" t="str">
        <f>VLOOKUP(O847,$AL$2:$AM$12,2,FALSE)</f>
        <v>North</v>
      </c>
      <c r="Q847" t="s">
        <v>1082</v>
      </c>
      <c r="R847">
        <v>32</v>
      </c>
      <c r="S847" t="s">
        <v>1079</v>
      </c>
      <c r="T847">
        <f t="shared" si="92"/>
        <v>1</v>
      </c>
      <c r="U847">
        <v>12.8</v>
      </c>
      <c r="V847">
        <f t="shared" si="93"/>
        <v>8</v>
      </c>
      <c r="W847" t="s">
        <v>1087</v>
      </c>
      <c r="X847" t="s">
        <v>1089</v>
      </c>
      <c r="Y847">
        <f t="shared" si="94"/>
        <v>0</v>
      </c>
      <c r="Z847" t="s">
        <v>1108</v>
      </c>
      <c r="AA847" t="str">
        <f t="shared" si="95"/>
        <v>Medium</v>
      </c>
      <c r="AB847" t="s">
        <v>1103</v>
      </c>
      <c r="AC847" t="str">
        <f t="shared" si="96"/>
        <v>Yes</v>
      </c>
      <c r="AD847">
        <v>5</v>
      </c>
      <c r="AE847">
        <v>10338</v>
      </c>
      <c r="AF847">
        <v>4135.2</v>
      </c>
      <c r="AG847">
        <f t="shared" si="97"/>
        <v>6190</v>
      </c>
    </row>
    <row r="848" spans="1:33" x14ac:dyDescent="0.25">
      <c r="A848">
        <v>1847</v>
      </c>
      <c r="B848" s="1">
        <v>44724</v>
      </c>
      <c r="C848" s="1">
        <v>44727</v>
      </c>
      <c r="D848" s="1">
        <v>44731</v>
      </c>
      <c r="E848" t="s">
        <v>1065</v>
      </c>
      <c r="F848" t="s">
        <v>876</v>
      </c>
      <c r="G848" t="s">
        <v>1071</v>
      </c>
      <c r="H848" t="str">
        <f t="shared" si="91"/>
        <v>Clothing</v>
      </c>
      <c r="I848">
        <v>6</v>
      </c>
      <c r="J848" t="str">
        <f>VLOOKUP(K848,$AJ$2:$AK$7,2,FALSE)</f>
        <v>S004</v>
      </c>
      <c r="K848" t="s">
        <v>1100</v>
      </c>
      <c r="L848">
        <v>4</v>
      </c>
      <c r="M848" t="str">
        <f>IFERROR(VLOOKUP(TRIM(N848),$AP$2:$AQ$12,2,FALSE),"W001")</f>
        <v>W002</v>
      </c>
      <c r="N848" t="s">
        <v>1049</v>
      </c>
      <c r="O848" t="s">
        <v>1062</v>
      </c>
      <c r="P848" t="str">
        <f>VLOOKUP(O848,$AL$2:$AM$12,2,FALSE)</f>
        <v>North</v>
      </c>
      <c r="Q848" t="s">
        <v>1083</v>
      </c>
      <c r="R848">
        <v>1046</v>
      </c>
      <c r="S848" t="s">
        <v>1078</v>
      </c>
      <c r="T848">
        <f t="shared" si="92"/>
        <v>2</v>
      </c>
      <c r="U848">
        <v>523</v>
      </c>
      <c r="V848">
        <f t="shared" si="93"/>
        <v>10</v>
      </c>
      <c r="W848" t="s">
        <v>1087</v>
      </c>
      <c r="X848" t="s">
        <v>1091</v>
      </c>
      <c r="Y848">
        <f t="shared" si="94"/>
        <v>0</v>
      </c>
      <c r="Z848" t="s">
        <v>1108</v>
      </c>
      <c r="AA848" t="str">
        <f t="shared" si="95"/>
        <v>Medium</v>
      </c>
      <c r="AB848" t="s">
        <v>1103</v>
      </c>
      <c r="AC848" t="str">
        <f t="shared" si="96"/>
        <v>Yes</v>
      </c>
      <c r="AD848">
        <v>4</v>
      </c>
      <c r="AE848">
        <v>17256</v>
      </c>
      <c r="AF848">
        <v>6902.4000000000005</v>
      </c>
      <c r="AG848">
        <f t="shared" si="97"/>
        <v>9830.5999999999985</v>
      </c>
    </row>
    <row r="849" spans="1:33" x14ac:dyDescent="0.25">
      <c r="A849">
        <v>1848</v>
      </c>
      <c r="B849" s="1">
        <v>45288</v>
      </c>
      <c r="C849" s="1">
        <v>45291</v>
      </c>
      <c r="D849" s="1">
        <v>45293</v>
      </c>
      <c r="E849" t="s">
        <v>1065</v>
      </c>
      <c r="F849" t="s">
        <v>877</v>
      </c>
      <c r="G849" t="s">
        <v>1071</v>
      </c>
      <c r="H849" t="str">
        <f t="shared" si="91"/>
        <v>Clothing</v>
      </c>
      <c r="I849">
        <v>5</v>
      </c>
      <c r="J849" t="str">
        <f>VLOOKUP(K849,$AJ$2:$AK$7,2,FALSE)</f>
        <v>S003</v>
      </c>
      <c r="K849" t="s">
        <v>1099</v>
      </c>
      <c r="L849">
        <v>4.2</v>
      </c>
      <c r="M849" t="str">
        <f>IFERROR(VLOOKUP(TRIM(N849),$AP$2:$AQ$12,2,FALSE),"W001")</f>
        <v>W002</v>
      </c>
      <c r="N849" t="s">
        <v>1049</v>
      </c>
      <c r="O849" t="s">
        <v>1059</v>
      </c>
      <c r="P849" t="str">
        <f>VLOOKUP(O849,$AL$2:$AM$12,2,FALSE)</f>
        <v>North</v>
      </c>
      <c r="Q849" t="s">
        <v>1083</v>
      </c>
      <c r="R849">
        <v>1570</v>
      </c>
      <c r="S849" t="s">
        <v>1078</v>
      </c>
      <c r="T849">
        <f t="shared" si="92"/>
        <v>3</v>
      </c>
      <c r="U849">
        <v>785</v>
      </c>
      <c r="V849">
        <f t="shared" si="93"/>
        <v>10</v>
      </c>
      <c r="W849" t="s">
        <v>1087</v>
      </c>
      <c r="X849" t="s">
        <v>1090</v>
      </c>
      <c r="Y849">
        <f t="shared" si="94"/>
        <v>0</v>
      </c>
      <c r="Z849" t="s">
        <v>1108</v>
      </c>
      <c r="AA849" t="str">
        <f t="shared" si="95"/>
        <v>Medium</v>
      </c>
      <c r="AB849" t="s">
        <v>1103</v>
      </c>
      <c r="AC849" t="str">
        <f t="shared" si="96"/>
        <v>Yes</v>
      </c>
      <c r="AD849">
        <v>4</v>
      </c>
      <c r="AE849">
        <v>8855</v>
      </c>
      <c r="AF849">
        <v>3542</v>
      </c>
      <c r="AG849">
        <f t="shared" si="97"/>
        <v>4528</v>
      </c>
    </row>
    <row r="850" spans="1:33" x14ac:dyDescent="0.25">
      <c r="A850">
        <v>1849</v>
      </c>
      <c r="B850" s="1">
        <v>44658</v>
      </c>
      <c r="C850" s="1">
        <v>44661</v>
      </c>
      <c r="D850" s="1">
        <v>44667</v>
      </c>
      <c r="E850" t="s">
        <v>1064</v>
      </c>
      <c r="F850" t="s">
        <v>878</v>
      </c>
      <c r="G850" t="s">
        <v>1072</v>
      </c>
      <c r="H850" t="str">
        <f t="shared" si="91"/>
        <v>Electronics</v>
      </c>
      <c r="I850">
        <v>1</v>
      </c>
      <c r="J850" t="str">
        <f>VLOOKUP(K850,$AJ$2:$AK$7,2,FALSE)</f>
        <v>S001</v>
      </c>
      <c r="K850" t="s">
        <v>1097</v>
      </c>
      <c r="L850">
        <v>4.5</v>
      </c>
      <c r="M850" t="str">
        <f>IFERROR(VLOOKUP(TRIM(N850),$AP$2:$AQ$12,2,FALSE),"W001")</f>
        <v>W009</v>
      </c>
      <c r="N850" t="s">
        <v>1060</v>
      </c>
      <c r="O850" t="s">
        <v>1055</v>
      </c>
      <c r="P850" t="str">
        <f>VLOOKUP(O850,$AL$2:$AM$12,2,FALSE)</f>
        <v>South</v>
      </c>
      <c r="Q850" t="s">
        <v>1083</v>
      </c>
      <c r="R850">
        <v>279</v>
      </c>
      <c r="S850" t="s">
        <v>1066</v>
      </c>
      <c r="T850">
        <f t="shared" si="92"/>
        <v>1</v>
      </c>
      <c r="U850">
        <v>139.5</v>
      </c>
      <c r="V850">
        <f t="shared" si="93"/>
        <v>10</v>
      </c>
      <c r="W850" t="s">
        <v>1088</v>
      </c>
      <c r="X850" t="s">
        <v>1089</v>
      </c>
      <c r="Y850">
        <f t="shared" si="94"/>
        <v>0</v>
      </c>
      <c r="Z850" t="s">
        <v>1108</v>
      </c>
      <c r="AA850" t="str">
        <f t="shared" si="95"/>
        <v>Medium</v>
      </c>
      <c r="AB850" t="s">
        <v>1104</v>
      </c>
      <c r="AC850" t="str">
        <f t="shared" si="96"/>
        <v>Yes</v>
      </c>
      <c r="AD850">
        <v>2</v>
      </c>
      <c r="AE850">
        <v>28313</v>
      </c>
      <c r="AF850">
        <v>11325.2</v>
      </c>
      <c r="AG850">
        <f t="shared" si="97"/>
        <v>16848.3</v>
      </c>
    </row>
    <row r="851" spans="1:33" x14ac:dyDescent="0.25">
      <c r="A851">
        <v>1850</v>
      </c>
      <c r="B851" s="1">
        <v>45182</v>
      </c>
      <c r="C851" s="1">
        <v>45185</v>
      </c>
      <c r="D851" s="1">
        <v>45187</v>
      </c>
      <c r="E851" t="s">
        <v>1065</v>
      </c>
      <c r="F851" t="s">
        <v>879</v>
      </c>
      <c r="G851" t="s">
        <v>1072</v>
      </c>
      <c r="H851" t="str">
        <f t="shared" si="91"/>
        <v>Electronics</v>
      </c>
      <c r="I851">
        <v>3</v>
      </c>
      <c r="J851" t="str">
        <f>VLOOKUP(K851,$AJ$2:$AK$7,2,FALSE)</f>
        <v>S006</v>
      </c>
      <c r="K851" t="s">
        <v>1102</v>
      </c>
      <c r="L851">
        <v>4.2</v>
      </c>
      <c r="M851" t="str">
        <f>IFERROR(VLOOKUP(TRIM(N851),$AP$2:$AQ$12,2,FALSE),"W001")</f>
        <v>W001</v>
      </c>
      <c r="N851" t="s">
        <v>1047</v>
      </c>
      <c r="O851" t="s">
        <v>1060</v>
      </c>
      <c r="P851" t="str">
        <f>VLOOKUP(O851,$AL$2:$AM$12,2,FALSE)</f>
        <v>North</v>
      </c>
      <c r="Q851" t="s">
        <v>1084</v>
      </c>
      <c r="R851">
        <v>1214</v>
      </c>
      <c r="S851" t="s">
        <v>1078</v>
      </c>
      <c r="T851">
        <f t="shared" si="92"/>
        <v>4</v>
      </c>
      <c r="U851">
        <v>364.2</v>
      </c>
      <c r="V851">
        <f t="shared" si="93"/>
        <v>6</v>
      </c>
      <c r="W851" t="s">
        <v>1086</v>
      </c>
      <c r="X851" t="s">
        <v>1091</v>
      </c>
      <c r="Y851">
        <f t="shared" si="94"/>
        <v>364.2</v>
      </c>
      <c r="Z851" t="s">
        <v>1108</v>
      </c>
      <c r="AA851" t="str">
        <f t="shared" si="95"/>
        <v>Low</v>
      </c>
      <c r="AB851" t="s">
        <v>1103</v>
      </c>
      <c r="AC851" t="str">
        <f t="shared" si="96"/>
        <v>Yes</v>
      </c>
      <c r="AD851">
        <v>5</v>
      </c>
      <c r="AE851">
        <v>44655</v>
      </c>
      <c r="AF851">
        <v>17862</v>
      </c>
      <c r="AG851">
        <f t="shared" si="97"/>
        <v>26428.799999999999</v>
      </c>
    </row>
    <row r="852" spans="1:33" x14ac:dyDescent="0.25">
      <c r="A852">
        <v>1851</v>
      </c>
      <c r="B852" s="1">
        <v>44746</v>
      </c>
      <c r="C852" s="1">
        <v>44748</v>
      </c>
      <c r="D852" s="1">
        <v>44754</v>
      </c>
      <c r="E852" t="s">
        <v>1064</v>
      </c>
      <c r="F852" t="s">
        <v>880</v>
      </c>
      <c r="G852" t="s">
        <v>1071</v>
      </c>
      <c r="H852" t="str">
        <f t="shared" si="91"/>
        <v>Clothing</v>
      </c>
      <c r="I852">
        <v>1</v>
      </c>
      <c r="J852" t="str">
        <f>VLOOKUP(K852,$AJ$2:$AK$7,2,FALSE)</f>
        <v>S004</v>
      </c>
      <c r="K852" t="s">
        <v>1100</v>
      </c>
      <c r="L852">
        <v>3.7</v>
      </c>
      <c r="M852" t="str">
        <f>IFERROR(VLOOKUP(TRIM(N852),$AP$2:$AQ$12,2,FALSE),"W001")</f>
        <v>W003</v>
      </c>
      <c r="N852" t="s">
        <v>1051</v>
      </c>
      <c r="O852" t="s">
        <v>1061</v>
      </c>
      <c r="P852" t="str">
        <f>VLOOKUP(O852,$AL$2:$AM$12,2,FALSE)</f>
        <v>West</v>
      </c>
      <c r="Q852" t="s">
        <v>1082</v>
      </c>
      <c r="R852">
        <v>1467</v>
      </c>
      <c r="S852" t="s">
        <v>1078</v>
      </c>
      <c r="T852">
        <f t="shared" si="92"/>
        <v>4</v>
      </c>
      <c r="U852">
        <v>586.79999999999995</v>
      </c>
      <c r="V852">
        <f t="shared" si="93"/>
        <v>8</v>
      </c>
      <c r="W852" t="s">
        <v>1088</v>
      </c>
      <c r="X852" t="s">
        <v>1091</v>
      </c>
      <c r="Y852">
        <f t="shared" si="94"/>
        <v>0</v>
      </c>
      <c r="Z852" t="s">
        <v>1109</v>
      </c>
      <c r="AA852" t="str">
        <f t="shared" si="95"/>
        <v>High</v>
      </c>
      <c r="AB852" t="s">
        <v>1104</v>
      </c>
      <c r="AC852" t="str">
        <f t="shared" si="96"/>
        <v>No</v>
      </c>
      <c r="AD852">
        <v>1</v>
      </c>
      <c r="AE852">
        <v>1394</v>
      </c>
      <c r="AF852">
        <v>557.6</v>
      </c>
      <c r="AG852">
        <f t="shared" si="97"/>
        <v>249.60000000000002</v>
      </c>
    </row>
    <row r="853" spans="1:33" x14ac:dyDescent="0.25">
      <c r="A853">
        <v>1852</v>
      </c>
      <c r="B853" s="1">
        <v>46106</v>
      </c>
      <c r="C853" s="1">
        <v>46109</v>
      </c>
      <c r="D853" s="1">
        <v>46115</v>
      </c>
      <c r="E853" t="s">
        <v>1066</v>
      </c>
      <c r="F853" t="s">
        <v>881</v>
      </c>
      <c r="G853" t="s">
        <v>1068</v>
      </c>
      <c r="H853" t="str">
        <f t="shared" si="91"/>
        <v>Electronics</v>
      </c>
      <c r="I853">
        <v>3</v>
      </c>
      <c r="J853" t="str">
        <f>VLOOKUP(K853,$AJ$2:$AK$7,2,FALSE)</f>
        <v>S002</v>
      </c>
      <c r="K853" t="s">
        <v>1098</v>
      </c>
      <c r="L853">
        <v>4.4000000000000004</v>
      </c>
      <c r="M853" t="str">
        <f>IFERROR(VLOOKUP(TRIM(N853),$AP$2:$AQ$12,2,FALSE),"W001")</f>
        <v>W009</v>
      </c>
      <c r="N853" t="s">
        <v>1060</v>
      </c>
      <c r="O853" t="s">
        <v>1060</v>
      </c>
      <c r="P853" t="str">
        <f>VLOOKUP(O853,$AL$2:$AM$12,2,FALSE)</f>
        <v>North</v>
      </c>
      <c r="Q853" t="s">
        <v>1084</v>
      </c>
      <c r="R853">
        <v>12</v>
      </c>
      <c r="S853" t="s">
        <v>1079</v>
      </c>
      <c r="T853">
        <f t="shared" si="92"/>
        <v>1</v>
      </c>
      <c r="U853">
        <v>3.6</v>
      </c>
      <c r="V853">
        <f t="shared" si="93"/>
        <v>6</v>
      </c>
      <c r="W853" t="s">
        <v>1088</v>
      </c>
      <c r="X853" t="s">
        <v>1090</v>
      </c>
      <c r="Y853">
        <f t="shared" si="94"/>
        <v>0</v>
      </c>
      <c r="Z853" t="s">
        <v>1108</v>
      </c>
      <c r="AA853" t="str">
        <f t="shared" si="95"/>
        <v>Low</v>
      </c>
      <c r="AB853" t="s">
        <v>1103</v>
      </c>
      <c r="AC853" t="str">
        <f t="shared" si="96"/>
        <v>Yes</v>
      </c>
      <c r="AD853">
        <v>5</v>
      </c>
      <c r="AE853">
        <v>169404</v>
      </c>
      <c r="AF853">
        <v>67761.600000000006</v>
      </c>
      <c r="AG853">
        <f t="shared" si="97"/>
        <v>101638.79999999999</v>
      </c>
    </row>
    <row r="854" spans="1:33" x14ac:dyDescent="0.25">
      <c r="A854">
        <v>1853</v>
      </c>
      <c r="B854" s="1">
        <v>45638</v>
      </c>
      <c r="C854" s="1">
        <v>45639</v>
      </c>
      <c r="D854" s="1">
        <v>45646</v>
      </c>
      <c r="E854" t="s">
        <v>1065</v>
      </c>
      <c r="F854" t="s">
        <v>882</v>
      </c>
      <c r="G854" t="s">
        <v>1071</v>
      </c>
      <c r="H854" t="str">
        <f t="shared" si="91"/>
        <v>Clothing</v>
      </c>
      <c r="I854">
        <v>6</v>
      </c>
      <c r="J854" t="str">
        <f>VLOOKUP(K854,$AJ$2:$AK$7,2,FALSE)</f>
        <v>S002</v>
      </c>
      <c r="K854" t="s">
        <v>1098</v>
      </c>
      <c r="L854">
        <v>3.9</v>
      </c>
      <c r="M854" t="str">
        <f>IFERROR(VLOOKUP(TRIM(N854),$AP$2:$AQ$12,2,FALSE),"W001")</f>
        <v>W002</v>
      </c>
      <c r="N854" t="s">
        <v>1049</v>
      </c>
      <c r="O854" t="s">
        <v>1063</v>
      </c>
      <c r="P854" t="str">
        <f>VLOOKUP(O854,$AL$2:$AM$12,2,FALSE)</f>
        <v>South</v>
      </c>
      <c r="Q854" t="s">
        <v>1080</v>
      </c>
      <c r="R854">
        <v>644</v>
      </c>
      <c r="S854" t="s">
        <v>1066</v>
      </c>
      <c r="T854">
        <f t="shared" si="92"/>
        <v>4</v>
      </c>
      <c r="U854">
        <v>96.6</v>
      </c>
      <c r="V854">
        <f t="shared" si="93"/>
        <v>4</v>
      </c>
      <c r="W854" t="s">
        <v>1086</v>
      </c>
      <c r="X854" t="s">
        <v>1091</v>
      </c>
      <c r="Y854">
        <f t="shared" si="94"/>
        <v>96.6</v>
      </c>
      <c r="Z854" t="s">
        <v>1108</v>
      </c>
      <c r="AA854" t="str">
        <f t="shared" si="95"/>
        <v>Low</v>
      </c>
      <c r="AB854" t="s">
        <v>1103</v>
      </c>
      <c r="AC854" t="str">
        <f t="shared" si="96"/>
        <v>Yes</v>
      </c>
      <c r="AD854">
        <v>5</v>
      </c>
      <c r="AE854">
        <v>17454</v>
      </c>
      <c r="AF854">
        <v>6981.6</v>
      </c>
      <c r="AG854">
        <f t="shared" si="97"/>
        <v>10375.799999999999</v>
      </c>
    </row>
    <row r="855" spans="1:33" x14ac:dyDescent="0.25">
      <c r="A855">
        <v>1854</v>
      </c>
      <c r="B855" s="1">
        <v>44663</v>
      </c>
      <c r="C855" s="1">
        <v>44666</v>
      </c>
      <c r="D855" s="1">
        <v>44668</v>
      </c>
      <c r="E855" t="s">
        <v>1066</v>
      </c>
      <c r="F855" t="s">
        <v>883</v>
      </c>
      <c r="G855" t="s">
        <v>1067</v>
      </c>
      <c r="H855" t="str">
        <f t="shared" si="91"/>
        <v>Clothing</v>
      </c>
      <c r="I855">
        <v>1</v>
      </c>
      <c r="J855" t="str">
        <f>VLOOKUP(K855,$AJ$2:$AK$7,2,FALSE)</f>
        <v>S003</v>
      </c>
      <c r="K855" t="s">
        <v>1099</v>
      </c>
      <c r="L855">
        <v>3.1</v>
      </c>
      <c r="M855" t="str">
        <f>IFERROR(VLOOKUP(TRIM(N855),$AP$2:$AQ$12,2,FALSE),"W001")</f>
        <v>W005</v>
      </c>
      <c r="N855" t="s">
        <v>1055</v>
      </c>
      <c r="O855" t="s">
        <v>1051</v>
      </c>
      <c r="P855" t="str">
        <f>VLOOKUP(O855,$AL$2:$AM$12,2,FALSE)</f>
        <v>West</v>
      </c>
      <c r="Q855" t="s">
        <v>1083</v>
      </c>
      <c r="R855">
        <v>1602</v>
      </c>
      <c r="S855" t="s">
        <v>1078</v>
      </c>
      <c r="T855">
        <f t="shared" si="92"/>
        <v>3</v>
      </c>
      <c r="U855">
        <v>801</v>
      </c>
      <c r="V855">
        <f t="shared" si="93"/>
        <v>10</v>
      </c>
      <c r="W855" t="s">
        <v>1088</v>
      </c>
      <c r="X855" t="s">
        <v>1090</v>
      </c>
      <c r="Y855">
        <f t="shared" si="94"/>
        <v>0</v>
      </c>
      <c r="Z855" t="s">
        <v>1108</v>
      </c>
      <c r="AA855" t="str">
        <f t="shared" si="95"/>
        <v>Medium</v>
      </c>
      <c r="AB855" t="s">
        <v>1104</v>
      </c>
      <c r="AC855" t="str">
        <f t="shared" si="96"/>
        <v>Yes</v>
      </c>
      <c r="AD855">
        <v>2</v>
      </c>
      <c r="AE855">
        <v>570</v>
      </c>
      <c r="AF855">
        <v>228</v>
      </c>
      <c r="AG855">
        <f t="shared" si="97"/>
        <v>-459</v>
      </c>
    </row>
    <row r="856" spans="1:33" x14ac:dyDescent="0.25">
      <c r="A856">
        <v>1855</v>
      </c>
      <c r="B856" s="1">
        <v>44802</v>
      </c>
      <c r="C856" s="1">
        <v>44805</v>
      </c>
      <c r="D856" s="1">
        <v>44811</v>
      </c>
      <c r="E856" t="s">
        <v>1064</v>
      </c>
      <c r="F856" t="s">
        <v>884</v>
      </c>
      <c r="G856" t="s">
        <v>1070</v>
      </c>
      <c r="H856" t="str">
        <f t="shared" si="91"/>
        <v>Furniture</v>
      </c>
      <c r="I856">
        <v>1</v>
      </c>
      <c r="J856" t="str">
        <f>VLOOKUP(K856,$AJ$2:$AK$7,2,FALSE)</f>
        <v>S001</v>
      </c>
      <c r="K856" t="s">
        <v>1097</v>
      </c>
      <c r="L856">
        <v>4.9000000000000004</v>
      </c>
      <c r="M856" t="str">
        <f>IFERROR(VLOOKUP(TRIM(N856),$AP$2:$AQ$12,2,FALSE),"W001")</f>
        <v>W009</v>
      </c>
      <c r="N856" t="s">
        <v>1060</v>
      </c>
      <c r="O856" t="s">
        <v>1059</v>
      </c>
      <c r="P856" t="str">
        <f>VLOOKUP(O856,$AL$2:$AM$12,2,FALSE)</f>
        <v>North</v>
      </c>
      <c r="Q856" t="s">
        <v>1083</v>
      </c>
      <c r="R856">
        <v>442</v>
      </c>
      <c r="S856" t="s">
        <v>1066</v>
      </c>
      <c r="T856">
        <f t="shared" si="92"/>
        <v>2</v>
      </c>
      <c r="U856">
        <v>221</v>
      </c>
      <c r="V856">
        <f t="shared" si="93"/>
        <v>10</v>
      </c>
      <c r="W856" t="s">
        <v>1088</v>
      </c>
      <c r="X856" t="s">
        <v>1091</v>
      </c>
      <c r="Y856">
        <f t="shared" si="94"/>
        <v>0</v>
      </c>
      <c r="Z856" t="s">
        <v>1108</v>
      </c>
      <c r="AA856" t="str">
        <f t="shared" si="95"/>
        <v>Medium</v>
      </c>
      <c r="AB856" t="s">
        <v>1103</v>
      </c>
      <c r="AC856" t="str">
        <f t="shared" si="96"/>
        <v>Yes</v>
      </c>
      <c r="AD856">
        <v>5</v>
      </c>
      <c r="AE856">
        <v>4694</v>
      </c>
      <c r="AF856">
        <v>1877.6000000000001</v>
      </c>
      <c r="AG856">
        <f t="shared" si="97"/>
        <v>2595.3999999999996</v>
      </c>
    </row>
    <row r="857" spans="1:33" x14ac:dyDescent="0.25">
      <c r="A857">
        <v>1856</v>
      </c>
      <c r="B857" s="1">
        <v>45905</v>
      </c>
      <c r="C857" s="1">
        <v>45908</v>
      </c>
      <c r="D857" s="1">
        <v>45912</v>
      </c>
      <c r="E857" t="s">
        <v>1066</v>
      </c>
      <c r="F857" t="s">
        <v>885</v>
      </c>
      <c r="G857" t="s">
        <v>1068</v>
      </c>
      <c r="H857" t="str">
        <f t="shared" si="91"/>
        <v>Electronics</v>
      </c>
      <c r="I857">
        <v>6</v>
      </c>
      <c r="J857" t="str">
        <f>VLOOKUP(K857,$AJ$2:$AK$7,2,FALSE)</f>
        <v>S001</v>
      </c>
      <c r="K857" t="s">
        <v>1097</v>
      </c>
      <c r="L857">
        <v>3.3</v>
      </c>
      <c r="M857" t="str">
        <f>IFERROR(VLOOKUP(TRIM(N857),$AP$2:$AQ$12,2,FALSE),"W001")</f>
        <v>W004</v>
      </c>
      <c r="N857" t="s">
        <v>1053</v>
      </c>
      <c r="O857" t="s">
        <v>1063</v>
      </c>
      <c r="P857" t="str">
        <f>VLOOKUP(O857,$AL$2:$AM$12,2,FALSE)</f>
        <v>South</v>
      </c>
      <c r="Q857" t="s">
        <v>1085</v>
      </c>
      <c r="R857">
        <v>1191</v>
      </c>
      <c r="S857" t="s">
        <v>1078</v>
      </c>
      <c r="T857">
        <f t="shared" si="92"/>
        <v>9</v>
      </c>
      <c r="U857">
        <v>119.1</v>
      </c>
      <c r="V857">
        <f t="shared" si="93"/>
        <v>3</v>
      </c>
      <c r="W857" t="s">
        <v>1086</v>
      </c>
      <c r="X857" t="s">
        <v>1091</v>
      </c>
      <c r="Y857">
        <f t="shared" si="94"/>
        <v>119.1</v>
      </c>
      <c r="Z857" t="s">
        <v>1108</v>
      </c>
      <c r="AA857" t="str">
        <f t="shared" si="95"/>
        <v>Low</v>
      </c>
      <c r="AB857" t="s">
        <v>1103</v>
      </c>
      <c r="AC857" t="str">
        <f t="shared" si="96"/>
        <v>Yes</v>
      </c>
      <c r="AD857">
        <v>5</v>
      </c>
      <c r="AE857">
        <v>374088</v>
      </c>
      <c r="AF857">
        <v>149635.20000000001</v>
      </c>
      <c r="AG857">
        <f t="shared" si="97"/>
        <v>224333.69999999998</v>
      </c>
    </row>
    <row r="858" spans="1:33" x14ac:dyDescent="0.25">
      <c r="A858">
        <v>1857</v>
      </c>
      <c r="B858" s="1">
        <v>45753</v>
      </c>
      <c r="C858" s="1">
        <v>45755</v>
      </c>
      <c r="D858" s="1">
        <v>45759</v>
      </c>
      <c r="E858" t="s">
        <v>1066</v>
      </c>
      <c r="F858" t="s">
        <v>886</v>
      </c>
      <c r="G858" t="s">
        <v>1071</v>
      </c>
      <c r="H858" t="str">
        <f t="shared" si="91"/>
        <v>Clothing</v>
      </c>
      <c r="I858">
        <v>9</v>
      </c>
      <c r="J858" t="str">
        <f>VLOOKUP(K858,$AJ$2:$AK$7,2,FALSE)</f>
        <v>S004</v>
      </c>
      <c r="K858" t="s">
        <v>1100</v>
      </c>
      <c r="L858">
        <v>4.2</v>
      </c>
      <c r="M858" t="str">
        <f>IFERROR(VLOOKUP(TRIM(N858),$AP$2:$AQ$12,2,FALSE),"W001")</f>
        <v>W005</v>
      </c>
      <c r="N858" t="s">
        <v>1055</v>
      </c>
      <c r="O858" t="s">
        <v>1049</v>
      </c>
      <c r="P858" t="str">
        <f>VLOOKUP(O858,$AL$2:$AM$12,2,FALSE)</f>
        <v>North</v>
      </c>
      <c r="Q858" t="s">
        <v>1084</v>
      </c>
      <c r="R858">
        <v>619</v>
      </c>
      <c r="S858" t="s">
        <v>1066</v>
      </c>
      <c r="T858">
        <f t="shared" si="92"/>
        <v>3</v>
      </c>
      <c r="U858">
        <v>185.7</v>
      </c>
      <c r="V858">
        <f t="shared" si="93"/>
        <v>6</v>
      </c>
      <c r="W858" t="s">
        <v>1088</v>
      </c>
      <c r="X858" t="s">
        <v>1089</v>
      </c>
      <c r="Y858">
        <f t="shared" si="94"/>
        <v>0</v>
      </c>
      <c r="Z858" t="s">
        <v>1108</v>
      </c>
      <c r="AA858" t="str">
        <f t="shared" si="95"/>
        <v>Low</v>
      </c>
      <c r="AB858" t="s">
        <v>1103</v>
      </c>
      <c r="AC858" t="str">
        <f t="shared" si="96"/>
        <v>Yes</v>
      </c>
      <c r="AD858">
        <v>5</v>
      </c>
      <c r="AE858">
        <v>26253</v>
      </c>
      <c r="AF858">
        <v>10501.2</v>
      </c>
      <c r="AG858">
        <f t="shared" si="97"/>
        <v>15566.099999999999</v>
      </c>
    </row>
    <row r="859" spans="1:33" x14ac:dyDescent="0.25">
      <c r="A859">
        <v>1858</v>
      </c>
      <c r="B859" s="1">
        <v>44731</v>
      </c>
      <c r="C859" s="1">
        <v>44733</v>
      </c>
      <c r="D859" s="1">
        <v>44736</v>
      </c>
      <c r="E859" t="s">
        <v>1064</v>
      </c>
      <c r="F859" t="s">
        <v>887</v>
      </c>
      <c r="G859" t="s">
        <v>1070</v>
      </c>
      <c r="H859" t="str">
        <f t="shared" si="91"/>
        <v>Furniture</v>
      </c>
      <c r="I859">
        <v>1</v>
      </c>
      <c r="J859" t="str">
        <f>VLOOKUP(K859,$AJ$2:$AK$7,2,FALSE)</f>
        <v>S001</v>
      </c>
      <c r="K859" t="s">
        <v>1097</v>
      </c>
      <c r="L859">
        <v>3.3</v>
      </c>
      <c r="M859" t="str">
        <f>IFERROR(VLOOKUP(TRIM(N859),$AP$2:$AQ$12,2,FALSE),"W001")</f>
        <v>W004</v>
      </c>
      <c r="N859" t="s">
        <v>1053</v>
      </c>
      <c r="O859" t="s">
        <v>1047</v>
      </c>
      <c r="P859" t="str">
        <f>VLOOKUP(O859,$AL$2:$AM$12,2,FALSE)</f>
        <v>West</v>
      </c>
      <c r="Q859" t="s">
        <v>1083</v>
      </c>
      <c r="R859">
        <v>138</v>
      </c>
      <c r="S859" t="s">
        <v>1079</v>
      </c>
      <c r="T859">
        <f t="shared" si="92"/>
        <v>1</v>
      </c>
      <c r="U859">
        <v>69</v>
      </c>
      <c r="V859">
        <f t="shared" si="93"/>
        <v>10</v>
      </c>
      <c r="W859" t="s">
        <v>1088</v>
      </c>
      <c r="X859" t="s">
        <v>1090</v>
      </c>
      <c r="Y859">
        <f t="shared" si="94"/>
        <v>0</v>
      </c>
      <c r="Z859" t="s">
        <v>1108</v>
      </c>
      <c r="AA859" t="str">
        <f t="shared" si="95"/>
        <v>Medium</v>
      </c>
      <c r="AB859" t="s">
        <v>1103</v>
      </c>
      <c r="AC859" t="str">
        <f t="shared" si="96"/>
        <v>Yes</v>
      </c>
      <c r="AD859">
        <v>5</v>
      </c>
      <c r="AE859">
        <v>7263</v>
      </c>
      <c r="AF859">
        <v>2905.2000000000003</v>
      </c>
      <c r="AG859">
        <f t="shared" si="97"/>
        <v>4288.7999999999993</v>
      </c>
    </row>
    <row r="860" spans="1:33" x14ac:dyDescent="0.25">
      <c r="A860">
        <v>1859</v>
      </c>
      <c r="B860" s="1">
        <v>44680</v>
      </c>
      <c r="C860" s="1">
        <v>44683</v>
      </c>
      <c r="D860" s="1">
        <v>44688</v>
      </c>
      <c r="E860" t="s">
        <v>1064</v>
      </c>
      <c r="F860" t="s">
        <v>888</v>
      </c>
      <c r="G860" t="s">
        <v>1070</v>
      </c>
      <c r="H860" t="str">
        <f t="shared" si="91"/>
        <v>Furniture</v>
      </c>
      <c r="I860">
        <v>1</v>
      </c>
      <c r="J860" t="str">
        <f>VLOOKUP(K860,$AJ$2:$AK$7,2,FALSE)</f>
        <v>S006</v>
      </c>
      <c r="K860" t="s">
        <v>1102</v>
      </c>
      <c r="L860">
        <v>4.5</v>
      </c>
      <c r="M860" t="str">
        <f>IFERROR(VLOOKUP(TRIM(N860),$AP$2:$AQ$12,2,FALSE),"W001")</f>
        <v>W010</v>
      </c>
      <c r="N860" t="s">
        <v>1063</v>
      </c>
      <c r="O860" t="s">
        <v>1053</v>
      </c>
      <c r="P860" t="str">
        <f>VLOOKUP(O860,$AL$2:$AM$12,2,FALSE)</f>
        <v>South</v>
      </c>
      <c r="Q860" t="s">
        <v>1083</v>
      </c>
      <c r="R860">
        <v>911</v>
      </c>
      <c r="S860" t="s">
        <v>1078</v>
      </c>
      <c r="T860">
        <f t="shared" si="92"/>
        <v>2</v>
      </c>
      <c r="U860">
        <v>455.5</v>
      </c>
      <c r="V860">
        <f t="shared" si="93"/>
        <v>10</v>
      </c>
      <c r="W860" t="s">
        <v>1086</v>
      </c>
      <c r="X860" t="s">
        <v>1091</v>
      </c>
      <c r="Y860">
        <f t="shared" si="94"/>
        <v>455.5</v>
      </c>
      <c r="Z860" t="s">
        <v>1108</v>
      </c>
      <c r="AA860" t="str">
        <f t="shared" si="95"/>
        <v>Medium</v>
      </c>
      <c r="AB860" t="s">
        <v>1103</v>
      </c>
      <c r="AC860" t="str">
        <f t="shared" si="96"/>
        <v>Yes</v>
      </c>
      <c r="AD860">
        <v>5</v>
      </c>
      <c r="AE860">
        <v>3152</v>
      </c>
      <c r="AF860">
        <v>1260.8000000000002</v>
      </c>
      <c r="AG860">
        <f t="shared" si="97"/>
        <v>1435.6999999999998</v>
      </c>
    </row>
    <row r="861" spans="1:33" x14ac:dyDescent="0.25">
      <c r="A861">
        <v>1860</v>
      </c>
      <c r="B861" s="1">
        <v>44585</v>
      </c>
      <c r="C861" s="1">
        <v>44587</v>
      </c>
      <c r="D861" s="1">
        <v>44594</v>
      </c>
      <c r="E861" t="s">
        <v>1065</v>
      </c>
      <c r="F861" t="s">
        <v>889</v>
      </c>
      <c r="G861" t="s">
        <v>1068</v>
      </c>
      <c r="H861" t="str">
        <f t="shared" si="91"/>
        <v>Electronics</v>
      </c>
      <c r="I861">
        <v>4</v>
      </c>
      <c r="J861" t="str">
        <f>VLOOKUP(K861,$AJ$2:$AK$7,2,FALSE)</f>
        <v>S004</v>
      </c>
      <c r="K861" t="s">
        <v>1100</v>
      </c>
      <c r="L861">
        <v>3.8</v>
      </c>
      <c r="M861" t="str">
        <f>IFERROR(VLOOKUP(TRIM(N861),$AP$2:$AQ$12,2,FALSE),"W001")</f>
        <v>W003</v>
      </c>
      <c r="N861" t="s">
        <v>1051</v>
      </c>
      <c r="O861" t="s">
        <v>1049</v>
      </c>
      <c r="P861" t="str">
        <f>VLOOKUP(O861,$AL$2:$AM$12,2,FALSE)</f>
        <v>North</v>
      </c>
      <c r="Q861" t="s">
        <v>1080</v>
      </c>
      <c r="R861">
        <v>966</v>
      </c>
      <c r="S861" t="s">
        <v>1078</v>
      </c>
      <c r="T861">
        <f t="shared" si="92"/>
        <v>5</v>
      </c>
      <c r="U861">
        <v>144.9</v>
      </c>
      <c r="V861">
        <f t="shared" si="93"/>
        <v>4</v>
      </c>
      <c r="W861" t="s">
        <v>1087</v>
      </c>
      <c r="X861" t="s">
        <v>1091</v>
      </c>
      <c r="Y861">
        <f t="shared" si="94"/>
        <v>0</v>
      </c>
      <c r="Z861" t="s">
        <v>1108</v>
      </c>
      <c r="AA861" t="str">
        <f t="shared" si="95"/>
        <v>Low</v>
      </c>
      <c r="AB861" t="s">
        <v>1103</v>
      </c>
      <c r="AC861" t="str">
        <f t="shared" si="96"/>
        <v>Yes</v>
      </c>
      <c r="AD861">
        <v>5</v>
      </c>
      <c r="AE861">
        <v>183040</v>
      </c>
      <c r="AF861">
        <v>73216</v>
      </c>
      <c r="AG861">
        <f t="shared" si="97"/>
        <v>109679.1</v>
      </c>
    </row>
    <row r="862" spans="1:33" x14ac:dyDescent="0.25">
      <c r="A862">
        <v>1861</v>
      </c>
      <c r="B862" s="1">
        <v>45870</v>
      </c>
      <c r="C862" s="1">
        <v>45873</v>
      </c>
      <c r="D862" s="1">
        <v>45877</v>
      </c>
      <c r="E862" t="s">
        <v>1066</v>
      </c>
      <c r="F862" t="s">
        <v>890</v>
      </c>
      <c r="G862" t="s">
        <v>1072</v>
      </c>
      <c r="H862" t="str">
        <f t="shared" si="91"/>
        <v>Electronics</v>
      </c>
      <c r="I862">
        <v>9</v>
      </c>
      <c r="J862" t="str">
        <f>VLOOKUP(K862,$AJ$2:$AK$7,2,FALSE)</f>
        <v>S003</v>
      </c>
      <c r="K862" t="s">
        <v>1099</v>
      </c>
      <c r="L862">
        <v>3.9</v>
      </c>
      <c r="M862" t="str">
        <f>IFERROR(VLOOKUP(TRIM(N862),$AP$2:$AQ$12,2,FALSE),"W001")</f>
        <v>W005</v>
      </c>
      <c r="N862" t="s">
        <v>1055</v>
      </c>
      <c r="O862" t="s">
        <v>1062</v>
      </c>
      <c r="P862" t="str">
        <f>VLOOKUP(O862,$AL$2:$AM$12,2,FALSE)</f>
        <v>North</v>
      </c>
      <c r="Q862" t="s">
        <v>1083</v>
      </c>
      <c r="R862">
        <v>351</v>
      </c>
      <c r="S862" t="s">
        <v>1066</v>
      </c>
      <c r="T862">
        <f t="shared" si="92"/>
        <v>2</v>
      </c>
      <c r="U862">
        <v>175.5</v>
      </c>
      <c r="V862">
        <f t="shared" si="93"/>
        <v>10</v>
      </c>
      <c r="W862" t="s">
        <v>1086</v>
      </c>
      <c r="X862" t="s">
        <v>1091</v>
      </c>
      <c r="Y862">
        <f t="shared" si="94"/>
        <v>175.5</v>
      </c>
      <c r="Z862" t="s">
        <v>1108</v>
      </c>
      <c r="AA862" t="str">
        <f t="shared" si="95"/>
        <v>Medium</v>
      </c>
      <c r="AB862" t="s">
        <v>1103</v>
      </c>
      <c r="AC862" t="str">
        <f t="shared" si="96"/>
        <v>Yes</v>
      </c>
      <c r="AD862">
        <v>5</v>
      </c>
      <c r="AE862">
        <v>170046</v>
      </c>
      <c r="AF862">
        <v>68018.400000000009</v>
      </c>
      <c r="AG862">
        <f t="shared" si="97"/>
        <v>101852.09999999999</v>
      </c>
    </row>
    <row r="863" spans="1:33" x14ac:dyDescent="0.25">
      <c r="A863">
        <v>1862</v>
      </c>
      <c r="B863" s="1">
        <v>46332</v>
      </c>
      <c r="C863" s="1">
        <v>46334</v>
      </c>
      <c r="D863" s="1">
        <v>46340</v>
      </c>
      <c r="E863" t="s">
        <v>1065</v>
      </c>
      <c r="F863" t="s">
        <v>891</v>
      </c>
      <c r="G863" t="s">
        <v>1071</v>
      </c>
      <c r="H863" t="str">
        <f t="shared" si="91"/>
        <v>Clothing</v>
      </c>
      <c r="I863">
        <v>1</v>
      </c>
      <c r="J863" t="str">
        <f>VLOOKUP(K863,$AJ$2:$AK$7,2,FALSE)</f>
        <v>S001</v>
      </c>
      <c r="K863" t="s">
        <v>1097</v>
      </c>
      <c r="L863">
        <v>3</v>
      </c>
      <c r="M863" t="str">
        <f>IFERROR(VLOOKUP(TRIM(N863),$AP$2:$AQ$12,2,FALSE),"W001")</f>
        <v>W005</v>
      </c>
      <c r="N863" t="s">
        <v>1055</v>
      </c>
      <c r="O863" t="s">
        <v>1049</v>
      </c>
      <c r="P863" t="str">
        <f>VLOOKUP(O863,$AL$2:$AM$12,2,FALSE)</f>
        <v>North</v>
      </c>
      <c r="Q863" t="s">
        <v>1080</v>
      </c>
      <c r="R863">
        <v>428</v>
      </c>
      <c r="S863" t="s">
        <v>1066</v>
      </c>
      <c r="T863">
        <f t="shared" si="92"/>
        <v>3</v>
      </c>
      <c r="U863">
        <v>64.2</v>
      </c>
      <c r="V863">
        <f t="shared" si="93"/>
        <v>4</v>
      </c>
      <c r="W863" t="s">
        <v>1088</v>
      </c>
      <c r="X863" t="s">
        <v>1091</v>
      </c>
      <c r="Y863">
        <f t="shared" si="94"/>
        <v>0</v>
      </c>
      <c r="Z863" t="s">
        <v>1108</v>
      </c>
      <c r="AA863" t="str">
        <f t="shared" si="95"/>
        <v>Low</v>
      </c>
      <c r="AB863" t="s">
        <v>1103</v>
      </c>
      <c r="AC863" t="str">
        <f t="shared" si="96"/>
        <v>Yes</v>
      </c>
      <c r="AD863">
        <v>4</v>
      </c>
      <c r="AE863">
        <v>2811</v>
      </c>
      <c r="AF863">
        <v>1124.4000000000001</v>
      </c>
      <c r="AG863">
        <f t="shared" si="97"/>
        <v>1622.3999999999999</v>
      </c>
    </row>
    <row r="864" spans="1:33" x14ac:dyDescent="0.25">
      <c r="A864">
        <v>1863</v>
      </c>
      <c r="B864" s="1">
        <v>46177</v>
      </c>
      <c r="C864" s="1">
        <v>46179</v>
      </c>
      <c r="D864" s="1">
        <v>46181</v>
      </c>
      <c r="E864" t="s">
        <v>1066</v>
      </c>
      <c r="F864" t="s">
        <v>892</v>
      </c>
      <c r="G864" t="s">
        <v>1067</v>
      </c>
      <c r="H864" t="str">
        <f t="shared" si="91"/>
        <v>Clothing</v>
      </c>
      <c r="I864">
        <v>3</v>
      </c>
      <c r="J864" t="str">
        <f>VLOOKUP(K864,$AJ$2:$AK$7,2,FALSE)</f>
        <v>S002</v>
      </c>
      <c r="K864" t="s">
        <v>1098</v>
      </c>
      <c r="L864">
        <v>3</v>
      </c>
      <c r="M864" t="str">
        <f>IFERROR(VLOOKUP(TRIM(N864),$AP$2:$AQ$12,2,FALSE),"W001")</f>
        <v>W002</v>
      </c>
      <c r="N864" t="s">
        <v>1049</v>
      </c>
      <c r="O864" t="s">
        <v>1057</v>
      </c>
      <c r="P864" t="str">
        <f>VLOOKUP(O864,$AL$2:$AM$12,2,FALSE)</f>
        <v>South</v>
      </c>
      <c r="Q864" t="s">
        <v>1085</v>
      </c>
      <c r="R864">
        <v>1629</v>
      </c>
      <c r="S864" t="s">
        <v>1078</v>
      </c>
      <c r="T864">
        <f t="shared" si="92"/>
        <v>11</v>
      </c>
      <c r="U864">
        <v>162.9</v>
      </c>
      <c r="V864">
        <f t="shared" si="93"/>
        <v>3</v>
      </c>
      <c r="W864" t="s">
        <v>1087</v>
      </c>
      <c r="X864" t="s">
        <v>1091</v>
      </c>
      <c r="Y864">
        <f t="shared" si="94"/>
        <v>0</v>
      </c>
      <c r="Z864" t="s">
        <v>1108</v>
      </c>
      <c r="AA864" t="str">
        <f t="shared" si="95"/>
        <v>Low</v>
      </c>
      <c r="AB864" t="s">
        <v>1103</v>
      </c>
      <c r="AC864" t="str">
        <f t="shared" si="96"/>
        <v>Yes</v>
      </c>
      <c r="AD864">
        <v>5</v>
      </c>
      <c r="AE864">
        <v>4455</v>
      </c>
      <c r="AF864">
        <v>1782</v>
      </c>
      <c r="AG864">
        <f t="shared" si="97"/>
        <v>2510.1</v>
      </c>
    </row>
    <row r="865" spans="1:33" x14ac:dyDescent="0.25">
      <c r="A865">
        <v>1864</v>
      </c>
      <c r="B865" s="1">
        <v>44678</v>
      </c>
      <c r="C865" s="1">
        <v>44681</v>
      </c>
      <c r="D865" s="1">
        <v>44687</v>
      </c>
      <c r="E865" t="s">
        <v>1064</v>
      </c>
      <c r="F865" t="s">
        <v>893</v>
      </c>
      <c r="G865" t="s">
        <v>1071</v>
      </c>
      <c r="H865" t="str">
        <f t="shared" si="91"/>
        <v>Clothing</v>
      </c>
      <c r="I865">
        <v>9</v>
      </c>
      <c r="J865" t="str">
        <f>VLOOKUP(K865,$AJ$2:$AK$7,2,FALSE)</f>
        <v>S001</v>
      </c>
      <c r="K865" t="s">
        <v>1097</v>
      </c>
      <c r="L865">
        <v>5</v>
      </c>
      <c r="M865" t="str">
        <f>IFERROR(VLOOKUP(TRIM(N865),$AP$2:$AQ$12,2,FALSE),"W001")</f>
        <v>W007</v>
      </c>
      <c r="N865" t="s">
        <v>1062</v>
      </c>
      <c r="O865" t="s">
        <v>1057</v>
      </c>
      <c r="P865" t="str">
        <f>VLOOKUP(O865,$AL$2:$AM$12,2,FALSE)</f>
        <v>South</v>
      </c>
      <c r="Q865" t="s">
        <v>1085</v>
      </c>
      <c r="R865">
        <v>1644</v>
      </c>
      <c r="S865" t="s">
        <v>1078</v>
      </c>
      <c r="T865">
        <f t="shared" si="92"/>
        <v>11</v>
      </c>
      <c r="U865">
        <v>164.4</v>
      </c>
      <c r="V865">
        <f t="shared" si="93"/>
        <v>3</v>
      </c>
      <c r="W865" t="s">
        <v>1086</v>
      </c>
      <c r="X865" t="s">
        <v>1091</v>
      </c>
      <c r="Y865">
        <f t="shared" si="94"/>
        <v>164.4</v>
      </c>
      <c r="Z865" t="s">
        <v>1108</v>
      </c>
      <c r="AA865" t="str">
        <f t="shared" si="95"/>
        <v>Low</v>
      </c>
      <c r="AB865" t="s">
        <v>1103</v>
      </c>
      <c r="AC865" t="str">
        <f t="shared" si="96"/>
        <v>Yes</v>
      </c>
      <c r="AD865">
        <v>4</v>
      </c>
      <c r="AE865">
        <v>22662</v>
      </c>
      <c r="AF865">
        <v>9064.8000000000011</v>
      </c>
      <c r="AG865">
        <f t="shared" si="97"/>
        <v>13432.8</v>
      </c>
    </row>
    <row r="866" spans="1:33" x14ac:dyDescent="0.25">
      <c r="A866">
        <v>1865</v>
      </c>
      <c r="B866" s="1">
        <v>45053</v>
      </c>
      <c r="C866" s="1">
        <v>45056</v>
      </c>
      <c r="D866" s="1">
        <v>45060</v>
      </c>
      <c r="E866" t="s">
        <v>1064</v>
      </c>
      <c r="F866" t="s">
        <v>894</v>
      </c>
      <c r="G866" t="s">
        <v>1068</v>
      </c>
      <c r="H866" t="str">
        <f t="shared" si="91"/>
        <v>Electronics</v>
      </c>
      <c r="I866">
        <v>10</v>
      </c>
      <c r="J866" t="str">
        <f>VLOOKUP(K866,$AJ$2:$AK$7,2,FALSE)</f>
        <v>S004</v>
      </c>
      <c r="K866" t="s">
        <v>1100</v>
      </c>
      <c r="L866">
        <v>4.0999999999999996</v>
      </c>
      <c r="M866" t="str">
        <f>IFERROR(VLOOKUP(TRIM(N866),$AP$2:$AQ$12,2,FALSE),"W001")</f>
        <v>W010</v>
      </c>
      <c r="N866" t="s">
        <v>1063</v>
      </c>
      <c r="O866" t="s">
        <v>1049</v>
      </c>
      <c r="P866" t="str">
        <f>VLOOKUP(O866,$AL$2:$AM$12,2,FALSE)</f>
        <v>North</v>
      </c>
      <c r="Q866" t="s">
        <v>1083</v>
      </c>
      <c r="R866">
        <v>793</v>
      </c>
      <c r="S866" t="s">
        <v>1066</v>
      </c>
      <c r="T866">
        <f t="shared" si="92"/>
        <v>2</v>
      </c>
      <c r="U866">
        <v>396.5</v>
      </c>
      <c r="V866">
        <f t="shared" si="93"/>
        <v>10</v>
      </c>
      <c r="W866" t="s">
        <v>1086</v>
      </c>
      <c r="X866" t="s">
        <v>1091</v>
      </c>
      <c r="Y866">
        <f t="shared" si="94"/>
        <v>396.5</v>
      </c>
      <c r="Z866" t="s">
        <v>1108</v>
      </c>
      <c r="AA866" t="str">
        <f t="shared" si="95"/>
        <v>Medium</v>
      </c>
      <c r="AB866" t="s">
        <v>1103</v>
      </c>
      <c r="AC866" t="str">
        <f t="shared" si="96"/>
        <v>Yes</v>
      </c>
      <c r="AD866">
        <v>5</v>
      </c>
      <c r="AE866">
        <v>437630</v>
      </c>
      <c r="AF866">
        <v>175052</v>
      </c>
      <c r="AG866">
        <f t="shared" si="97"/>
        <v>262181.5</v>
      </c>
    </row>
    <row r="867" spans="1:33" x14ac:dyDescent="0.25">
      <c r="A867">
        <v>1866</v>
      </c>
      <c r="B867" s="1">
        <v>44574</v>
      </c>
      <c r="C867" s="1">
        <v>44575</v>
      </c>
      <c r="D867" s="1">
        <v>44581</v>
      </c>
      <c r="E867" t="s">
        <v>1065</v>
      </c>
      <c r="F867" t="s">
        <v>895</v>
      </c>
      <c r="G867" t="s">
        <v>1070</v>
      </c>
      <c r="H867" t="str">
        <f t="shared" si="91"/>
        <v>Furniture</v>
      </c>
      <c r="I867">
        <v>2</v>
      </c>
      <c r="J867" t="str">
        <f>VLOOKUP(K867,$AJ$2:$AK$7,2,FALSE)</f>
        <v>S001</v>
      </c>
      <c r="K867" t="s">
        <v>1097</v>
      </c>
      <c r="L867">
        <v>3.2</v>
      </c>
      <c r="M867" t="str">
        <f>IFERROR(VLOOKUP(TRIM(N867),$AP$2:$AQ$12,2,FALSE),"W001")</f>
        <v>W003</v>
      </c>
      <c r="N867" t="s">
        <v>1051</v>
      </c>
      <c r="O867" t="s">
        <v>1051</v>
      </c>
      <c r="P867" t="str">
        <f>VLOOKUP(O867,$AL$2:$AM$12,2,FALSE)</f>
        <v>West</v>
      </c>
      <c r="Q867" t="s">
        <v>1085</v>
      </c>
      <c r="R867">
        <v>49</v>
      </c>
      <c r="S867" t="s">
        <v>1079</v>
      </c>
      <c r="T867">
        <f t="shared" si="92"/>
        <v>3</v>
      </c>
      <c r="U867">
        <v>4.9000000000000004</v>
      </c>
      <c r="V867">
        <f t="shared" si="93"/>
        <v>3</v>
      </c>
      <c r="W867" t="s">
        <v>1088</v>
      </c>
      <c r="X867" t="s">
        <v>1091</v>
      </c>
      <c r="Y867">
        <f t="shared" si="94"/>
        <v>0</v>
      </c>
      <c r="Z867" t="s">
        <v>1108</v>
      </c>
      <c r="AA867" t="str">
        <f t="shared" si="95"/>
        <v>Low</v>
      </c>
      <c r="AB867" t="s">
        <v>1103</v>
      </c>
      <c r="AC867" t="str">
        <f t="shared" si="96"/>
        <v>Yes</v>
      </c>
      <c r="AD867">
        <v>5</v>
      </c>
      <c r="AE867">
        <v>12228</v>
      </c>
      <c r="AF867">
        <v>4891.2</v>
      </c>
      <c r="AG867">
        <f t="shared" si="97"/>
        <v>7331.9000000000005</v>
      </c>
    </row>
    <row r="868" spans="1:33" x14ac:dyDescent="0.25">
      <c r="A868">
        <v>1867</v>
      </c>
      <c r="B868" s="1">
        <v>46163</v>
      </c>
      <c r="C868" s="1">
        <v>46166</v>
      </c>
      <c r="D868" s="1">
        <v>46172</v>
      </c>
      <c r="E868" t="s">
        <v>1064</v>
      </c>
      <c r="F868" t="s">
        <v>896</v>
      </c>
      <c r="G868" t="s">
        <v>1068</v>
      </c>
      <c r="H868" t="str">
        <f t="shared" si="91"/>
        <v>Electronics</v>
      </c>
      <c r="I868">
        <v>8</v>
      </c>
      <c r="J868" t="str">
        <f>VLOOKUP(K868,$AJ$2:$AK$7,2,FALSE)</f>
        <v>S005</v>
      </c>
      <c r="K868" t="s">
        <v>1101</v>
      </c>
      <c r="L868">
        <v>4.0999999999999996</v>
      </c>
      <c r="M868" t="str">
        <f>IFERROR(VLOOKUP(TRIM(N868),$AP$2:$AQ$12,2,FALSE),"W001")</f>
        <v>W001</v>
      </c>
      <c r="N868" t="s">
        <v>1047</v>
      </c>
      <c r="O868" t="s">
        <v>1057</v>
      </c>
      <c r="P868" t="str">
        <f>VLOOKUP(O868,$AL$2:$AM$12,2,FALSE)</f>
        <v>South</v>
      </c>
      <c r="Q868" t="s">
        <v>1084</v>
      </c>
      <c r="R868">
        <v>173</v>
      </c>
      <c r="S868" t="s">
        <v>1079</v>
      </c>
      <c r="T868">
        <f t="shared" si="92"/>
        <v>1</v>
      </c>
      <c r="U868">
        <v>51.9</v>
      </c>
      <c r="V868">
        <f t="shared" si="93"/>
        <v>6</v>
      </c>
      <c r="W868" t="s">
        <v>1086</v>
      </c>
      <c r="X868" t="s">
        <v>1091</v>
      </c>
      <c r="Y868">
        <f t="shared" si="94"/>
        <v>51.9</v>
      </c>
      <c r="Z868" t="s">
        <v>1108</v>
      </c>
      <c r="AA868" t="str">
        <f t="shared" si="95"/>
        <v>Low</v>
      </c>
      <c r="AB868" t="s">
        <v>1103</v>
      </c>
      <c r="AC868" t="str">
        <f t="shared" si="96"/>
        <v>Yes</v>
      </c>
      <c r="AD868">
        <v>4</v>
      </c>
      <c r="AE868">
        <v>509504</v>
      </c>
      <c r="AF868">
        <v>203801.60000000001</v>
      </c>
      <c r="AG868">
        <f t="shared" si="97"/>
        <v>305650.5</v>
      </c>
    </row>
    <row r="869" spans="1:33" x14ac:dyDescent="0.25">
      <c r="A869">
        <v>1868</v>
      </c>
      <c r="B869" s="1">
        <v>45176</v>
      </c>
      <c r="C869" s="1">
        <v>45178</v>
      </c>
      <c r="D869" s="1">
        <v>45183</v>
      </c>
      <c r="E869" t="s">
        <v>1065</v>
      </c>
      <c r="F869" t="s">
        <v>897</v>
      </c>
      <c r="G869" t="s">
        <v>1072</v>
      </c>
      <c r="H869" t="str">
        <f t="shared" si="91"/>
        <v>Electronics</v>
      </c>
      <c r="I869">
        <v>3</v>
      </c>
      <c r="J869" t="str">
        <f>VLOOKUP(K869,$AJ$2:$AK$7,2,FALSE)</f>
        <v>S004</v>
      </c>
      <c r="K869" t="s">
        <v>1100</v>
      </c>
      <c r="L869">
        <v>4.2</v>
      </c>
      <c r="M869" t="str">
        <f>IFERROR(VLOOKUP(TRIM(N869),$AP$2:$AQ$12,2,FALSE),"W001")</f>
        <v>W003</v>
      </c>
      <c r="N869" t="s">
        <v>1051</v>
      </c>
      <c r="O869" t="s">
        <v>1059</v>
      </c>
      <c r="P869" t="str">
        <f>VLOOKUP(O869,$AL$2:$AM$12,2,FALSE)</f>
        <v>North</v>
      </c>
      <c r="Q869" t="s">
        <v>1082</v>
      </c>
      <c r="R869">
        <v>446</v>
      </c>
      <c r="S869" t="s">
        <v>1066</v>
      </c>
      <c r="T869">
        <f t="shared" si="92"/>
        <v>2</v>
      </c>
      <c r="U869">
        <v>178.4</v>
      </c>
      <c r="V869">
        <f t="shared" si="93"/>
        <v>8</v>
      </c>
      <c r="W869" t="s">
        <v>1086</v>
      </c>
      <c r="X869" t="s">
        <v>1091</v>
      </c>
      <c r="Y869">
        <f t="shared" si="94"/>
        <v>178.4</v>
      </c>
      <c r="Z869" t="s">
        <v>1108</v>
      </c>
      <c r="AA869" t="str">
        <f t="shared" si="95"/>
        <v>Medium</v>
      </c>
      <c r="AB869" t="s">
        <v>1103</v>
      </c>
      <c r="AC869" t="str">
        <f t="shared" si="96"/>
        <v>Yes</v>
      </c>
      <c r="AD869">
        <v>4</v>
      </c>
      <c r="AE869">
        <v>42255</v>
      </c>
      <c r="AF869">
        <v>16902</v>
      </c>
      <c r="AG869">
        <f t="shared" si="97"/>
        <v>25174.6</v>
      </c>
    </row>
    <row r="870" spans="1:33" x14ac:dyDescent="0.25">
      <c r="A870">
        <v>1869</v>
      </c>
      <c r="B870" s="1">
        <v>45443</v>
      </c>
      <c r="C870" s="1">
        <v>45444</v>
      </c>
      <c r="D870" s="1">
        <v>45450</v>
      </c>
      <c r="E870" t="s">
        <v>1064</v>
      </c>
      <c r="F870" t="s">
        <v>898</v>
      </c>
      <c r="G870" t="s">
        <v>1068</v>
      </c>
      <c r="H870" t="str">
        <f t="shared" si="91"/>
        <v>Electronics</v>
      </c>
      <c r="I870">
        <v>2</v>
      </c>
      <c r="J870" t="str">
        <f>VLOOKUP(K870,$AJ$2:$AK$7,2,FALSE)</f>
        <v>S006</v>
      </c>
      <c r="K870" t="s">
        <v>1102</v>
      </c>
      <c r="L870">
        <v>4.7</v>
      </c>
      <c r="M870" t="str">
        <f>IFERROR(VLOOKUP(TRIM(N870),$AP$2:$AQ$12,2,FALSE),"W001")</f>
        <v>W009</v>
      </c>
      <c r="N870" t="s">
        <v>1060</v>
      </c>
      <c r="O870" t="s">
        <v>1057</v>
      </c>
      <c r="P870" t="str">
        <f>VLOOKUP(O870,$AL$2:$AM$12,2,FALSE)</f>
        <v>South</v>
      </c>
      <c r="Q870" t="s">
        <v>1082</v>
      </c>
      <c r="R870">
        <v>320</v>
      </c>
      <c r="S870" t="s">
        <v>1066</v>
      </c>
      <c r="T870">
        <f t="shared" si="92"/>
        <v>2</v>
      </c>
      <c r="U870">
        <v>128</v>
      </c>
      <c r="V870">
        <f t="shared" si="93"/>
        <v>8</v>
      </c>
      <c r="W870" t="s">
        <v>1088</v>
      </c>
      <c r="X870" t="s">
        <v>1089</v>
      </c>
      <c r="Y870">
        <f t="shared" si="94"/>
        <v>0</v>
      </c>
      <c r="Z870" t="s">
        <v>1108</v>
      </c>
      <c r="AA870" t="str">
        <f t="shared" si="95"/>
        <v>Medium</v>
      </c>
      <c r="AB870" t="s">
        <v>1104</v>
      </c>
      <c r="AC870" t="str">
        <f t="shared" si="96"/>
        <v>Yes</v>
      </c>
      <c r="AD870">
        <v>1</v>
      </c>
      <c r="AE870">
        <v>106066</v>
      </c>
      <c r="AF870">
        <v>42426.400000000001</v>
      </c>
      <c r="AG870">
        <f t="shared" si="97"/>
        <v>63511.6</v>
      </c>
    </row>
    <row r="871" spans="1:33" x14ac:dyDescent="0.25">
      <c r="A871">
        <v>1870</v>
      </c>
      <c r="B871" s="1">
        <v>44397</v>
      </c>
      <c r="C871" s="1">
        <v>44400</v>
      </c>
      <c r="D871" s="1">
        <v>44404</v>
      </c>
      <c r="E871" t="s">
        <v>1064</v>
      </c>
      <c r="F871" t="s">
        <v>899</v>
      </c>
      <c r="G871" t="s">
        <v>1070</v>
      </c>
      <c r="H871" t="str">
        <f t="shared" si="91"/>
        <v>Furniture</v>
      </c>
      <c r="I871">
        <v>1</v>
      </c>
      <c r="J871" t="str">
        <f>VLOOKUP(K871,$AJ$2:$AK$7,2,FALSE)</f>
        <v>S002</v>
      </c>
      <c r="K871" t="s">
        <v>1098</v>
      </c>
      <c r="L871">
        <v>3.2</v>
      </c>
      <c r="M871" t="str">
        <f>IFERROR(VLOOKUP(TRIM(N871),$AP$2:$AQ$12,2,FALSE),"W001")</f>
        <v>W008</v>
      </c>
      <c r="N871" t="s">
        <v>1061</v>
      </c>
      <c r="O871" t="s">
        <v>1055</v>
      </c>
      <c r="P871" t="str">
        <f>VLOOKUP(O871,$AL$2:$AM$12,2,FALSE)</f>
        <v>South</v>
      </c>
      <c r="Q871" t="s">
        <v>1085</v>
      </c>
      <c r="R871">
        <v>1208</v>
      </c>
      <c r="S871" t="s">
        <v>1078</v>
      </c>
      <c r="T871">
        <f t="shared" si="92"/>
        <v>9</v>
      </c>
      <c r="U871">
        <v>120.8</v>
      </c>
      <c r="V871">
        <f t="shared" si="93"/>
        <v>3</v>
      </c>
      <c r="W871" t="s">
        <v>1088</v>
      </c>
      <c r="X871" t="s">
        <v>1089</v>
      </c>
      <c r="Y871">
        <f t="shared" si="94"/>
        <v>0</v>
      </c>
      <c r="Z871" t="s">
        <v>1108</v>
      </c>
      <c r="AA871" t="str">
        <f t="shared" si="95"/>
        <v>Low</v>
      </c>
      <c r="AB871" t="s">
        <v>1103</v>
      </c>
      <c r="AC871" t="str">
        <f t="shared" si="96"/>
        <v>Yes</v>
      </c>
      <c r="AD871">
        <v>4</v>
      </c>
      <c r="AE871">
        <v>4185</v>
      </c>
      <c r="AF871">
        <v>1674</v>
      </c>
      <c r="AG871">
        <f t="shared" si="97"/>
        <v>2390.1999999999998</v>
      </c>
    </row>
    <row r="872" spans="1:33" x14ac:dyDescent="0.25">
      <c r="A872">
        <v>1871</v>
      </c>
      <c r="B872" s="1">
        <v>45520</v>
      </c>
      <c r="C872" s="1">
        <v>45523</v>
      </c>
      <c r="D872" s="1">
        <v>45526</v>
      </c>
      <c r="E872" t="s">
        <v>1064</v>
      </c>
      <c r="F872" t="s">
        <v>900</v>
      </c>
      <c r="G872" t="s">
        <v>1067</v>
      </c>
      <c r="H872" t="str">
        <f t="shared" si="91"/>
        <v>Clothing</v>
      </c>
      <c r="I872">
        <v>8</v>
      </c>
      <c r="J872" t="str">
        <f>VLOOKUP(K872,$AJ$2:$AK$7,2,FALSE)</f>
        <v>S001</v>
      </c>
      <c r="K872" t="s">
        <v>1097</v>
      </c>
      <c r="L872">
        <v>4.8</v>
      </c>
      <c r="M872" t="str">
        <f>IFERROR(VLOOKUP(TRIM(N872),$AP$2:$AQ$12,2,FALSE),"W001")</f>
        <v>W007</v>
      </c>
      <c r="N872" t="s">
        <v>1062</v>
      </c>
      <c r="O872" t="s">
        <v>1049</v>
      </c>
      <c r="P872" t="str">
        <f>VLOOKUP(O872,$AL$2:$AM$12,2,FALSE)</f>
        <v>North</v>
      </c>
      <c r="Q872" t="s">
        <v>1083</v>
      </c>
      <c r="R872">
        <v>1234</v>
      </c>
      <c r="S872" t="s">
        <v>1078</v>
      </c>
      <c r="T872">
        <f t="shared" si="92"/>
        <v>3</v>
      </c>
      <c r="U872">
        <v>617</v>
      </c>
      <c r="V872">
        <f t="shared" si="93"/>
        <v>10</v>
      </c>
      <c r="W872" t="s">
        <v>1086</v>
      </c>
      <c r="X872" t="s">
        <v>1091</v>
      </c>
      <c r="Y872">
        <f t="shared" si="94"/>
        <v>617</v>
      </c>
      <c r="Z872" t="s">
        <v>1108</v>
      </c>
      <c r="AA872" t="str">
        <f t="shared" si="95"/>
        <v>Medium</v>
      </c>
      <c r="AB872" t="s">
        <v>1103</v>
      </c>
      <c r="AC872" t="str">
        <f t="shared" si="96"/>
        <v>Yes</v>
      </c>
      <c r="AD872">
        <v>4</v>
      </c>
      <c r="AE872">
        <v>6256</v>
      </c>
      <c r="AF872">
        <v>2502.4</v>
      </c>
      <c r="AG872">
        <f t="shared" si="97"/>
        <v>3136.6</v>
      </c>
    </row>
    <row r="873" spans="1:33" x14ac:dyDescent="0.25">
      <c r="A873">
        <v>1872</v>
      </c>
      <c r="B873" s="1">
        <v>44635</v>
      </c>
      <c r="C873" s="1">
        <v>44638</v>
      </c>
      <c r="D873" s="1">
        <v>44641</v>
      </c>
      <c r="E873" t="s">
        <v>1066</v>
      </c>
      <c r="F873" t="s">
        <v>901</v>
      </c>
      <c r="G873" t="s">
        <v>1072</v>
      </c>
      <c r="H873" t="str">
        <f t="shared" si="91"/>
        <v>Electronics</v>
      </c>
      <c r="I873">
        <v>7</v>
      </c>
      <c r="J873" t="str">
        <f>VLOOKUP(K873,$AJ$2:$AK$7,2,FALSE)</f>
        <v>S002</v>
      </c>
      <c r="K873" t="s">
        <v>1098</v>
      </c>
      <c r="L873">
        <v>4.7</v>
      </c>
      <c r="M873" t="str">
        <f>IFERROR(VLOOKUP(TRIM(N873),$AP$2:$AQ$12,2,FALSE),"W001")</f>
        <v>W009</v>
      </c>
      <c r="N873" t="s">
        <v>1060</v>
      </c>
      <c r="O873" t="s">
        <v>1062</v>
      </c>
      <c r="P873" t="str">
        <f>VLOOKUP(O873,$AL$2:$AM$12,2,FALSE)</f>
        <v>North</v>
      </c>
      <c r="Q873" t="s">
        <v>1084</v>
      </c>
      <c r="R873">
        <v>1600</v>
      </c>
      <c r="S873" t="s">
        <v>1078</v>
      </c>
      <c r="T873">
        <f t="shared" si="92"/>
        <v>6</v>
      </c>
      <c r="U873">
        <v>480</v>
      </c>
      <c r="V873">
        <f t="shared" si="93"/>
        <v>6</v>
      </c>
      <c r="W873" t="s">
        <v>1086</v>
      </c>
      <c r="X873" t="s">
        <v>1091</v>
      </c>
      <c r="Y873">
        <f t="shared" si="94"/>
        <v>480</v>
      </c>
      <c r="Z873" t="s">
        <v>1109</v>
      </c>
      <c r="AA873" t="str">
        <f t="shared" si="95"/>
        <v>High</v>
      </c>
      <c r="AB873" t="s">
        <v>1104</v>
      </c>
      <c r="AC873" t="str">
        <f t="shared" si="96"/>
        <v>No</v>
      </c>
      <c r="AD873">
        <v>1</v>
      </c>
      <c r="AE873">
        <v>196014</v>
      </c>
      <c r="AF873">
        <v>78405.600000000006</v>
      </c>
      <c r="AG873">
        <f t="shared" si="97"/>
        <v>117128.4</v>
      </c>
    </row>
    <row r="874" spans="1:33" x14ac:dyDescent="0.25">
      <c r="A874">
        <v>1873</v>
      </c>
      <c r="B874" s="1">
        <v>45876</v>
      </c>
      <c r="C874" s="1">
        <v>45878</v>
      </c>
      <c r="D874" s="1">
        <v>45881</v>
      </c>
      <c r="E874" t="s">
        <v>1065</v>
      </c>
      <c r="F874" t="s">
        <v>902</v>
      </c>
      <c r="G874" t="s">
        <v>1070</v>
      </c>
      <c r="H874" t="str">
        <f t="shared" si="91"/>
        <v>Furniture</v>
      </c>
      <c r="I874">
        <v>10</v>
      </c>
      <c r="J874" t="str">
        <f>VLOOKUP(K874,$AJ$2:$AK$7,2,FALSE)</f>
        <v>S001</v>
      </c>
      <c r="K874" t="s">
        <v>1097</v>
      </c>
      <c r="L874">
        <v>4.0999999999999996</v>
      </c>
      <c r="M874" t="str">
        <f>IFERROR(VLOOKUP(TRIM(N874),$AP$2:$AQ$12,2,FALSE),"W001")</f>
        <v>W005</v>
      </c>
      <c r="N874" t="s">
        <v>1055</v>
      </c>
      <c r="O874" t="s">
        <v>1061</v>
      </c>
      <c r="P874" t="str">
        <f>VLOOKUP(O874,$AL$2:$AM$12,2,FALSE)</f>
        <v>West</v>
      </c>
      <c r="Q874" t="s">
        <v>1085</v>
      </c>
      <c r="R874">
        <v>1798</v>
      </c>
      <c r="S874" t="s">
        <v>1078</v>
      </c>
      <c r="T874">
        <f t="shared" si="92"/>
        <v>12</v>
      </c>
      <c r="U874">
        <v>179.8</v>
      </c>
      <c r="V874">
        <f t="shared" si="93"/>
        <v>3</v>
      </c>
      <c r="W874" t="s">
        <v>1088</v>
      </c>
      <c r="X874" t="s">
        <v>1091</v>
      </c>
      <c r="Y874">
        <f t="shared" si="94"/>
        <v>0</v>
      </c>
      <c r="Z874" t="s">
        <v>1108</v>
      </c>
      <c r="AA874" t="str">
        <f t="shared" si="95"/>
        <v>Low</v>
      </c>
      <c r="AB874" t="s">
        <v>1103</v>
      </c>
      <c r="AC874" t="str">
        <f t="shared" si="96"/>
        <v>Yes</v>
      </c>
      <c r="AD874">
        <v>4</v>
      </c>
      <c r="AE874">
        <v>51140</v>
      </c>
      <c r="AF874">
        <v>20456</v>
      </c>
      <c r="AG874">
        <f t="shared" si="97"/>
        <v>30504.2</v>
      </c>
    </row>
    <row r="875" spans="1:33" x14ac:dyDescent="0.25">
      <c r="A875">
        <v>1874</v>
      </c>
      <c r="B875" s="1">
        <v>45694</v>
      </c>
      <c r="C875" s="1">
        <v>45695</v>
      </c>
      <c r="D875" s="1">
        <v>45697</v>
      </c>
      <c r="E875" t="s">
        <v>1065</v>
      </c>
      <c r="F875" t="s">
        <v>903</v>
      </c>
      <c r="G875" t="s">
        <v>1070</v>
      </c>
      <c r="H875" t="str">
        <f t="shared" si="91"/>
        <v>Furniture</v>
      </c>
      <c r="I875">
        <v>2</v>
      </c>
      <c r="J875" t="str">
        <f>VLOOKUP(K875,$AJ$2:$AK$7,2,FALSE)</f>
        <v>S001</v>
      </c>
      <c r="K875" t="s">
        <v>1097</v>
      </c>
      <c r="L875">
        <v>3.1</v>
      </c>
      <c r="M875" t="str">
        <f>IFERROR(VLOOKUP(TRIM(N875),$AP$2:$AQ$12,2,FALSE),"W001")</f>
        <v>W004</v>
      </c>
      <c r="N875" t="s">
        <v>1053</v>
      </c>
      <c r="O875" t="s">
        <v>1062</v>
      </c>
      <c r="P875" t="str">
        <f>VLOOKUP(O875,$AL$2:$AM$12,2,FALSE)</f>
        <v>North</v>
      </c>
      <c r="Q875" t="s">
        <v>1080</v>
      </c>
      <c r="R875">
        <v>489</v>
      </c>
      <c r="S875" t="s">
        <v>1066</v>
      </c>
      <c r="T875">
        <f t="shared" si="92"/>
        <v>4</v>
      </c>
      <c r="U875">
        <v>73.349999999999994</v>
      </c>
      <c r="V875">
        <f t="shared" si="93"/>
        <v>4</v>
      </c>
      <c r="W875" t="s">
        <v>1086</v>
      </c>
      <c r="X875" t="s">
        <v>1091</v>
      </c>
      <c r="Y875">
        <f t="shared" si="94"/>
        <v>73.349999999999994</v>
      </c>
      <c r="Z875" t="s">
        <v>1108</v>
      </c>
      <c r="AA875" t="str">
        <f t="shared" si="95"/>
        <v>Low</v>
      </c>
      <c r="AB875" t="s">
        <v>1103</v>
      </c>
      <c r="AC875" t="str">
        <f t="shared" si="96"/>
        <v>Yes</v>
      </c>
      <c r="AD875">
        <v>5</v>
      </c>
      <c r="AE875">
        <v>15506</v>
      </c>
      <c r="AF875">
        <v>6202.4000000000005</v>
      </c>
      <c r="AG875">
        <f t="shared" si="97"/>
        <v>9230.2499999999982</v>
      </c>
    </row>
    <row r="876" spans="1:33" x14ac:dyDescent="0.25">
      <c r="A876">
        <v>1875</v>
      </c>
      <c r="B876" s="1">
        <v>44607</v>
      </c>
      <c r="C876" s="1">
        <v>44608</v>
      </c>
      <c r="D876" s="1">
        <v>44610</v>
      </c>
      <c r="E876" t="s">
        <v>1066</v>
      </c>
      <c r="F876" t="s">
        <v>904</v>
      </c>
      <c r="G876" t="s">
        <v>1070</v>
      </c>
      <c r="H876" t="str">
        <f t="shared" si="91"/>
        <v>Furniture</v>
      </c>
      <c r="I876">
        <v>5</v>
      </c>
      <c r="J876" t="str">
        <f>VLOOKUP(K876,$AJ$2:$AK$7,2,FALSE)</f>
        <v>S006</v>
      </c>
      <c r="K876" t="s">
        <v>1102</v>
      </c>
      <c r="L876">
        <v>4.5</v>
      </c>
      <c r="M876" t="str">
        <f>IFERROR(VLOOKUP(TRIM(N876),$AP$2:$AQ$12,2,FALSE),"W001")</f>
        <v>W007</v>
      </c>
      <c r="N876" t="s">
        <v>1062</v>
      </c>
      <c r="O876" t="s">
        <v>1060</v>
      </c>
      <c r="P876" t="str">
        <f>VLOOKUP(O876,$AL$2:$AM$12,2,FALSE)</f>
        <v>North</v>
      </c>
      <c r="Q876" t="s">
        <v>1080</v>
      </c>
      <c r="R876">
        <v>684</v>
      </c>
      <c r="S876" t="s">
        <v>1066</v>
      </c>
      <c r="T876">
        <f t="shared" si="92"/>
        <v>4</v>
      </c>
      <c r="U876">
        <v>102.6</v>
      </c>
      <c r="V876">
        <f t="shared" si="93"/>
        <v>4</v>
      </c>
      <c r="W876" t="s">
        <v>1088</v>
      </c>
      <c r="X876" t="s">
        <v>1091</v>
      </c>
      <c r="Y876">
        <f t="shared" si="94"/>
        <v>0</v>
      </c>
      <c r="Z876" t="s">
        <v>1108</v>
      </c>
      <c r="AA876" t="str">
        <f t="shared" si="95"/>
        <v>Low</v>
      </c>
      <c r="AB876" t="s">
        <v>1103</v>
      </c>
      <c r="AC876" t="str">
        <f t="shared" si="96"/>
        <v>Yes</v>
      </c>
      <c r="AD876">
        <v>4</v>
      </c>
      <c r="AE876">
        <v>18000</v>
      </c>
      <c r="AF876">
        <v>7200</v>
      </c>
      <c r="AG876">
        <f t="shared" si="97"/>
        <v>10697.4</v>
      </c>
    </row>
    <row r="877" spans="1:33" x14ac:dyDescent="0.25">
      <c r="A877">
        <v>1876</v>
      </c>
      <c r="B877" s="1">
        <v>44514</v>
      </c>
      <c r="C877" s="1">
        <v>44517</v>
      </c>
      <c r="D877" s="1">
        <v>44522</v>
      </c>
      <c r="E877" t="s">
        <v>1064</v>
      </c>
      <c r="F877" t="s">
        <v>905</v>
      </c>
      <c r="G877" t="s">
        <v>1068</v>
      </c>
      <c r="H877" t="str">
        <f t="shared" si="91"/>
        <v>Electronics</v>
      </c>
      <c r="I877">
        <v>1</v>
      </c>
      <c r="J877" t="str">
        <f>VLOOKUP(K877,$AJ$2:$AK$7,2,FALSE)</f>
        <v>S001</v>
      </c>
      <c r="K877" t="s">
        <v>1097</v>
      </c>
      <c r="L877">
        <v>4</v>
      </c>
      <c r="M877" t="str">
        <f>IFERROR(VLOOKUP(TRIM(N877),$AP$2:$AQ$12,2,FALSE),"W001")</f>
        <v>W003</v>
      </c>
      <c r="N877" t="s">
        <v>1051</v>
      </c>
      <c r="O877" t="s">
        <v>1051</v>
      </c>
      <c r="P877" t="str">
        <f>VLOOKUP(O877,$AL$2:$AM$12,2,FALSE)</f>
        <v>West</v>
      </c>
      <c r="Q877" t="s">
        <v>1085</v>
      </c>
      <c r="R877">
        <v>15</v>
      </c>
      <c r="S877" t="s">
        <v>1079</v>
      </c>
      <c r="T877">
        <f t="shared" si="92"/>
        <v>3</v>
      </c>
      <c r="U877">
        <v>1.5</v>
      </c>
      <c r="V877">
        <f t="shared" si="93"/>
        <v>3</v>
      </c>
      <c r="W877" t="s">
        <v>1088</v>
      </c>
      <c r="X877" t="s">
        <v>1091</v>
      </c>
      <c r="Y877">
        <f t="shared" si="94"/>
        <v>0</v>
      </c>
      <c r="Z877" t="s">
        <v>1108</v>
      </c>
      <c r="AA877" t="str">
        <f t="shared" si="95"/>
        <v>Low</v>
      </c>
      <c r="AB877" t="s">
        <v>1103</v>
      </c>
      <c r="AC877" t="str">
        <f t="shared" si="96"/>
        <v>Yes</v>
      </c>
      <c r="AD877">
        <v>4</v>
      </c>
      <c r="AE877">
        <v>51037</v>
      </c>
      <c r="AF877">
        <v>20414.800000000003</v>
      </c>
      <c r="AG877">
        <f t="shared" si="97"/>
        <v>30620.699999999997</v>
      </c>
    </row>
    <row r="878" spans="1:33" x14ac:dyDescent="0.25">
      <c r="A878">
        <v>1877</v>
      </c>
      <c r="B878" s="1">
        <v>46012</v>
      </c>
      <c r="C878" s="1">
        <v>46013</v>
      </c>
      <c r="D878" s="1">
        <v>46019</v>
      </c>
      <c r="E878" t="s">
        <v>1065</v>
      </c>
      <c r="F878" t="s">
        <v>906</v>
      </c>
      <c r="G878" t="s">
        <v>1071</v>
      </c>
      <c r="H878" t="str">
        <f t="shared" si="91"/>
        <v>Clothing</v>
      </c>
      <c r="I878">
        <v>1</v>
      </c>
      <c r="J878" t="str">
        <f>VLOOKUP(K878,$AJ$2:$AK$7,2,FALSE)</f>
        <v>S002</v>
      </c>
      <c r="K878" t="s">
        <v>1098</v>
      </c>
      <c r="L878">
        <v>4.7</v>
      </c>
      <c r="M878" t="str">
        <f>IFERROR(VLOOKUP(TRIM(N878),$AP$2:$AQ$12,2,FALSE),"W001")</f>
        <v>W008</v>
      </c>
      <c r="N878" t="s">
        <v>1061</v>
      </c>
      <c r="O878" t="s">
        <v>1061</v>
      </c>
      <c r="P878" t="str">
        <f>VLOOKUP(O878,$AL$2:$AM$12,2,FALSE)</f>
        <v>West</v>
      </c>
      <c r="Q878" t="s">
        <v>1080</v>
      </c>
      <c r="R878">
        <v>29</v>
      </c>
      <c r="S878" t="s">
        <v>1079</v>
      </c>
      <c r="T878">
        <f t="shared" si="92"/>
        <v>2</v>
      </c>
      <c r="U878">
        <v>4.3499999999999996</v>
      </c>
      <c r="V878">
        <f t="shared" si="93"/>
        <v>4</v>
      </c>
      <c r="W878" t="s">
        <v>1087</v>
      </c>
      <c r="X878" t="s">
        <v>1091</v>
      </c>
      <c r="Y878">
        <f t="shared" si="94"/>
        <v>0</v>
      </c>
      <c r="Z878" t="s">
        <v>1108</v>
      </c>
      <c r="AA878" t="str">
        <f t="shared" si="95"/>
        <v>Low</v>
      </c>
      <c r="AB878" t="s">
        <v>1103</v>
      </c>
      <c r="AC878" t="str">
        <f t="shared" si="96"/>
        <v>Yes</v>
      </c>
      <c r="AD878">
        <v>4</v>
      </c>
      <c r="AE878">
        <v>1387</v>
      </c>
      <c r="AF878">
        <v>554.80000000000007</v>
      </c>
      <c r="AG878">
        <f t="shared" si="97"/>
        <v>827.84999999999991</v>
      </c>
    </row>
    <row r="879" spans="1:33" x14ac:dyDescent="0.25">
      <c r="A879">
        <v>1878</v>
      </c>
      <c r="B879" s="1">
        <v>46383</v>
      </c>
      <c r="C879" s="1">
        <v>46384</v>
      </c>
      <c r="D879" s="1">
        <v>46390</v>
      </c>
      <c r="E879" t="s">
        <v>1066</v>
      </c>
      <c r="F879" t="s">
        <v>907</v>
      </c>
      <c r="G879" t="s">
        <v>1069</v>
      </c>
      <c r="H879" t="str">
        <f t="shared" si="91"/>
        <v>Furniture</v>
      </c>
      <c r="I879">
        <v>6</v>
      </c>
      <c r="J879" t="str">
        <f>VLOOKUP(K879,$AJ$2:$AK$7,2,FALSE)</f>
        <v>S004</v>
      </c>
      <c r="K879" t="s">
        <v>1100</v>
      </c>
      <c r="L879">
        <v>4.2</v>
      </c>
      <c r="M879" t="str">
        <f>IFERROR(VLOOKUP(TRIM(N879),$AP$2:$AQ$12,2,FALSE),"W001")</f>
        <v>W005</v>
      </c>
      <c r="N879" t="s">
        <v>1055</v>
      </c>
      <c r="O879" t="s">
        <v>1057</v>
      </c>
      <c r="P879" t="str">
        <f>VLOOKUP(O879,$AL$2:$AM$12,2,FALSE)</f>
        <v>South</v>
      </c>
      <c r="Q879" t="s">
        <v>1083</v>
      </c>
      <c r="R879">
        <v>1305</v>
      </c>
      <c r="S879" t="s">
        <v>1078</v>
      </c>
      <c r="T879">
        <f t="shared" si="92"/>
        <v>3</v>
      </c>
      <c r="U879">
        <v>652.5</v>
      </c>
      <c r="V879">
        <f t="shared" si="93"/>
        <v>10</v>
      </c>
      <c r="W879" t="s">
        <v>1087</v>
      </c>
      <c r="X879" t="s">
        <v>1091</v>
      </c>
      <c r="Y879">
        <f t="shared" si="94"/>
        <v>0</v>
      </c>
      <c r="Z879" t="s">
        <v>1108</v>
      </c>
      <c r="AA879" t="str">
        <f t="shared" si="95"/>
        <v>Medium</v>
      </c>
      <c r="AB879" t="s">
        <v>1103</v>
      </c>
      <c r="AC879" t="str">
        <f t="shared" si="96"/>
        <v>Yes</v>
      </c>
      <c r="AD879">
        <v>4</v>
      </c>
      <c r="AE879">
        <v>80886</v>
      </c>
      <c r="AF879">
        <v>32354.400000000001</v>
      </c>
      <c r="AG879">
        <f t="shared" si="97"/>
        <v>47879.1</v>
      </c>
    </row>
    <row r="880" spans="1:33" x14ac:dyDescent="0.25">
      <c r="A880">
        <v>1879</v>
      </c>
      <c r="B880" s="1">
        <v>44610</v>
      </c>
      <c r="C880" s="1">
        <v>44613</v>
      </c>
      <c r="D880" s="1">
        <v>44617</v>
      </c>
      <c r="E880" t="s">
        <v>1066</v>
      </c>
      <c r="F880" t="s">
        <v>908</v>
      </c>
      <c r="G880" t="s">
        <v>1070</v>
      </c>
      <c r="H880" t="str">
        <f t="shared" si="91"/>
        <v>Furniture</v>
      </c>
      <c r="I880">
        <v>1</v>
      </c>
      <c r="J880" t="str">
        <f>VLOOKUP(K880,$AJ$2:$AK$7,2,FALSE)</f>
        <v>S004</v>
      </c>
      <c r="K880" t="s">
        <v>1100</v>
      </c>
      <c r="L880">
        <v>4.5999999999999996</v>
      </c>
      <c r="M880" t="str">
        <f>IFERROR(VLOOKUP(TRIM(N880),$AP$2:$AQ$12,2,FALSE),"W001")</f>
        <v>W007</v>
      </c>
      <c r="N880" t="s">
        <v>1062</v>
      </c>
      <c r="O880" t="s">
        <v>1057</v>
      </c>
      <c r="P880" t="str">
        <f>VLOOKUP(O880,$AL$2:$AM$12,2,FALSE)</f>
        <v>South</v>
      </c>
      <c r="Q880" t="s">
        <v>1083</v>
      </c>
      <c r="R880">
        <v>1312</v>
      </c>
      <c r="S880" t="s">
        <v>1078</v>
      </c>
      <c r="T880">
        <f t="shared" si="92"/>
        <v>3</v>
      </c>
      <c r="U880">
        <v>656</v>
      </c>
      <c r="V880">
        <f t="shared" si="93"/>
        <v>10</v>
      </c>
      <c r="W880" t="s">
        <v>1088</v>
      </c>
      <c r="X880" t="s">
        <v>1089</v>
      </c>
      <c r="Y880">
        <f t="shared" si="94"/>
        <v>0</v>
      </c>
      <c r="Z880" t="s">
        <v>1108</v>
      </c>
      <c r="AA880" t="str">
        <f t="shared" si="95"/>
        <v>Medium</v>
      </c>
      <c r="AB880" t="s">
        <v>1104</v>
      </c>
      <c r="AC880" t="str">
        <f t="shared" si="96"/>
        <v>Yes</v>
      </c>
      <c r="AD880">
        <v>1</v>
      </c>
      <c r="AE880">
        <v>3728</v>
      </c>
      <c r="AF880">
        <v>1491.2</v>
      </c>
      <c r="AG880">
        <f t="shared" si="97"/>
        <v>1580.8000000000002</v>
      </c>
    </row>
    <row r="881" spans="1:33" x14ac:dyDescent="0.25">
      <c r="A881">
        <v>1880</v>
      </c>
      <c r="B881" s="1">
        <v>45032</v>
      </c>
      <c r="C881" s="1">
        <v>45033</v>
      </c>
      <c r="D881" s="1">
        <v>45039</v>
      </c>
      <c r="E881" t="s">
        <v>1064</v>
      </c>
      <c r="F881" t="s">
        <v>909</v>
      </c>
      <c r="G881" t="s">
        <v>1070</v>
      </c>
      <c r="H881" t="str">
        <f t="shared" si="91"/>
        <v>Furniture</v>
      </c>
      <c r="I881">
        <v>7</v>
      </c>
      <c r="J881" t="str">
        <f>VLOOKUP(K881,$AJ$2:$AK$7,2,FALSE)</f>
        <v>S006</v>
      </c>
      <c r="K881" t="s">
        <v>1102</v>
      </c>
      <c r="L881">
        <v>4.5999999999999996</v>
      </c>
      <c r="M881" t="str">
        <f>IFERROR(VLOOKUP(TRIM(N881),$AP$2:$AQ$12,2,FALSE),"W001")</f>
        <v>W007</v>
      </c>
      <c r="N881" t="s">
        <v>1062</v>
      </c>
      <c r="O881" t="s">
        <v>1062</v>
      </c>
      <c r="P881" t="str">
        <f>VLOOKUP(O881,$AL$2:$AM$12,2,FALSE)</f>
        <v>North</v>
      </c>
      <c r="Q881" t="s">
        <v>1085</v>
      </c>
      <c r="R881">
        <v>21</v>
      </c>
      <c r="S881" t="s">
        <v>1079</v>
      </c>
      <c r="T881">
        <f t="shared" si="92"/>
        <v>3</v>
      </c>
      <c r="U881">
        <v>2.1</v>
      </c>
      <c r="V881">
        <f t="shared" si="93"/>
        <v>3</v>
      </c>
      <c r="W881" t="s">
        <v>1087</v>
      </c>
      <c r="X881" t="s">
        <v>1090</v>
      </c>
      <c r="Y881">
        <f t="shared" si="94"/>
        <v>0</v>
      </c>
      <c r="Z881" t="s">
        <v>1108</v>
      </c>
      <c r="AA881" t="str">
        <f t="shared" si="95"/>
        <v>Low</v>
      </c>
      <c r="AB881" t="s">
        <v>1103</v>
      </c>
      <c r="AC881" t="str">
        <f t="shared" si="96"/>
        <v>Yes</v>
      </c>
      <c r="AD881">
        <v>4</v>
      </c>
      <c r="AE881">
        <v>41552</v>
      </c>
      <c r="AF881">
        <v>16620.8</v>
      </c>
      <c r="AG881">
        <f t="shared" si="97"/>
        <v>24929.100000000002</v>
      </c>
    </row>
    <row r="882" spans="1:33" x14ac:dyDescent="0.25">
      <c r="A882">
        <v>1881</v>
      </c>
      <c r="B882" s="1">
        <v>45067</v>
      </c>
      <c r="C882" s="1">
        <v>45068</v>
      </c>
      <c r="D882" s="1">
        <v>45072</v>
      </c>
      <c r="E882" t="s">
        <v>1064</v>
      </c>
      <c r="F882" t="s">
        <v>910</v>
      </c>
      <c r="G882" t="s">
        <v>1070</v>
      </c>
      <c r="H882" t="str">
        <f t="shared" si="91"/>
        <v>Furniture</v>
      </c>
      <c r="I882">
        <v>2</v>
      </c>
      <c r="J882" t="str">
        <f>VLOOKUP(K882,$AJ$2:$AK$7,2,FALSE)</f>
        <v>S006</v>
      </c>
      <c r="K882" t="s">
        <v>1102</v>
      </c>
      <c r="L882">
        <v>4.8</v>
      </c>
      <c r="M882" t="str">
        <f>IFERROR(VLOOKUP(TRIM(N882),$AP$2:$AQ$12,2,FALSE),"W001")</f>
        <v>W007</v>
      </c>
      <c r="N882" t="s">
        <v>1062</v>
      </c>
      <c r="O882" t="s">
        <v>1061</v>
      </c>
      <c r="P882" t="str">
        <f>VLOOKUP(O882,$AL$2:$AM$12,2,FALSE)</f>
        <v>West</v>
      </c>
      <c r="Q882" t="s">
        <v>1080</v>
      </c>
      <c r="R882">
        <v>1956</v>
      </c>
      <c r="S882" t="s">
        <v>1078</v>
      </c>
      <c r="T882">
        <f t="shared" si="92"/>
        <v>9</v>
      </c>
      <c r="U882">
        <v>293.39999999999998</v>
      </c>
      <c r="V882">
        <f t="shared" si="93"/>
        <v>4</v>
      </c>
      <c r="W882" t="s">
        <v>1087</v>
      </c>
      <c r="X882" t="s">
        <v>1090</v>
      </c>
      <c r="Y882">
        <f t="shared" si="94"/>
        <v>0</v>
      </c>
      <c r="Z882" t="s">
        <v>1109</v>
      </c>
      <c r="AA882" t="str">
        <f t="shared" si="95"/>
        <v>High</v>
      </c>
      <c r="AB882" t="s">
        <v>1103</v>
      </c>
      <c r="AC882" t="str">
        <f t="shared" si="96"/>
        <v>No</v>
      </c>
      <c r="AD882">
        <v>3</v>
      </c>
      <c r="AE882">
        <v>5604</v>
      </c>
      <c r="AF882">
        <v>2241.6</v>
      </c>
      <c r="AG882">
        <f t="shared" si="97"/>
        <v>3069</v>
      </c>
    </row>
    <row r="883" spans="1:33" x14ac:dyDescent="0.25">
      <c r="A883">
        <v>1882</v>
      </c>
      <c r="B883" s="1">
        <v>44210</v>
      </c>
      <c r="C883" s="1">
        <v>44212</v>
      </c>
      <c r="D883" s="1">
        <v>44216</v>
      </c>
      <c r="E883" t="s">
        <v>1065</v>
      </c>
      <c r="F883" t="s">
        <v>911</v>
      </c>
      <c r="G883" t="s">
        <v>1067</v>
      </c>
      <c r="H883" t="str">
        <f t="shared" si="91"/>
        <v>Clothing</v>
      </c>
      <c r="I883">
        <v>8</v>
      </c>
      <c r="J883" t="str">
        <f>VLOOKUP(K883,$AJ$2:$AK$7,2,FALSE)</f>
        <v>S002</v>
      </c>
      <c r="K883" t="s">
        <v>1098</v>
      </c>
      <c r="L883">
        <v>3.6</v>
      </c>
      <c r="M883" t="str">
        <f>IFERROR(VLOOKUP(TRIM(N883),$AP$2:$AQ$12,2,FALSE),"W001")</f>
        <v>W002</v>
      </c>
      <c r="N883" t="s">
        <v>1049</v>
      </c>
      <c r="O883" t="s">
        <v>1055</v>
      </c>
      <c r="P883" t="str">
        <f>VLOOKUP(O883,$AL$2:$AM$12,2,FALSE)</f>
        <v>South</v>
      </c>
      <c r="Q883" t="s">
        <v>1083</v>
      </c>
      <c r="R883">
        <v>170</v>
      </c>
      <c r="S883" t="s">
        <v>1079</v>
      </c>
      <c r="T883">
        <f t="shared" si="92"/>
        <v>1</v>
      </c>
      <c r="U883">
        <v>85</v>
      </c>
      <c r="V883">
        <f t="shared" si="93"/>
        <v>10</v>
      </c>
      <c r="W883" t="s">
        <v>1086</v>
      </c>
      <c r="X883" t="s">
        <v>1091</v>
      </c>
      <c r="Y883">
        <f t="shared" si="94"/>
        <v>85</v>
      </c>
      <c r="Z883" t="s">
        <v>1108</v>
      </c>
      <c r="AA883" t="str">
        <f t="shared" si="95"/>
        <v>Medium</v>
      </c>
      <c r="AB883" t="s">
        <v>1103</v>
      </c>
      <c r="AC883" t="str">
        <f t="shared" si="96"/>
        <v>Yes</v>
      </c>
      <c r="AD883">
        <v>4</v>
      </c>
      <c r="AE883">
        <v>7776</v>
      </c>
      <c r="AF883">
        <v>3110.4</v>
      </c>
      <c r="AG883">
        <f t="shared" si="97"/>
        <v>4580.6000000000004</v>
      </c>
    </row>
    <row r="884" spans="1:33" x14ac:dyDescent="0.25">
      <c r="A884">
        <v>1883</v>
      </c>
      <c r="B884" s="1">
        <v>46181</v>
      </c>
      <c r="C884" s="1">
        <v>46182</v>
      </c>
      <c r="D884" s="1">
        <v>46189</v>
      </c>
      <c r="E884" t="s">
        <v>1066</v>
      </c>
      <c r="F884" t="s">
        <v>912</v>
      </c>
      <c r="G884" t="s">
        <v>1071</v>
      </c>
      <c r="H884" t="str">
        <f t="shared" si="91"/>
        <v>Clothing</v>
      </c>
      <c r="I884">
        <v>4</v>
      </c>
      <c r="J884" t="str">
        <f>VLOOKUP(K884,$AJ$2:$AK$7,2,FALSE)</f>
        <v>S003</v>
      </c>
      <c r="K884" t="s">
        <v>1099</v>
      </c>
      <c r="L884">
        <v>4.8</v>
      </c>
      <c r="M884" t="str">
        <f>IFERROR(VLOOKUP(TRIM(N884),$AP$2:$AQ$12,2,FALSE),"W001")</f>
        <v>W007</v>
      </c>
      <c r="N884" t="s">
        <v>1062</v>
      </c>
      <c r="O884" t="s">
        <v>1063</v>
      </c>
      <c r="P884" t="str">
        <f>VLOOKUP(O884,$AL$2:$AM$12,2,FALSE)</f>
        <v>South</v>
      </c>
      <c r="Q884" t="s">
        <v>1081</v>
      </c>
      <c r="R884">
        <v>476</v>
      </c>
      <c r="S884" t="s">
        <v>1066</v>
      </c>
      <c r="T884">
        <f t="shared" si="92"/>
        <v>3</v>
      </c>
      <c r="U884">
        <v>95.2</v>
      </c>
      <c r="V884">
        <f t="shared" si="93"/>
        <v>5</v>
      </c>
      <c r="W884" t="s">
        <v>1088</v>
      </c>
      <c r="X884" t="s">
        <v>1091</v>
      </c>
      <c r="Y884">
        <f t="shared" si="94"/>
        <v>0</v>
      </c>
      <c r="Z884" t="s">
        <v>1108</v>
      </c>
      <c r="AA884" t="str">
        <f t="shared" si="95"/>
        <v>Low</v>
      </c>
      <c r="AB884" t="s">
        <v>1103</v>
      </c>
      <c r="AC884" t="str">
        <f t="shared" si="96"/>
        <v>Yes</v>
      </c>
      <c r="AD884">
        <v>4</v>
      </c>
      <c r="AE884">
        <v>5168</v>
      </c>
      <c r="AF884">
        <v>2067.2000000000003</v>
      </c>
      <c r="AG884">
        <f t="shared" si="97"/>
        <v>3005.6</v>
      </c>
    </row>
    <row r="885" spans="1:33" x14ac:dyDescent="0.25">
      <c r="A885">
        <v>1884</v>
      </c>
      <c r="B885" s="1">
        <v>45689</v>
      </c>
      <c r="C885" s="1">
        <v>45692</v>
      </c>
      <c r="D885" s="1">
        <v>45697</v>
      </c>
      <c r="E885" t="s">
        <v>1066</v>
      </c>
      <c r="F885" t="s">
        <v>913</v>
      </c>
      <c r="G885" t="s">
        <v>1069</v>
      </c>
      <c r="H885" t="str">
        <f t="shared" si="91"/>
        <v>Furniture</v>
      </c>
      <c r="I885">
        <v>5</v>
      </c>
      <c r="J885" t="str">
        <f>VLOOKUP(K885,$AJ$2:$AK$7,2,FALSE)</f>
        <v>S005</v>
      </c>
      <c r="K885" t="s">
        <v>1101</v>
      </c>
      <c r="L885">
        <v>4.2</v>
      </c>
      <c r="M885" t="str">
        <f>IFERROR(VLOOKUP(TRIM(N885),$AP$2:$AQ$12,2,FALSE),"W001")</f>
        <v>W007</v>
      </c>
      <c r="N885" t="s">
        <v>1062</v>
      </c>
      <c r="O885" t="s">
        <v>1057</v>
      </c>
      <c r="P885" t="str">
        <f>VLOOKUP(O885,$AL$2:$AM$12,2,FALSE)</f>
        <v>South</v>
      </c>
      <c r="Q885" t="s">
        <v>1080</v>
      </c>
      <c r="R885">
        <v>362</v>
      </c>
      <c r="S885" t="s">
        <v>1066</v>
      </c>
      <c r="T885">
        <f t="shared" si="92"/>
        <v>3</v>
      </c>
      <c r="U885">
        <v>54.3</v>
      </c>
      <c r="V885">
        <f t="shared" si="93"/>
        <v>4</v>
      </c>
      <c r="W885" t="s">
        <v>1086</v>
      </c>
      <c r="X885" t="s">
        <v>1091</v>
      </c>
      <c r="Y885">
        <f t="shared" si="94"/>
        <v>54.3</v>
      </c>
      <c r="Z885" t="s">
        <v>1108</v>
      </c>
      <c r="AA885" t="str">
        <f t="shared" si="95"/>
        <v>Low</v>
      </c>
      <c r="AB885" t="s">
        <v>1103</v>
      </c>
      <c r="AC885" t="str">
        <f t="shared" si="96"/>
        <v>Yes</v>
      </c>
      <c r="AD885">
        <v>5</v>
      </c>
      <c r="AE885">
        <v>57450</v>
      </c>
      <c r="AF885">
        <v>22980</v>
      </c>
      <c r="AG885">
        <f t="shared" si="97"/>
        <v>34415.699999999997</v>
      </c>
    </row>
    <row r="886" spans="1:33" x14ac:dyDescent="0.25">
      <c r="A886">
        <v>1885</v>
      </c>
      <c r="B886" s="1">
        <v>46309</v>
      </c>
      <c r="C886" s="1">
        <v>46311</v>
      </c>
      <c r="D886" s="1">
        <v>46318</v>
      </c>
      <c r="E886" t="s">
        <v>1064</v>
      </c>
      <c r="F886" t="s">
        <v>914</v>
      </c>
      <c r="G886" t="s">
        <v>1071</v>
      </c>
      <c r="H886" t="str">
        <f t="shared" si="91"/>
        <v>Clothing</v>
      </c>
      <c r="I886">
        <v>5</v>
      </c>
      <c r="J886" t="str">
        <f>VLOOKUP(K886,$AJ$2:$AK$7,2,FALSE)</f>
        <v>S003</v>
      </c>
      <c r="K886" t="s">
        <v>1099</v>
      </c>
      <c r="L886">
        <v>4.2</v>
      </c>
      <c r="M886" t="str">
        <f>IFERROR(VLOOKUP(TRIM(N886),$AP$2:$AQ$12,2,FALSE),"W001")</f>
        <v>W003</v>
      </c>
      <c r="N886" t="s">
        <v>1051</v>
      </c>
      <c r="O886" t="s">
        <v>1060</v>
      </c>
      <c r="P886" t="str">
        <f>VLOOKUP(O886,$AL$2:$AM$12,2,FALSE)</f>
        <v>North</v>
      </c>
      <c r="Q886" t="s">
        <v>1080</v>
      </c>
      <c r="R886">
        <v>426</v>
      </c>
      <c r="S886" t="s">
        <v>1066</v>
      </c>
      <c r="T886">
        <f t="shared" si="92"/>
        <v>3</v>
      </c>
      <c r="U886">
        <v>63.9</v>
      </c>
      <c r="V886">
        <f t="shared" si="93"/>
        <v>4</v>
      </c>
      <c r="W886" t="s">
        <v>1087</v>
      </c>
      <c r="X886" t="s">
        <v>1090</v>
      </c>
      <c r="Y886">
        <f t="shared" si="94"/>
        <v>0</v>
      </c>
      <c r="Z886" t="s">
        <v>1108</v>
      </c>
      <c r="AA886" t="str">
        <f t="shared" si="95"/>
        <v>Low</v>
      </c>
      <c r="AB886" t="s">
        <v>1103</v>
      </c>
      <c r="AC886" t="str">
        <f t="shared" si="96"/>
        <v>Yes</v>
      </c>
      <c r="AD886">
        <v>5</v>
      </c>
      <c r="AE886">
        <v>9345</v>
      </c>
      <c r="AF886">
        <v>3738</v>
      </c>
      <c r="AG886">
        <f t="shared" si="97"/>
        <v>5543.1</v>
      </c>
    </row>
    <row r="887" spans="1:33" x14ac:dyDescent="0.25">
      <c r="A887">
        <v>1886</v>
      </c>
      <c r="B887" s="1">
        <v>45114</v>
      </c>
      <c r="C887" s="1">
        <v>45115</v>
      </c>
      <c r="D887" s="1">
        <v>45119</v>
      </c>
      <c r="E887" t="s">
        <v>1065</v>
      </c>
      <c r="F887" t="s">
        <v>915</v>
      </c>
      <c r="G887" t="s">
        <v>1068</v>
      </c>
      <c r="H887" t="str">
        <f t="shared" si="91"/>
        <v>Electronics</v>
      </c>
      <c r="I887">
        <v>1</v>
      </c>
      <c r="J887" t="str">
        <f>VLOOKUP(K887,$AJ$2:$AK$7,2,FALSE)</f>
        <v>S005</v>
      </c>
      <c r="K887" t="s">
        <v>1101</v>
      </c>
      <c r="L887">
        <v>3</v>
      </c>
      <c r="M887" t="str">
        <f>IFERROR(VLOOKUP(TRIM(N887),$AP$2:$AQ$12,2,FALSE),"W001")</f>
        <v>W003</v>
      </c>
      <c r="N887" t="s">
        <v>1051</v>
      </c>
      <c r="O887" t="s">
        <v>1049</v>
      </c>
      <c r="P887" t="str">
        <f>VLOOKUP(O887,$AL$2:$AM$12,2,FALSE)</f>
        <v>North</v>
      </c>
      <c r="Q887" t="s">
        <v>1080</v>
      </c>
      <c r="R887">
        <v>1367</v>
      </c>
      <c r="S887" t="s">
        <v>1078</v>
      </c>
      <c r="T887">
        <f t="shared" si="92"/>
        <v>7</v>
      </c>
      <c r="U887">
        <v>205.05</v>
      </c>
      <c r="V887">
        <f t="shared" si="93"/>
        <v>4</v>
      </c>
      <c r="W887" t="s">
        <v>1087</v>
      </c>
      <c r="X887" t="s">
        <v>1091</v>
      </c>
      <c r="Y887">
        <f t="shared" si="94"/>
        <v>0</v>
      </c>
      <c r="Z887" t="s">
        <v>1108</v>
      </c>
      <c r="AA887" t="str">
        <f t="shared" si="95"/>
        <v>Low</v>
      </c>
      <c r="AB887" t="s">
        <v>1103</v>
      </c>
      <c r="AC887" t="str">
        <f t="shared" si="96"/>
        <v>Yes</v>
      </c>
      <c r="AD887">
        <v>5</v>
      </c>
      <c r="AE887">
        <v>62463</v>
      </c>
      <c r="AF887">
        <v>24985.200000000001</v>
      </c>
      <c r="AG887">
        <f t="shared" si="97"/>
        <v>37272.75</v>
      </c>
    </row>
    <row r="888" spans="1:33" x14ac:dyDescent="0.25">
      <c r="A888">
        <v>1887</v>
      </c>
      <c r="B888" s="1">
        <v>45305</v>
      </c>
      <c r="C888" s="1">
        <v>45308</v>
      </c>
      <c r="D888" s="1">
        <v>45313</v>
      </c>
      <c r="E888" t="s">
        <v>1065</v>
      </c>
      <c r="F888" t="s">
        <v>916</v>
      </c>
      <c r="G888" t="s">
        <v>1070</v>
      </c>
      <c r="H888" t="str">
        <f t="shared" si="91"/>
        <v>Furniture</v>
      </c>
      <c r="I888">
        <v>4</v>
      </c>
      <c r="J888" t="str">
        <f>VLOOKUP(K888,$AJ$2:$AK$7,2,FALSE)</f>
        <v>S001</v>
      </c>
      <c r="K888" t="s">
        <v>1097</v>
      </c>
      <c r="L888">
        <v>4.7</v>
      </c>
      <c r="M888" t="str">
        <f>IFERROR(VLOOKUP(TRIM(N888),$AP$2:$AQ$12,2,FALSE),"W001")</f>
        <v>W002</v>
      </c>
      <c r="N888" t="s">
        <v>1049</v>
      </c>
      <c r="O888" t="s">
        <v>1049</v>
      </c>
      <c r="P888" t="str">
        <f>VLOOKUP(O888,$AL$2:$AM$12,2,FALSE)</f>
        <v>North</v>
      </c>
      <c r="Q888" t="s">
        <v>1085</v>
      </c>
      <c r="R888">
        <v>50</v>
      </c>
      <c r="S888" t="s">
        <v>1079</v>
      </c>
      <c r="T888">
        <f t="shared" si="92"/>
        <v>3</v>
      </c>
      <c r="U888">
        <v>5</v>
      </c>
      <c r="V888">
        <f t="shared" si="93"/>
        <v>3</v>
      </c>
      <c r="W888" t="s">
        <v>1086</v>
      </c>
      <c r="X888" t="s">
        <v>1089</v>
      </c>
      <c r="Y888">
        <f t="shared" si="94"/>
        <v>5</v>
      </c>
      <c r="Z888" t="s">
        <v>1108</v>
      </c>
      <c r="AA888" t="str">
        <f t="shared" si="95"/>
        <v>Low</v>
      </c>
      <c r="AB888" t="s">
        <v>1103</v>
      </c>
      <c r="AC888" t="str">
        <f t="shared" si="96"/>
        <v>Yes</v>
      </c>
      <c r="AD888">
        <v>5</v>
      </c>
      <c r="AE888">
        <v>27124</v>
      </c>
      <c r="AF888">
        <v>10849.6</v>
      </c>
      <c r="AG888">
        <f t="shared" si="97"/>
        <v>16269.4</v>
      </c>
    </row>
    <row r="889" spans="1:33" x14ac:dyDescent="0.25">
      <c r="A889">
        <v>1888</v>
      </c>
      <c r="B889" s="1">
        <v>45201</v>
      </c>
      <c r="C889" s="1">
        <v>45203</v>
      </c>
      <c r="D889" s="1">
        <v>45210</v>
      </c>
      <c r="E889" t="s">
        <v>1065</v>
      </c>
      <c r="F889" t="s">
        <v>917</v>
      </c>
      <c r="G889" t="s">
        <v>1071</v>
      </c>
      <c r="H889" t="str">
        <f t="shared" si="91"/>
        <v>Clothing</v>
      </c>
      <c r="I889">
        <v>3</v>
      </c>
      <c r="J889" t="str">
        <f>VLOOKUP(K889,$AJ$2:$AK$7,2,FALSE)</f>
        <v>S003</v>
      </c>
      <c r="K889" t="s">
        <v>1099</v>
      </c>
      <c r="L889">
        <v>5</v>
      </c>
      <c r="M889" t="str">
        <f>IFERROR(VLOOKUP(TRIM(N889),$AP$2:$AQ$12,2,FALSE),"W001")</f>
        <v>W004</v>
      </c>
      <c r="N889" t="s">
        <v>1053</v>
      </c>
      <c r="O889" t="s">
        <v>1053</v>
      </c>
      <c r="P889" t="str">
        <f>VLOOKUP(O889,$AL$2:$AM$12,2,FALSE)</f>
        <v>South</v>
      </c>
      <c r="Q889" t="s">
        <v>1080</v>
      </c>
      <c r="R889">
        <v>11</v>
      </c>
      <c r="S889" t="s">
        <v>1079</v>
      </c>
      <c r="T889">
        <f t="shared" si="92"/>
        <v>2</v>
      </c>
      <c r="U889">
        <v>1.65</v>
      </c>
      <c r="V889">
        <f t="shared" si="93"/>
        <v>4</v>
      </c>
      <c r="W889" t="s">
        <v>1088</v>
      </c>
      <c r="X889" t="s">
        <v>1089</v>
      </c>
      <c r="Y889">
        <f t="shared" si="94"/>
        <v>0</v>
      </c>
      <c r="Z889" t="s">
        <v>1108</v>
      </c>
      <c r="AA889" t="str">
        <f t="shared" si="95"/>
        <v>Low</v>
      </c>
      <c r="AB889" t="s">
        <v>1103</v>
      </c>
      <c r="AC889" t="str">
        <f t="shared" si="96"/>
        <v>Yes</v>
      </c>
      <c r="AD889">
        <v>4</v>
      </c>
      <c r="AE889">
        <v>7821</v>
      </c>
      <c r="AF889">
        <v>3128.4</v>
      </c>
      <c r="AG889">
        <f t="shared" si="97"/>
        <v>4690.9500000000007</v>
      </c>
    </row>
    <row r="890" spans="1:33" x14ac:dyDescent="0.25">
      <c r="A890">
        <v>1889</v>
      </c>
      <c r="B890" s="1">
        <v>46003</v>
      </c>
      <c r="C890" s="1">
        <v>46004</v>
      </c>
      <c r="D890" s="1">
        <v>46008</v>
      </c>
      <c r="E890" t="s">
        <v>1066</v>
      </c>
      <c r="F890" t="s">
        <v>918</v>
      </c>
      <c r="G890" t="s">
        <v>1068</v>
      </c>
      <c r="H890" t="str">
        <f t="shared" si="91"/>
        <v>Electronics</v>
      </c>
      <c r="I890">
        <v>10</v>
      </c>
      <c r="J890" t="str">
        <f>VLOOKUP(K890,$AJ$2:$AK$7,2,FALSE)</f>
        <v>S006</v>
      </c>
      <c r="K890" t="s">
        <v>1102</v>
      </c>
      <c r="L890">
        <v>4.2</v>
      </c>
      <c r="M890" t="str">
        <f>IFERROR(VLOOKUP(TRIM(N890),$AP$2:$AQ$12,2,FALSE),"W001")</f>
        <v>W008</v>
      </c>
      <c r="N890" t="s">
        <v>1061</v>
      </c>
      <c r="O890" t="s">
        <v>1057</v>
      </c>
      <c r="P890" t="str">
        <f>VLOOKUP(O890,$AL$2:$AM$12,2,FALSE)</f>
        <v>South</v>
      </c>
      <c r="Q890" t="s">
        <v>1082</v>
      </c>
      <c r="R890">
        <v>1425</v>
      </c>
      <c r="S890" t="s">
        <v>1078</v>
      </c>
      <c r="T890">
        <f t="shared" si="92"/>
        <v>4</v>
      </c>
      <c r="U890">
        <v>570</v>
      </c>
      <c r="V890">
        <f t="shared" si="93"/>
        <v>8</v>
      </c>
      <c r="W890" t="s">
        <v>1088</v>
      </c>
      <c r="X890" t="s">
        <v>1091</v>
      </c>
      <c r="Y890">
        <f t="shared" si="94"/>
        <v>0</v>
      </c>
      <c r="Z890" t="s">
        <v>1109</v>
      </c>
      <c r="AA890" t="str">
        <f t="shared" si="95"/>
        <v>High</v>
      </c>
      <c r="AB890" t="s">
        <v>1103</v>
      </c>
      <c r="AC890" t="str">
        <f t="shared" si="96"/>
        <v>No</v>
      </c>
      <c r="AD890">
        <v>2</v>
      </c>
      <c r="AE890">
        <v>537960</v>
      </c>
      <c r="AF890">
        <v>215184</v>
      </c>
      <c r="AG890">
        <f t="shared" si="97"/>
        <v>322206</v>
      </c>
    </row>
    <row r="891" spans="1:33" x14ac:dyDescent="0.25">
      <c r="A891">
        <v>1890</v>
      </c>
      <c r="B891" s="1">
        <v>44901</v>
      </c>
      <c r="C891" s="1">
        <v>44904</v>
      </c>
      <c r="D891" s="1">
        <v>44907</v>
      </c>
      <c r="E891" t="s">
        <v>1065</v>
      </c>
      <c r="F891" t="s">
        <v>919</v>
      </c>
      <c r="G891" t="s">
        <v>1071</v>
      </c>
      <c r="H891" t="str">
        <f t="shared" si="91"/>
        <v>Clothing</v>
      </c>
      <c r="I891">
        <v>6</v>
      </c>
      <c r="J891" t="str">
        <f>VLOOKUP(K891,$AJ$2:$AK$7,2,FALSE)</f>
        <v>S002</v>
      </c>
      <c r="K891" t="s">
        <v>1098</v>
      </c>
      <c r="L891">
        <v>3.9</v>
      </c>
      <c r="M891" t="str">
        <f>IFERROR(VLOOKUP(TRIM(N891),$AP$2:$AQ$12,2,FALSE),"W001")</f>
        <v>W005</v>
      </c>
      <c r="N891" t="s">
        <v>1055</v>
      </c>
      <c r="O891" t="s">
        <v>1047</v>
      </c>
      <c r="P891" t="str">
        <f>VLOOKUP(O891,$AL$2:$AM$12,2,FALSE)</f>
        <v>West</v>
      </c>
      <c r="Q891" t="s">
        <v>1083</v>
      </c>
      <c r="R891">
        <v>1789</v>
      </c>
      <c r="S891" t="s">
        <v>1078</v>
      </c>
      <c r="T891">
        <f t="shared" si="92"/>
        <v>4</v>
      </c>
      <c r="U891">
        <v>894.5</v>
      </c>
      <c r="V891">
        <f t="shared" si="93"/>
        <v>10</v>
      </c>
      <c r="W891" t="s">
        <v>1088</v>
      </c>
      <c r="X891" t="s">
        <v>1091</v>
      </c>
      <c r="Y891">
        <f t="shared" si="94"/>
        <v>0</v>
      </c>
      <c r="Z891" t="s">
        <v>1109</v>
      </c>
      <c r="AA891" t="str">
        <f t="shared" si="95"/>
        <v>High</v>
      </c>
      <c r="AB891" t="s">
        <v>1104</v>
      </c>
      <c r="AC891" t="str">
        <f t="shared" si="96"/>
        <v>No</v>
      </c>
      <c r="AD891">
        <v>1</v>
      </c>
      <c r="AE891">
        <v>7452</v>
      </c>
      <c r="AF891">
        <v>2980.8</v>
      </c>
      <c r="AG891">
        <f t="shared" si="97"/>
        <v>3576.7</v>
      </c>
    </row>
    <row r="892" spans="1:33" x14ac:dyDescent="0.25">
      <c r="A892">
        <v>1891</v>
      </c>
      <c r="B892" s="1">
        <v>45810</v>
      </c>
      <c r="C892" s="1">
        <v>45811</v>
      </c>
      <c r="D892" s="1">
        <v>45814</v>
      </c>
      <c r="E892" t="s">
        <v>1066</v>
      </c>
      <c r="F892" t="s">
        <v>920</v>
      </c>
      <c r="G892" t="s">
        <v>1068</v>
      </c>
      <c r="H892" t="str">
        <f t="shared" si="91"/>
        <v>Electronics</v>
      </c>
      <c r="I892">
        <v>7</v>
      </c>
      <c r="J892" t="str">
        <f>VLOOKUP(K892,$AJ$2:$AK$7,2,FALSE)</f>
        <v>S001</v>
      </c>
      <c r="K892" t="s">
        <v>1097</v>
      </c>
      <c r="L892">
        <v>3.7</v>
      </c>
      <c r="M892" t="str">
        <f>IFERROR(VLOOKUP(TRIM(N892),$AP$2:$AQ$12,2,FALSE),"W001")</f>
        <v>W005</v>
      </c>
      <c r="N892" t="s">
        <v>1055</v>
      </c>
      <c r="O892" t="s">
        <v>1062</v>
      </c>
      <c r="P892" t="str">
        <f>VLOOKUP(O892,$AL$2:$AM$12,2,FALSE)</f>
        <v>North</v>
      </c>
      <c r="Q892" t="s">
        <v>1082</v>
      </c>
      <c r="R892">
        <v>277</v>
      </c>
      <c r="S892" t="s">
        <v>1066</v>
      </c>
      <c r="T892">
        <f t="shared" si="92"/>
        <v>2</v>
      </c>
      <c r="U892">
        <v>110.8</v>
      </c>
      <c r="V892">
        <f t="shared" si="93"/>
        <v>8</v>
      </c>
      <c r="W892" t="s">
        <v>1088</v>
      </c>
      <c r="X892" t="s">
        <v>1091</v>
      </c>
      <c r="Y892">
        <f t="shared" si="94"/>
        <v>0</v>
      </c>
      <c r="Z892" t="s">
        <v>1108</v>
      </c>
      <c r="AA892" t="str">
        <f t="shared" si="95"/>
        <v>Medium</v>
      </c>
      <c r="AB892" t="s">
        <v>1103</v>
      </c>
      <c r="AC892" t="str">
        <f t="shared" si="96"/>
        <v>Yes</v>
      </c>
      <c r="AD892">
        <v>4</v>
      </c>
      <c r="AE892">
        <v>436898</v>
      </c>
      <c r="AF892">
        <v>174759.2</v>
      </c>
      <c r="AG892">
        <f t="shared" si="97"/>
        <v>262028</v>
      </c>
    </row>
    <row r="893" spans="1:33" x14ac:dyDescent="0.25">
      <c r="A893">
        <v>1892</v>
      </c>
      <c r="B893" s="1">
        <v>46315</v>
      </c>
      <c r="C893" s="1">
        <v>46318</v>
      </c>
      <c r="D893" s="1">
        <v>46321</v>
      </c>
      <c r="E893" t="s">
        <v>1066</v>
      </c>
      <c r="F893" t="s">
        <v>921</v>
      </c>
      <c r="G893" t="s">
        <v>1070</v>
      </c>
      <c r="H893" t="str">
        <f t="shared" si="91"/>
        <v>Furniture</v>
      </c>
      <c r="I893">
        <v>6</v>
      </c>
      <c r="J893" t="str">
        <f>VLOOKUP(K893,$AJ$2:$AK$7,2,FALSE)</f>
        <v>S006</v>
      </c>
      <c r="K893" t="s">
        <v>1102</v>
      </c>
      <c r="L893">
        <v>5</v>
      </c>
      <c r="M893" t="str">
        <f>IFERROR(VLOOKUP(TRIM(N893),$AP$2:$AQ$12,2,FALSE),"W001")</f>
        <v>W003</v>
      </c>
      <c r="N893" t="s">
        <v>1051</v>
      </c>
      <c r="O893" t="s">
        <v>1059</v>
      </c>
      <c r="P893" t="str">
        <f>VLOOKUP(O893,$AL$2:$AM$12,2,FALSE)</f>
        <v>North</v>
      </c>
      <c r="Q893" t="s">
        <v>1080</v>
      </c>
      <c r="R893">
        <v>142</v>
      </c>
      <c r="S893" t="s">
        <v>1079</v>
      </c>
      <c r="T893">
        <f t="shared" si="92"/>
        <v>2</v>
      </c>
      <c r="U893">
        <v>21.3</v>
      </c>
      <c r="V893">
        <f t="shared" si="93"/>
        <v>4</v>
      </c>
      <c r="W893" t="s">
        <v>1088</v>
      </c>
      <c r="X893" t="s">
        <v>1089</v>
      </c>
      <c r="Y893">
        <f t="shared" si="94"/>
        <v>0</v>
      </c>
      <c r="Z893" t="s">
        <v>1108</v>
      </c>
      <c r="AA893" t="str">
        <f t="shared" si="95"/>
        <v>Low</v>
      </c>
      <c r="AB893" t="s">
        <v>1103</v>
      </c>
      <c r="AC893" t="str">
        <f t="shared" si="96"/>
        <v>Yes</v>
      </c>
      <c r="AD893">
        <v>4</v>
      </c>
      <c r="AE893">
        <v>47676</v>
      </c>
      <c r="AF893">
        <v>19070.400000000001</v>
      </c>
      <c r="AG893">
        <f t="shared" si="97"/>
        <v>28584.3</v>
      </c>
    </row>
    <row r="894" spans="1:33" x14ac:dyDescent="0.25">
      <c r="A894">
        <v>1893</v>
      </c>
      <c r="B894" s="1">
        <v>46083</v>
      </c>
      <c r="C894" s="1">
        <v>46084</v>
      </c>
      <c r="D894" s="1">
        <v>46086</v>
      </c>
      <c r="E894" t="s">
        <v>1066</v>
      </c>
      <c r="F894" t="s">
        <v>922</v>
      </c>
      <c r="G894" t="s">
        <v>1071</v>
      </c>
      <c r="H894" t="str">
        <f t="shared" si="91"/>
        <v>Clothing</v>
      </c>
      <c r="I894">
        <v>10</v>
      </c>
      <c r="J894" t="str">
        <f>VLOOKUP(K894,$AJ$2:$AK$7,2,FALSE)</f>
        <v>S006</v>
      </c>
      <c r="K894" t="s">
        <v>1102</v>
      </c>
      <c r="L894">
        <v>4.5</v>
      </c>
      <c r="M894" t="str">
        <f>IFERROR(VLOOKUP(TRIM(N894),$AP$2:$AQ$12,2,FALSE),"W001")</f>
        <v>W006</v>
      </c>
      <c r="N894" t="s">
        <v>1057</v>
      </c>
      <c r="O894" t="s">
        <v>1051</v>
      </c>
      <c r="P894" t="str">
        <f>VLOOKUP(O894,$AL$2:$AM$12,2,FALSE)</f>
        <v>West</v>
      </c>
      <c r="Q894" t="s">
        <v>1083</v>
      </c>
      <c r="R894">
        <v>332</v>
      </c>
      <c r="S894" t="s">
        <v>1066</v>
      </c>
      <c r="T894">
        <f t="shared" si="92"/>
        <v>1</v>
      </c>
      <c r="U894">
        <v>166</v>
      </c>
      <c r="V894">
        <f t="shared" si="93"/>
        <v>10</v>
      </c>
      <c r="W894" t="s">
        <v>1086</v>
      </c>
      <c r="X894" t="s">
        <v>1091</v>
      </c>
      <c r="Y894">
        <f t="shared" si="94"/>
        <v>166</v>
      </c>
      <c r="Z894" t="s">
        <v>1108</v>
      </c>
      <c r="AA894" t="str">
        <f t="shared" si="95"/>
        <v>Medium</v>
      </c>
      <c r="AB894" t="s">
        <v>1103</v>
      </c>
      <c r="AC894" t="str">
        <f t="shared" si="96"/>
        <v>Yes</v>
      </c>
      <c r="AD894">
        <v>4</v>
      </c>
      <c r="AE894">
        <v>26470</v>
      </c>
      <c r="AF894">
        <v>10588</v>
      </c>
      <c r="AG894">
        <f t="shared" si="97"/>
        <v>15716</v>
      </c>
    </row>
    <row r="895" spans="1:33" x14ac:dyDescent="0.25">
      <c r="A895">
        <v>1894</v>
      </c>
      <c r="B895" s="1">
        <v>44731</v>
      </c>
      <c r="C895" s="1">
        <v>44732</v>
      </c>
      <c r="D895" s="1">
        <v>44739</v>
      </c>
      <c r="E895" t="s">
        <v>1065</v>
      </c>
      <c r="F895" t="s">
        <v>923</v>
      </c>
      <c r="G895" t="s">
        <v>1069</v>
      </c>
      <c r="H895" t="str">
        <f t="shared" si="91"/>
        <v>Furniture</v>
      </c>
      <c r="I895">
        <v>7</v>
      </c>
      <c r="J895" t="str">
        <f>VLOOKUP(K895,$AJ$2:$AK$7,2,FALSE)</f>
        <v>S006</v>
      </c>
      <c r="K895" t="s">
        <v>1102</v>
      </c>
      <c r="L895">
        <v>4.3</v>
      </c>
      <c r="M895" t="str">
        <f>IFERROR(VLOOKUP(TRIM(N895),$AP$2:$AQ$12,2,FALSE),"W001")</f>
        <v>W008</v>
      </c>
      <c r="N895" t="s">
        <v>1061</v>
      </c>
      <c r="O895" t="s">
        <v>1051</v>
      </c>
      <c r="P895" t="str">
        <f>VLOOKUP(O895,$AL$2:$AM$12,2,FALSE)</f>
        <v>West</v>
      </c>
      <c r="Q895" t="s">
        <v>1083</v>
      </c>
      <c r="R895">
        <v>1061</v>
      </c>
      <c r="S895" t="s">
        <v>1078</v>
      </c>
      <c r="T895">
        <f t="shared" si="92"/>
        <v>3</v>
      </c>
      <c r="U895">
        <v>530.5</v>
      </c>
      <c r="V895">
        <f t="shared" si="93"/>
        <v>10</v>
      </c>
      <c r="W895" t="s">
        <v>1087</v>
      </c>
      <c r="X895" t="s">
        <v>1091</v>
      </c>
      <c r="Y895">
        <f t="shared" si="94"/>
        <v>0</v>
      </c>
      <c r="Z895" t="s">
        <v>1108</v>
      </c>
      <c r="AA895" t="str">
        <f t="shared" si="95"/>
        <v>Medium</v>
      </c>
      <c r="AB895" t="s">
        <v>1103</v>
      </c>
      <c r="AC895" t="str">
        <f t="shared" si="96"/>
        <v>Yes</v>
      </c>
      <c r="AD895">
        <v>4</v>
      </c>
      <c r="AE895">
        <v>57351</v>
      </c>
      <c r="AF895">
        <v>22940.400000000001</v>
      </c>
      <c r="AG895">
        <f t="shared" si="97"/>
        <v>33880.1</v>
      </c>
    </row>
    <row r="896" spans="1:33" x14ac:dyDescent="0.25">
      <c r="A896">
        <v>1895</v>
      </c>
      <c r="B896" s="1">
        <v>45795</v>
      </c>
      <c r="C896" s="1">
        <v>45796</v>
      </c>
      <c r="D896" s="1">
        <v>45800</v>
      </c>
      <c r="E896" t="s">
        <v>1066</v>
      </c>
      <c r="F896" t="s">
        <v>924</v>
      </c>
      <c r="G896" t="s">
        <v>1068</v>
      </c>
      <c r="H896" t="str">
        <f t="shared" si="91"/>
        <v>Electronics</v>
      </c>
      <c r="I896">
        <v>5</v>
      </c>
      <c r="J896" t="str">
        <f>VLOOKUP(K896,$AJ$2:$AK$7,2,FALSE)</f>
        <v>S005</v>
      </c>
      <c r="K896" t="s">
        <v>1101</v>
      </c>
      <c r="L896">
        <v>4.4000000000000004</v>
      </c>
      <c r="M896" t="str">
        <f>IFERROR(VLOOKUP(TRIM(N896),$AP$2:$AQ$12,2,FALSE),"W001")</f>
        <v>W003</v>
      </c>
      <c r="N896" t="s">
        <v>1051</v>
      </c>
      <c r="O896" t="s">
        <v>1063</v>
      </c>
      <c r="P896" t="str">
        <f>VLOOKUP(O896,$AL$2:$AM$12,2,FALSE)</f>
        <v>South</v>
      </c>
      <c r="Q896" t="s">
        <v>1083</v>
      </c>
      <c r="R896">
        <v>1394</v>
      </c>
      <c r="S896" t="s">
        <v>1078</v>
      </c>
      <c r="T896">
        <f t="shared" si="92"/>
        <v>3</v>
      </c>
      <c r="U896">
        <v>697</v>
      </c>
      <c r="V896">
        <f t="shared" si="93"/>
        <v>10</v>
      </c>
      <c r="W896" t="s">
        <v>1086</v>
      </c>
      <c r="X896" t="s">
        <v>1091</v>
      </c>
      <c r="Y896">
        <f t="shared" si="94"/>
        <v>697</v>
      </c>
      <c r="Z896" t="s">
        <v>1108</v>
      </c>
      <c r="AA896" t="str">
        <f t="shared" si="95"/>
        <v>Medium</v>
      </c>
      <c r="AB896" t="s">
        <v>1104</v>
      </c>
      <c r="AC896" t="str">
        <f t="shared" si="96"/>
        <v>Yes</v>
      </c>
      <c r="AD896">
        <v>2</v>
      </c>
      <c r="AE896">
        <v>318990</v>
      </c>
      <c r="AF896">
        <v>127596</v>
      </c>
      <c r="AG896">
        <f t="shared" si="97"/>
        <v>190697</v>
      </c>
    </row>
    <row r="897" spans="1:33" x14ac:dyDescent="0.25">
      <c r="A897">
        <v>1896</v>
      </c>
      <c r="B897" s="1">
        <v>45605</v>
      </c>
      <c r="C897" s="1">
        <v>45608</v>
      </c>
      <c r="D897" s="1">
        <v>45612</v>
      </c>
      <c r="E897" t="s">
        <v>1065</v>
      </c>
      <c r="F897" t="s">
        <v>925</v>
      </c>
      <c r="G897" t="s">
        <v>1072</v>
      </c>
      <c r="H897" t="str">
        <f t="shared" si="91"/>
        <v>Electronics</v>
      </c>
      <c r="I897">
        <v>9</v>
      </c>
      <c r="J897" t="str">
        <f>VLOOKUP(K897,$AJ$2:$AK$7,2,FALSE)</f>
        <v>S006</v>
      </c>
      <c r="K897" t="s">
        <v>1102</v>
      </c>
      <c r="L897">
        <v>4</v>
      </c>
      <c r="M897" t="str">
        <f>IFERROR(VLOOKUP(TRIM(N897),$AP$2:$AQ$12,2,FALSE),"W001")</f>
        <v>W005</v>
      </c>
      <c r="N897" t="s">
        <v>1055</v>
      </c>
      <c r="O897" t="s">
        <v>1055</v>
      </c>
      <c r="P897" t="str">
        <f>VLOOKUP(O897,$AL$2:$AM$12,2,FALSE)</f>
        <v>South</v>
      </c>
      <c r="Q897" t="s">
        <v>1084</v>
      </c>
      <c r="R897">
        <v>46</v>
      </c>
      <c r="S897" t="s">
        <v>1079</v>
      </c>
      <c r="T897">
        <f t="shared" si="92"/>
        <v>1</v>
      </c>
      <c r="U897">
        <v>13.8</v>
      </c>
      <c r="V897">
        <f t="shared" si="93"/>
        <v>6</v>
      </c>
      <c r="W897" t="s">
        <v>1088</v>
      </c>
      <c r="X897" t="s">
        <v>1089</v>
      </c>
      <c r="Y897">
        <f t="shared" si="94"/>
        <v>0</v>
      </c>
      <c r="Z897" t="s">
        <v>1108</v>
      </c>
      <c r="AA897" t="str">
        <f t="shared" si="95"/>
        <v>Low</v>
      </c>
      <c r="AB897" t="s">
        <v>1103</v>
      </c>
      <c r="AC897" t="str">
        <f t="shared" si="96"/>
        <v>Yes</v>
      </c>
      <c r="AD897">
        <v>5</v>
      </c>
      <c r="AE897">
        <v>266184</v>
      </c>
      <c r="AF897">
        <v>106473.60000000001</v>
      </c>
      <c r="AG897">
        <f t="shared" si="97"/>
        <v>159696.6</v>
      </c>
    </row>
    <row r="898" spans="1:33" x14ac:dyDescent="0.25">
      <c r="A898">
        <v>1897</v>
      </c>
      <c r="B898" s="1">
        <v>44604</v>
      </c>
      <c r="C898" s="1">
        <v>44605</v>
      </c>
      <c r="D898" s="1">
        <v>44609</v>
      </c>
      <c r="E898" t="s">
        <v>1066</v>
      </c>
      <c r="F898" t="s">
        <v>926</v>
      </c>
      <c r="G898" t="s">
        <v>1070</v>
      </c>
      <c r="H898" t="str">
        <f t="shared" si="91"/>
        <v>Furniture</v>
      </c>
      <c r="I898">
        <v>4</v>
      </c>
      <c r="J898" t="str">
        <f>VLOOKUP(K898,$AJ$2:$AK$7,2,FALSE)</f>
        <v>S002</v>
      </c>
      <c r="K898" t="s">
        <v>1098</v>
      </c>
      <c r="L898">
        <v>4.0999999999999996</v>
      </c>
      <c r="M898" t="str">
        <f>IFERROR(VLOOKUP(TRIM(N898),$AP$2:$AQ$12,2,FALSE),"W001")</f>
        <v>W011</v>
      </c>
      <c r="N898" t="s">
        <v>1059</v>
      </c>
      <c r="O898" t="s">
        <v>1047</v>
      </c>
      <c r="P898" t="str">
        <f>VLOOKUP(O898,$AL$2:$AM$12,2,FALSE)</f>
        <v>West</v>
      </c>
      <c r="Q898" t="s">
        <v>1084</v>
      </c>
      <c r="R898">
        <v>942</v>
      </c>
      <c r="S898" t="s">
        <v>1078</v>
      </c>
      <c r="T898">
        <f t="shared" si="92"/>
        <v>4</v>
      </c>
      <c r="U898">
        <v>282.60000000000002</v>
      </c>
      <c r="V898">
        <f t="shared" si="93"/>
        <v>6</v>
      </c>
      <c r="W898" t="s">
        <v>1086</v>
      </c>
      <c r="X898" t="s">
        <v>1091</v>
      </c>
      <c r="Y898">
        <f t="shared" si="94"/>
        <v>282.60000000000002</v>
      </c>
      <c r="Z898" t="s">
        <v>1108</v>
      </c>
      <c r="AA898" t="str">
        <f t="shared" si="95"/>
        <v>Low</v>
      </c>
      <c r="AB898" t="s">
        <v>1103</v>
      </c>
      <c r="AC898" t="str">
        <f t="shared" si="96"/>
        <v>Yes</v>
      </c>
      <c r="AD898">
        <v>4</v>
      </c>
      <c r="AE898">
        <v>8952</v>
      </c>
      <c r="AF898">
        <v>3580.8</v>
      </c>
      <c r="AG898">
        <f t="shared" si="97"/>
        <v>5088.5999999999995</v>
      </c>
    </row>
    <row r="899" spans="1:33" x14ac:dyDescent="0.25">
      <c r="A899">
        <v>1898</v>
      </c>
      <c r="B899" s="1">
        <v>46140</v>
      </c>
      <c r="C899" s="1">
        <v>46143</v>
      </c>
      <c r="D899" s="1">
        <v>46150</v>
      </c>
      <c r="E899" t="s">
        <v>1064</v>
      </c>
      <c r="F899" t="s">
        <v>927</v>
      </c>
      <c r="G899" t="s">
        <v>1067</v>
      </c>
      <c r="H899" t="str">
        <f t="shared" ref="H899:H962" si="98">IF(OR(G899="Laptop",G899="Mobile"),"Electronics",
IF(OR(G899="T-Shirt",G899="Jeans"),"Clothing",
IF(OR(G899="Table",G899="Chair"),"Furniture","")))</f>
        <v>Clothing</v>
      </c>
      <c r="I899">
        <v>4</v>
      </c>
      <c r="J899" t="str">
        <f>VLOOKUP(K899,$AJ$2:$AK$7,2,FALSE)</f>
        <v>S006</v>
      </c>
      <c r="K899" t="s">
        <v>1102</v>
      </c>
      <c r="L899">
        <v>4</v>
      </c>
      <c r="M899" t="str">
        <f>IFERROR(VLOOKUP(TRIM(N899),$AP$2:$AQ$12,2,FALSE),"W001")</f>
        <v>W009</v>
      </c>
      <c r="N899" t="s">
        <v>1060</v>
      </c>
      <c r="O899" t="s">
        <v>1059</v>
      </c>
      <c r="P899" t="str">
        <f>VLOOKUP(O899,$AL$2:$AM$12,2,FALSE)</f>
        <v>North</v>
      </c>
      <c r="Q899" t="s">
        <v>1083</v>
      </c>
      <c r="R899">
        <v>1493</v>
      </c>
      <c r="S899" t="s">
        <v>1078</v>
      </c>
      <c r="T899">
        <f t="shared" ref="T899:T962" si="99">IF(Q899="Air",ROUND(R899/700,0)+1,
IF(Q899="Express",ROUND(R899/500,0)+1,
IF(Q899="Courier",ROUND(R899/350,0)+1,
IF(Q899="Road",ROUND(R899/250,0)+1,
IF(Q899="Rail",ROUND(R899/300,0)+2,
IF(Q899="Ship",ROUND(R899/200,0)+3,""))))))</f>
        <v>3</v>
      </c>
      <c r="U899">
        <v>746.5</v>
      </c>
      <c r="V899">
        <f t="shared" ref="V899:V962" si="100">IF(Q899="Road",5,
IF(Q899="Rail",4,
IF(Q899="Air",10,
IF(Q899="Ship",3,
IF(Q899="Courier",6,
IF(Q899="Express",8))))))</f>
        <v>10</v>
      </c>
      <c r="W899" t="s">
        <v>1088</v>
      </c>
      <c r="X899" t="s">
        <v>1091</v>
      </c>
      <c r="Y899">
        <f t="shared" ref="Y899:Y962" si="101">IF(W899="COD",U899,0)</f>
        <v>0</v>
      </c>
      <c r="Z899" t="s">
        <v>1108</v>
      </c>
      <c r="AA899" t="str">
        <f t="shared" ref="AA899:AA962" si="102">IF(Z899="Delayed","High",
IF(OR(Q899="Air",Q899="Express"),"Medium","Low"))</f>
        <v>Medium</v>
      </c>
      <c r="AB899" t="s">
        <v>1103</v>
      </c>
      <c r="AC899" t="str">
        <f t="shared" ref="AC899:AC962" si="103">IF(Z899="Delayed","No","Yes")</f>
        <v>Yes</v>
      </c>
      <c r="AD899">
        <v>5</v>
      </c>
      <c r="AE899">
        <v>5164</v>
      </c>
      <c r="AF899">
        <v>2065.6</v>
      </c>
      <c r="AG899">
        <f t="shared" ref="AG899:AG962" si="104">AE899 - AF899-U899</f>
        <v>2351.9</v>
      </c>
    </row>
    <row r="900" spans="1:33" x14ac:dyDescent="0.25">
      <c r="A900">
        <v>1899</v>
      </c>
      <c r="B900" s="1">
        <v>46040</v>
      </c>
      <c r="C900" s="1">
        <v>46042</v>
      </c>
      <c r="D900" s="1">
        <v>46049</v>
      </c>
      <c r="E900" t="s">
        <v>1065</v>
      </c>
      <c r="F900" t="s">
        <v>928</v>
      </c>
      <c r="G900" t="s">
        <v>1072</v>
      </c>
      <c r="H900" t="str">
        <f t="shared" si="98"/>
        <v>Electronics</v>
      </c>
      <c r="I900">
        <v>6</v>
      </c>
      <c r="J900" t="str">
        <f>VLOOKUP(K900,$AJ$2:$AK$7,2,FALSE)</f>
        <v>S003</v>
      </c>
      <c r="K900" t="s">
        <v>1099</v>
      </c>
      <c r="L900">
        <v>3</v>
      </c>
      <c r="M900" t="str">
        <f>IFERROR(VLOOKUP(TRIM(N900),$AP$2:$AQ$12,2,FALSE),"W001")</f>
        <v>W006</v>
      </c>
      <c r="N900" t="s">
        <v>1057</v>
      </c>
      <c r="O900" t="s">
        <v>1062</v>
      </c>
      <c r="P900" t="str">
        <f>VLOOKUP(O900,$AL$2:$AM$12,2,FALSE)</f>
        <v>North</v>
      </c>
      <c r="Q900" t="s">
        <v>1084</v>
      </c>
      <c r="R900">
        <v>1253</v>
      </c>
      <c r="S900" t="s">
        <v>1078</v>
      </c>
      <c r="T900">
        <f t="shared" si="99"/>
        <v>5</v>
      </c>
      <c r="U900">
        <v>375.9</v>
      </c>
      <c r="V900">
        <f t="shared" si="100"/>
        <v>6</v>
      </c>
      <c r="W900" t="s">
        <v>1086</v>
      </c>
      <c r="X900" t="s">
        <v>1091</v>
      </c>
      <c r="Y900">
        <f t="shared" si="101"/>
        <v>375.9</v>
      </c>
      <c r="Z900" t="s">
        <v>1108</v>
      </c>
      <c r="AA900" t="str">
        <f t="shared" si="102"/>
        <v>Low</v>
      </c>
      <c r="AB900" t="s">
        <v>1103</v>
      </c>
      <c r="AC900" t="str">
        <f t="shared" si="103"/>
        <v>Yes</v>
      </c>
      <c r="AD900">
        <v>5</v>
      </c>
      <c r="AE900">
        <v>119280</v>
      </c>
      <c r="AF900">
        <v>47712</v>
      </c>
      <c r="AG900">
        <f t="shared" si="104"/>
        <v>71192.100000000006</v>
      </c>
    </row>
    <row r="901" spans="1:33" x14ac:dyDescent="0.25">
      <c r="A901">
        <v>1900</v>
      </c>
      <c r="B901" s="1">
        <v>45870</v>
      </c>
      <c r="C901" s="1">
        <v>45872</v>
      </c>
      <c r="D901" s="1">
        <v>45875</v>
      </c>
      <c r="E901" t="s">
        <v>1066</v>
      </c>
      <c r="F901" t="s">
        <v>929</v>
      </c>
      <c r="G901" t="s">
        <v>1068</v>
      </c>
      <c r="H901" t="str">
        <f t="shared" si="98"/>
        <v>Electronics</v>
      </c>
      <c r="I901">
        <v>9</v>
      </c>
      <c r="J901" t="str">
        <f>VLOOKUP(K901,$AJ$2:$AK$7,2,FALSE)</f>
        <v>S006</v>
      </c>
      <c r="K901" t="s">
        <v>1102</v>
      </c>
      <c r="L901">
        <v>3</v>
      </c>
      <c r="M901" t="str">
        <f>IFERROR(VLOOKUP(TRIM(N901),$AP$2:$AQ$12,2,FALSE),"W001")</f>
        <v>W003</v>
      </c>
      <c r="N901" t="s">
        <v>1051</v>
      </c>
      <c r="O901" t="s">
        <v>1049</v>
      </c>
      <c r="P901" t="str">
        <f>VLOOKUP(O901,$AL$2:$AM$12,2,FALSE)</f>
        <v>North</v>
      </c>
      <c r="Q901" t="s">
        <v>1080</v>
      </c>
      <c r="R901">
        <v>1801</v>
      </c>
      <c r="S901" t="s">
        <v>1078</v>
      </c>
      <c r="T901">
        <f t="shared" si="99"/>
        <v>8</v>
      </c>
      <c r="U901">
        <v>270.14999999999998</v>
      </c>
      <c r="V901">
        <f t="shared" si="100"/>
        <v>4</v>
      </c>
      <c r="W901" t="s">
        <v>1088</v>
      </c>
      <c r="X901" t="s">
        <v>1091</v>
      </c>
      <c r="Y901">
        <f t="shared" si="101"/>
        <v>0</v>
      </c>
      <c r="Z901" t="s">
        <v>1108</v>
      </c>
      <c r="AA901" t="str">
        <f t="shared" si="102"/>
        <v>Low</v>
      </c>
      <c r="AB901" t="s">
        <v>1103</v>
      </c>
      <c r="AC901" t="str">
        <f t="shared" si="103"/>
        <v>Yes</v>
      </c>
      <c r="AD901">
        <v>5</v>
      </c>
      <c r="AE901">
        <v>582408</v>
      </c>
      <c r="AF901">
        <v>232963.20000000001</v>
      </c>
      <c r="AG901">
        <f t="shared" si="104"/>
        <v>349174.64999999997</v>
      </c>
    </row>
    <row r="902" spans="1:33" x14ac:dyDescent="0.25">
      <c r="A902">
        <v>1901</v>
      </c>
      <c r="B902" s="1">
        <v>44872</v>
      </c>
      <c r="C902" s="1">
        <v>44873</v>
      </c>
      <c r="D902" s="1">
        <v>44879</v>
      </c>
      <c r="E902" t="s">
        <v>1064</v>
      </c>
      <c r="F902" t="s">
        <v>930</v>
      </c>
      <c r="G902" t="s">
        <v>1071</v>
      </c>
      <c r="H902" t="str">
        <f t="shared" si="98"/>
        <v>Clothing</v>
      </c>
      <c r="I902">
        <v>5</v>
      </c>
      <c r="J902" t="str">
        <f>VLOOKUP(K902,$AJ$2:$AK$7,2,FALSE)</f>
        <v>S005</v>
      </c>
      <c r="K902" t="s">
        <v>1101</v>
      </c>
      <c r="L902">
        <v>3.7</v>
      </c>
      <c r="M902" t="str">
        <f>IFERROR(VLOOKUP(TRIM(N902),$AP$2:$AQ$12,2,FALSE),"W001")</f>
        <v>W010</v>
      </c>
      <c r="N902" t="s">
        <v>1063</v>
      </c>
      <c r="O902" t="s">
        <v>1059</v>
      </c>
      <c r="P902" t="str">
        <f>VLOOKUP(O902,$AL$2:$AM$12,2,FALSE)</f>
        <v>North</v>
      </c>
      <c r="Q902" t="s">
        <v>1083</v>
      </c>
      <c r="R902">
        <v>928</v>
      </c>
      <c r="S902" t="s">
        <v>1078</v>
      </c>
      <c r="T902">
        <f t="shared" si="99"/>
        <v>2</v>
      </c>
      <c r="U902">
        <v>464</v>
      </c>
      <c r="V902">
        <f t="shared" si="100"/>
        <v>10</v>
      </c>
      <c r="W902" t="s">
        <v>1087</v>
      </c>
      <c r="X902" t="s">
        <v>1089</v>
      </c>
      <c r="Y902">
        <f t="shared" si="101"/>
        <v>0</v>
      </c>
      <c r="Z902" t="s">
        <v>1108</v>
      </c>
      <c r="AA902" t="str">
        <f t="shared" si="102"/>
        <v>Medium</v>
      </c>
      <c r="AB902" t="s">
        <v>1104</v>
      </c>
      <c r="AC902" t="str">
        <f t="shared" si="103"/>
        <v>Yes</v>
      </c>
      <c r="AD902">
        <v>2</v>
      </c>
      <c r="AE902">
        <v>7610</v>
      </c>
      <c r="AF902">
        <v>3044</v>
      </c>
      <c r="AG902">
        <f t="shared" si="104"/>
        <v>4102</v>
      </c>
    </row>
    <row r="903" spans="1:33" x14ac:dyDescent="0.25">
      <c r="A903">
        <v>1902</v>
      </c>
      <c r="B903" s="1">
        <v>45995</v>
      </c>
      <c r="C903" s="1">
        <v>45998</v>
      </c>
      <c r="D903" s="1">
        <v>46001</v>
      </c>
      <c r="E903" t="s">
        <v>1066</v>
      </c>
      <c r="F903" t="s">
        <v>931</v>
      </c>
      <c r="G903" t="s">
        <v>1069</v>
      </c>
      <c r="H903" t="str">
        <f t="shared" si="98"/>
        <v>Furniture</v>
      </c>
      <c r="I903">
        <v>3</v>
      </c>
      <c r="J903" t="str">
        <f>VLOOKUP(K903,$AJ$2:$AK$7,2,FALSE)</f>
        <v>S003</v>
      </c>
      <c r="K903" t="s">
        <v>1099</v>
      </c>
      <c r="L903">
        <v>4.0999999999999996</v>
      </c>
      <c r="M903" t="str">
        <f>IFERROR(VLOOKUP(TRIM(N903),$AP$2:$AQ$12,2,FALSE),"W001")</f>
        <v>W006</v>
      </c>
      <c r="N903" t="s">
        <v>1057</v>
      </c>
      <c r="O903" t="s">
        <v>1055</v>
      </c>
      <c r="P903" t="str">
        <f>VLOOKUP(O903,$AL$2:$AM$12,2,FALSE)</f>
        <v>South</v>
      </c>
      <c r="Q903" t="s">
        <v>1081</v>
      </c>
      <c r="R903">
        <v>985</v>
      </c>
      <c r="S903" t="s">
        <v>1078</v>
      </c>
      <c r="T903">
        <f t="shared" si="99"/>
        <v>5</v>
      </c>
      <c r="U903">
        <v>197</v>
      </c>
      <c r="V903">
        <f t="shared" si="100"/>
        <v>5</v>
      </c>
      <c r="W903" t="s">
        <v>1088</v>
      </c>
      <c r="X903" t="s">
        <v>1089</v>
      </c>
      <c r="Y903">
        <f t="shared" si="101"/>
        <v>0</v>
      </c>
      <c r="Z903" t="s">
        <v>1108</v>
      </c>
      <c r="AA903" t="str">
        <f t="shared" si="102"/>
        <v>Low</v>
      </c>
      <c r="AB903" t="s">
        <v>1103</v>
      </c>
      <c r="AC903" t="str">
        <f t="shared" si="103"/>
        <v>Yes</v>
      </c>
      <c r="AD903">
        <v>5</v>
      </c>
      <c r="AE903">
        <v>43422</v>
      </c>
      <c r="AF903">
        <v>17368.8</v>
      </c>
      <c r="AG903">
        <f t="shared" si="104"/>
        <v>25856.2</v>
      </c>
    </row>
    <row r="904" spans="1:33" x14ac:dyDescent="0.25">
      <c r="A904">
        <v>1903</v>
      </c>
      <c r="B904" s="1">
        <v>45159</v>
      </c>
      <c r="C904" s="1">
        <v>45161</v>
      </c>
      <c r="D904" s="1">
        <v>45166</v>
      </c>
      <c r="E904" t="s">
        <v>1064</v>
      </c>
      <c r="F904" t="s">
        <v>932</v>
      </c>
      <c r="G904" t="s">
        <v>1072</v>
      </c>
      <c r="H904" t="str">
        <f t="shared" si="98"/>
        <v>Electronics</v>
      </c>
      <c r="I904">
        <v>9</v>
      </c>
      <c r="J904" t="str">
        <f>VLOOKUP(K904,$AJ$2:$AK$7,2,FALSE)</f>
        <v>S001</v>
      </c>
      <c r="K904" t="s">
        <v>1097</v>
      </c>
      <c r="L904">
        <v>3.7</v>
      </c>
      <c r="M904" t="str">
        <f>IFERROR(VLOOKUP(TRIM(N904),$AP$2:$AQ$12,2,FALSE),"W001")</f>
        <v>W003</v>
      </c>
      <c r="N904" t="s">
        <v>1051</v>
      </c>
      <c r="O904" t="s">
        <v>1059</v>
      </c>
      <c r="P904" t="str">
        <f>VLOOKUP(O904,$AL$2:$AM$12,2,FALSE)</f>
        <v>North</v>
      </c>
      <c r="Q904" t="s">
        <v>1084</v>
      </c>
      <c r="R904">
        <v>688</v>
      </c>
      <c r="S904" t="s">
        <v>1066</v>
      </c>
      <c r="T904">
        <f t="shared" si="99"/>
        <v>3</v>
      </c>
      <c r="U904">
        <v>206.4</v>
      </c>
      <c r="V904">
        <f t="shared" si="100"/>
        <v>6</v>
      </c>
      <c r="W904" t="s">
        <v>1087</v>
      </c>
      <c r="X904" t="s">
        <v>1091</v>
      </c>
      <c r="Y904">
        <f t="shared" si="101"/>
        <v>0</v>
      </c>
      <c r="Z904" t="s">
        <v>1108</v>
      </c>
      <c r="AA904" t="str">
        <f t="shared" si="102"/>
        <v>Low</v>
      </c>
      <c r="AB904" t="s">
        <v>1103</v>
      </c>
      <c r="AC904" t="str">
        <f t="shared" si="103"/>
        <v>Yes</v>
      </c>
      <c r="AD904">
        <v>4</v>
      </c>
      <c r="AE904">
        <v>134073</v>
      </c>
      <c r="AF904">
        <v>53629.200000000004</v>
      </c>
      <c r="AG904">
        <f t="shared" si="104"/>
        <v>80237.399999999994</v>
      </c>
    </row>
    <row r="905" spans="1:33" x14ac:dyDescent="0.25">
      <c r="A905">
        <v>1904</v>
      </c>
      <c r="B905" s="1">
        <v>46163</v>
      </c>
      <c r="C905" s="1">
        <v>46164</v>
      </c>
      <c r="D905" s="1">
        <v>46171</v>
      </c>
      <c r="E905" t="s">
        <v>1065</v>
      </c>
      <c r="F905" t="s">
        <v>933</v>
      </c>
      <c r="G905" t="s">
        <v>1071</v>
      </c>
      <c r="H905" t="str">
        <f t="shared" si="98"/>
        <v>Clothing</v>
      </c>
      <c r="I905">
        <v>8</v>
      </c>
      <c r="J905" t="str">
        <f>VLOOKUP(K905,$AJ$2:$AK$7,2,FALSE)</f>
        <v>S002</v>
      </c>
      <c r="K905" t="s">
        <v>1098</v>
      </c>
      <c r="L905">
        <v>3.6</v>
      </c>
      <c r="M905" t="str">
        <f>IFERROR(VLOOKUP(TRIM(N905),$AP$2:$AQ$12,2,FALSE),"W001")</f>
        <v>W002</v>
      </c>
      <c r="N905" t="s">
        <v>1049</v>
      </c>
      <c r="O905" t="s">
        <v>1047</v>
      </c>
      <c r="P905" t="str">
        <f>VLOOKUP(O905,$AL$2:$AM$12,2,FALSE)</f>
        <v>West</v>
      </c>
      <c r="Q905" t="s">
        <v>1082</v>
      </c>
      <c r="R905">
        <v>1062</v>
      </c>
      <c r="S905" t="s">
        <v>1078</v>
      </c>
      <c r="T905">
        <f t="shared" si="99"/>
        <v>3</v>
      </c>
      <c r="U905">
        <v>424.8</v>
      </c>
      <c r="V905">
        <f t="shared" si="100"/>
        <v>8</v>
      </c>
      <c r="W905" t="s">
        <v>1088</v>
      </c>
      <c r="X905" t="s">
        <v>1091</v>
      </c>
      <c r="Y905">
        <f t="shared" si="101"/>
        <v>0</v>
      </c>
      <c r="Z905" t="s">
        <v>1109</v>
      </c>
      <c r="AA905" t="str">
        <f t="shared" si="102"/>
        <v>High</v>
      </c>
      <c r="AB905" t="s">
        <v>1103</v>
      </c>
      <c r="AC905" t="str">
        <f t="shared" si="103"/>
        <v>No</v>
      </c>
      <c r="AD905">
        <v>3</v>
      </c>
      <c r="AE905">
        <v>21792</v>
      </c>
      <c r="AF905">
        <v>8716.8000000000011</v>
      </c>
      <c r="AG905">
        <f t="shared" si="104"/>
        <v>12650.4</v>
      </c>
    </row>
    <row r="906" spans="1:33" x14ac:dyDescent="0.25">
      <c r="A906">
        <v>1905</v>
      </c>
      <c r="B906" s="1">
        <v>45579</v>
      </c>
      <c r="C906" s="1">
        <v>45582</v>
      </c>
      <c r="D906" s="1">
        <v>45587</v>
      </c>
      <c r="E906" t="s">
        <v>1066</v>
      </c>
      <c r="F906" t="s">
        <v>934</v>
      </c>
      <c r="G906" t="s">
        <v>1070</v>
      </c>
      <c r="H906" t="str">
        <f t="shared" si="98"/>
        <v>Furniture</v>
      </c>
      <c r="I906">
        <v>4</v>
      </c>
      <c r="J906" t="str">
        <f>VLOOKUP(K906,$AJ$2:$AK$7,2,FALSE)</f>
        <v>S004</v>
      </c>
      <c r="K906" t="s">
        <v>1100</v>
      </c>
      <c r="L906">
        <v>3.4</v>
      </c>
      <c r="M906" t="str">
        <f>IFERROR(VLOOKUP(TRIM(N906),$AP$2:$AQ$12,2,FALSE),"W001")</f>
        <v>W008</v>
      </c>
      <c r="N906" t="s">
        <v>1061</v>
      </c>
      <c r="O906" t="s">
        <v>1061</v>
      </c>
      <c r="P906" t="str">
        <f>VLOOKUP(O906,$AL$2:$AM$12,2,FALSE)</f>
        <v>West</v>
      </c>
      <c r="Q906" t="s">
        <v>1083</v>
      </c>
      <c r="R906">
        <v>10</v>
      </c>
      <c r="S906" t="s">
        <v>1079</v>
      </c>
      <c r="T906">
        <f t="shared" si="99"/>
        <v>1</v>
      </c>
      <c r="U906">
        <v>5</v>
      </c>
      <c r="V906">
        <f t="shared" si="100"/>
        <v>10</v>
      </c>
      <c r="W906" t="s">
        <v>1087</v>
      </c>
      <c r="X906" t="s">
        <v>1091</v>
      </c>
      <c r="Y906">
        <f t="shared" si="101"/>
        <v>0</v>
      </c>
      <c r="Z906" t="s">
        <v>1108</v>
      </c>
      <c r="AA906" t="str">
        <f t="shared" si="102"/>
        <v>Medium</v>
      </c>
      <c r="AB906" t="s">
        <v>1103</v>
      </c>
      <c r="AC906" t="str">
        <f t="shared" si="103"/>
        <v>Yes</v>
      </c>
      <c r="AD906">
        <v>5</v>
      </c>
      <c r="AE906">
        <v>28332</v>
      </c>
      <c r="AF906">
        <v>11332.800000000001</v>
      </c>
      <c r="AG906">
        <f t="shared" si="104"/>
        <v>16994.199999999997</v>
      </c>
    </row>
    <row r="907" spans="1:33" x14ac:dyDescent="0.25">
      <c r="A907">
        <v>1906</v>
      </c>
      <c r="B907" s="1">
        <v>44216</v>
      </c>
      <c r="C907" s="1">
        <v>44217</v>
      </c>
      <c r="D907" s="1">
        <v>44224</v>
      </c>
      <c r="E907" t="s">
        <v>1066</v>
      </c>
      <c r="F907" t="s">
        <v>935</v>
      </c>
      <c r="G907" t="s">
        <v>1071</v>
      </c>
      <c r="H907" t="str">
        <f t="shared" si="98"/>
        <v>Clothing</v>
      </c>
      <c r="I907">
        <v>2</v>
      </c>
      <c r="J907" t="str">
        <f>VLOOKUP(K907,$AJ$2:$AK$7,2,FALSE)</f>
        <v>S002</v>
      </c>
      <c r="K907" t="s">
        <v>1098</v>
      </c>
      <c r="L907">
        <v>3.1</v>
      </c>
      <c r="M907" t="str">
        <f>IFERROR(VLOOKUP(TRIM(N907),$AP$2:$AQ$12,2,FALSE),"W001")</f>
        <v>W001</v>
      </c>
      <c r="N907" t="s">
        <v>1047</v>
      </c>
      <c r="O907" t="s">
        <v>1063</v>
      </c>
      <c r="P907" t="str">
        <f>VLOOKUP(O907,$AL$2:$AM$12,2,FALSE)</f>
        <v>South</v>
      </c>
      <c r="Q907" t="s">
        <v>1083</v>
      </c>
      <c r="R907">
        <v>1875</v>
      </c>
      <c r="S907" t="s">
        <v>1078</v>
      </c>
      <c r="T907">
        <f t="shared" si="99"/>
        <v>4</v>
      </c>
      <c r="U907">
        <v>937.5</v>
      </c>
      <c r="V907">
        <f t="shared" si="100"/>
        <v>10</v>
      </c>
      <c r="W907" t="s">
        <v>1086</v>
      </c>
      <c r="X907" t="s">
        <v>1090</v>
      </c>
      <c r="Y907">
        <f t="shared" si="101"/>
        <v>937.5</v>
      </c>
      <c r="Z907" t="s">
        <v>1109</v>
      </c>
      <c r="AA907" t="str">
        <f t="shared" si="102"/>
        <v>High</v>
      </c>
      <c r="AB907" t="s">
        <v>1104</v>
      </c>
      <c r="AC907" t="str">
        <f t="shared" si="103"/>
        <v>No</v>
      </c>
      <c r="AD907">
        <v>1</v>
      </c>
      <c r="AE907">
        <v>4470</v>
      </c>
      <c r="AF907">
        <v>1788</v>
      </c>
      <c r="AG907">
        <f t="shared" si="104"/>
        <v>1744.5</v>
      </c>
    </row>
    <row r="908" spans="1:33" x14ac:dyDescent="0.25">
      <c r="A908">
        <v>1907</v>
      </c>
      <c r="B908" s="1">
        <v>46021</v>
      </c>
      <c r="C908" s="1">
        <v>46024</v>
      </c>
      <c r="D908" s="1">
        <v>46028</v>
      </c>
      <c r="E908" t="s">
        <v>1066</v>
      </c>
      <c r="F908" t="s">
        <v>936</v>
      </c>
      <c r="G908" t="s">
        <v>1072</v>
      </c>
      <c r="H908" t="str">
        <f t="shared" si="98"/>
        <v>Electronics</v>
      </c>
      <c r="I908">
        <v>2</v>
      </c>
      <c r="J908" t="str">
        <f>VLOOKUP(K908,$AJ$2:$AK$7,2,FALSE)</f>
        <v>S001</v>
      </c>
      <c r="K908" t="s">
        <v>1097</v>
      </c>
      <c r="L908">
        <v>5</v>
      </c>
      <c r="M908" t="str">
        <f>IFERROR(VLOOKUP(TRIM(N908),$AP$2:$AQ$12,2,FALSE),"W001")</f>
        <v>W001</v>
      </c>
      <c r="N908" t="s">
        <v>1047</v>
      </c>
      <c r="O908" t="s">
        <v>1060</v>
      </c>
      <c r="P908" t="str">
        <f>VLOOKUP(O908,$AL$2:$AM$12,2,FALSE)</f>
        <v>North</v>
      </c>
      <c r="Q908" t="s">
        <v>1083</v>
      </c>
      <c r="R908">
        <v>1288</v>
      </c>
      <c r="S908" t="s">
        <v>1078</v>
      </c>
      <c r="T908">
        <f t="shared" si="99"/>
        <v>3</v>
      </c>
      <c r="U908">
        <v>644</v>
      </c>
      <c r="V908">
        <f t="shared" si="100"/>
        <v>10</v>
      </c>
      <c r="W908" t="s">
        <v>1088</v>
      </c>
      <c r="X908" t="s">
        <v>1091</v>
      </c>
      <c r="Y908">
        <f t="shared" si="101"/>
        <v>0</v>
      </c>
      <c r="Z908" t="s">
        <v>1108</v>
      </c>
      <c r="AA908" t="str">
        <f t="shared" si="102"/>
        <v>Medium</v>
      </c>
      <c r="AB908" t="s">
        <v>1103</v>
      </c>
      <c r="AC908" t="str">
        <f t="shared" si="103"/>
        <v>Yes</v>
      </c>
      <c r="AD908">
        <v>5</v>
      </c>
      <c r="AE908">
        <v>38426</v>
      </c>
      <c r="AF908">
        <v>15370.400000000001</v>
      </c>
      <c r="AG908">
        <f t="shared" si="104"/>
        <v>22411.599999999999</v>
      </c>
    </row>
    <row r="909" spans="1:33" x14ac:dyDescent="0.25">
      <c r="A909">
        <v>1908</v>
      </c>
      <c r="B909" s="1">
        <v>44360</v>
      </c>
      <c r="C909" s="1">
        <v>44363</v>
      </c>
      <c r="D909" s="1">
        <v>44369</v>
      </c>
      <c r="E909" t="s">
        <v>1066</v>
      </c>
      <c r="F909" t="s">
        <v>937</v>
      </c>
      <c r="G909" t="s">
        <v>1067</v>
      </c>
      <c r="H909" t="str">
        <f t="shared" si="98"/>
        <v>Clothing</v>
      </c>
      <c r="I909">
        <v>2</v>
      </c>
      <c r="J909" t="str">
        <f>VLOOKUP(K909,$AJ$2:$AK$7,2,FALSE)</f>
        <v>S003</v>
      </c>
      <c r="K909" t="s">
        <v>1099</v>
      </c>
      <c r="L909">
        <v>4.5999999999999996</v>
      </c>
      <c r="M909" t="str">
        <f>IFERROR(VLOOKUP(TRIM(N909),$AP$2:$AQ$12,2,FALSE),"W001")</f>
        <v>W005</v>
      </c>
      <c r="N909" t="s">
        <v>1055</v>
      </c>
      <c r="O909" t="s">
        <v>1055</v>
      </c>
      <c r="P909" t="str">
        <f>VLOOKUP(O909,$AL$2:$AM$12,2,FALSE)</f>
        <v>South</v>
      </c>
      <c r="Q909" t="s">
        <v>1082</v>
      </c>
      <c r="R909">
        <v>20</v>
      </c>
      <c r="S909" t="s">
        <v>1079</v>
      </c>
      <c r="T909">
        <f t="shared" si="99"/>
        <v>1</v>
      </c>
      <c r="U909">
        <v>8</v>
      </c>
      <c r="V909">
        <f t="shared" si="100"/>
        <v>8</v>
      </c>
      <c r="W909" t="s">
        <v>1088</v>
      </c>
      <c r="X909" t="s">
        <v>1090</v>
      </c>
      <c r="Y909">
        <f t="shared" si="101"/>
        <v>0</v>
      </c>
      <c r="Z909" t="s">
        <v>1108</v>
      </c>
      <c r="AA909" t="str">
        <f t="shared" si="102"/>
        <v>Medium</v>
      </c>
      <c r="AB909" t="s">
        <v>1104</v>
      </c>
      <c r="AC909" t="str">
        <f t="shared" si="103"/>
        <v>Yes</v>
      </c>
      <c r="AD909">
        <v>1</v>
      </c>
      <c r="AE909">
        <v>2492</v>
      </c>
      <c r="AF909">
        <v>996.80000000000007</v>
      </c>
      <c r="AG909">
        <f t="shared" si="104"/>
        <v>1487.1999999999998</v>
      </c>
    </row>
    <row r="910" spans="1:33" x14ac:dyDescent="0.25">
      <c r="A910">
        <v>1909</v>
      </c>
      <c r="B910" s="1">
        <v>45012</v>
      </c>
      <c r="C910" s="1">
        <v>45014</v>
      </c>
      <c r="D910" s="1">
        <v>45021</v>
      </c>
      <c r="E910" t="s">
        <v>1065</v>
      </c>
      <c r="F910" t="s">
        <v>938</v>
      </c>
      <c r="G910" t="s">
        <v>1071</v>
      </c>
      <c r="H910" t="str">
        <f t="shared" si="98"/>
        <v>Clothing</v>
      </c>
      <c r="I910">
        <v>8</v>
      </c>
      <c r="J910" t="str">
        <f>VLOOKUP(K910,$AJ$2:$AK$7,2,FALSE)</f>
        <v>S004</v>
      </c>
      <c r="K910" t="s">
        <v>1100</v>
      </c>
      <c r="L910">
        <v>4.5999999999999996</v>
      </c>
      <c r="M910" t="str">
        <f>IFERROR(VLOOKUP(TRIM(N910),$AP$2:$AQ$12,2,FALSE),"W001")</f>
        <v>W010</v>
      </c>
      <c r="N910" t="s">
        <v>1063</v>
      </c>
      <c r="O910" t="s">
        <v>1051</v>
      </c>
      <c r="P910" t="str">
        <f>VLOOKUP(O910,$AL$2:$AM$12,2,FALSE)</f>
        <v>West</v>
      </c>
      <c r="Q910" t="s">
        <v>1083</v>
      </c>
      <c r="R910">
        <v>1112</v>
      </c>
      <c r="S910" t="s">
        <v>1078</v>
      </c>
      <c r="T910">
        <f t="shared" si="99"/>
        <v>3</v>
      </c>
      <c r="U910">
        <v>556</v>
      </c>
      <c r="V910">
        <f t="shared" si="100"/>
        <v>10</v>
      </c>
      <c r="W910" t="s">
        <v>1088</v>
      </c>
      <c r="X910" t="s">
        <v>1089</v>
      </c>
      <c r="Y910">
        <f t="shared" si="101"/>
        <v>0</v>
      </c>
      <c r="Z910" t="s">
        <v>1108</v>
      </c>
      <c r="AA910" t="str">
        <f t="shared" si="102"/>
        <v>Medium</v>
      </c>
      <c r="AB910" t="s">
        <v>1103</v>
      </c>
      <c r="AC910" t="str">
        <f t="shared" si="103"/>
        <v>Yes</v>
      </c>
      <c r="AD910">
        <v>5</v>
      </c>
      <c r="AE910">
        <v>10992</v>
      </c>
      <c r="AF910">
        <v>4396.8</v>
      </c>
      <c r="AG910">
        <f t="shared" si="104"/>
        <v>6039.2</v>
      </c>
    </row>
    <row r="911" spans="1:33" x14ac:dyDescent="0.25">
      <c r="A911">
        <v>1910</v>
      </c>
      <c r="B911" s="1">
        <v>45112</v>
      </c>
      <c r="C911" s="1">
        <v>45114</v>
      </c>
      <c r="D911" s="1">
        <v>45117</v>
      </c>
      <c r="E911" t="s">
        <v>1066</v>
      </c>
      <c r="F911" t="s">
        <v>939</v>
      </c>
      <c r="G911" t="s">
        <v>1071</v>
      </c>
      <c r="H911" t="str">
        <f t="shared" si="98"/>
        <v>Clothing</v>
      </c>
      <c r="I911">
        <v>3</v>
      </c>
      <c r="J911" t="str">
        <f>VLOOKUP(K911,$AJ$2:$AK$7,2,FALSE)</f>
        <v>S006</v>
      </c>
      <c r="K911" t="s">
        <v>1102</v>
      </c>
      <c r="L911">
        <v>3</v>
      </c>
      <c r="M911" t="str">
        <f>IFERROR(VLOOKUP(TRIM(N911),$AP$2:$AQ$12,2,FALSE),"W001")</f>
        <v>W010</v>
      </c>
      <c r="N911" t="s">
        <v>1063</v>
      </c>
      <c r="O911" t="s">
        <v>1062</v>
      </c>
      <c r="P911" t="str">
        <f>VLOOKUP(O911,$AL$2:$AM$12,2,FALSE)</f>
        <v>North</v>
      </c>
      <c r="Q911" t="s">
        <v>1081</v>
      </c>
      <c r="R911">
        <v>463</v>
      </c>
      <c r="S911" t="s">
        <v>1066</v>
      </c>
      <c r="T911">
        <f t="shared" si="99"/>
        <v>3</v>
      </c>
      <c r="U911">
        <v>92.6</v>
      </c>
      <c r="V911">
        <f t="shared" si="100"/>
        <v>5</v>
      </c>
      <c r="W911" t="s">
        <v>1088</v>
      </c>
      <c r="X911" t="s">
        <v>1089</v>
      </c>
      <c r="Y911">
        <f t="shared" si="101"/>
        <v>0</v>
      </c>
      <c r="Z911" t="s">
        <v>1108</v>
      </c>
      <c r="AA911" t="str">
        <f t="shared" si="102"/>
        <v>Low</v>
      </c>
      <c r="AB911" t="s">
        <v>1103</v>
      </c>
      <c r="AC911" t="str">
        <f t="shared" si="103"/>
        <v>Yes</v>
      </c>
      <c r="AD911">
        <v>5</v>
      </c>
      <c r="AE911">
        <v>4272</v>
      </c>
      <c r="AF911">
        <v>1708.8000000000002</v>
      </c>
      <c r="AG911">
        <f t="shared" si="104"/>
        <v>2470.6</v>
      </c>
    </row>
    <row r="912" spans="1:33" x14ac:dyDescent="0.25">
      <c r="A912">
        <v>1911</v>
      </c>
      <c r="B912" s="1">
        <v>44373</v>
      </c>
      <c r="C912" s="1">
        <v>44374</v>
      </c>
      <c r="D912" s="1">
        <v>44379</v>
      </c>
      <c r="E912" t="s">
        <v>1064</v>
      </c>
      <c r="F912" t="s">
        <v>940</v>
      </c>
      <c r="G912" t="s">
        <v>1071</v>
      </c>
      <c r="H912" t="str">
        <f t="shared" si="98"/>
        <v>Clothing</v>
      </c>
      <c r="I912">
        <v>8</v>
      </c>
      <c r="J912" t="str">
        <f>VLOOKUP(K912,$AJ$2:$AK$7,2,FALSE)</f>
        <v>S001</v>
      </c>
      <c r="K912" t="s">
        <v>1097</v>
      </c>
      <c r="L912">
        <v>3.3</v>
      </c>
      <c r="M912" t="str">
        <f>IFERROR(VLOOKUP(TRIM(N912),$AP$2:$AQ$12,2,FALSE),"W001")</f>
        <v>W006</v>
      </c>
      <c r="N912" t="s">
        <v>1057</v>
      </c>
      <c r="O912" t="s">
        <v>1055</v>
      </c>
      <c r="P912" t="str">
        <f>VLOOKUP(O912,$AL$2:$AM$12,2,FALSE)</f>
        <v>South</v>
      </c>
      <c r="Q912" t="s">
        <v>1080</v>
      </c>
      <c r="R912">
        <v>1578</v>
      </c>
      <c r="S912" t="s">
        <v>1078</v>
      </c>
      <c r="T912">
        <f t="shared" si="99"/>
        <v>7</v>
      </c>
      <c r="U912">
        <v>236.7</v>
      </c>
      <c r="V912">
        <f t="shared" si="100"/>
        <v>4</v>
      </c>
      <c r="W912" t="s">
        <v>1087</v>
      </c>
      <c r="X912" t="s">
        <v>1091</v>
      </c>
      <c r="Y912">
        <f t="shared" si="101"/>
        <v>0</v>
      </c>
      <c r="Z912" t="s">
        <v>1108</v>
      </c>
      <c r="AA912" t="str">
        <f t="shared" si="102"/>
        <v>Low</v>
      </c>
      <c r="AB912" t="s">
        <v>1103</v>
      </c>
      <c r="AC912" t="str">
        <f t="shared" si="103"/>
        <v>Yes</v>
      </c>
      <c r="AD912">
        <v>4</v>
      </c>
      <c r="AE912">
        <v>16512</v>
      </c>
      <c r="AF912">
        <v>6604.8</v>
      </c>
      <c r="AG912">
        <f t="shared" si="104"/>
        <v>9670.5</v>
      </c>
    </row>
    <row r="913" spans="1:33" x14ac:dyDescent="0.25">
      <c r="A913">
        <v>1912</v>
      </c>
      <c r="B913" s="1">
        <v>45556</v>
      </c>
      <c r="C913" s="1">
        <v>45559</v>
      </c>
      <c r="D913" s="1">
        <v>45566</v>
      </c>
      <c r="E913" t="s">
        <v>1065</v>
      </c>
      <c r="F913" t="s">
        <v>941</v>
      </c>
      <c r="G913" t="s">
        <v>1071</v>
      </c>
      <c r="H913" t="str">
        <f t="shared" si="98"/>
        <v>Clothing</v>
      </c>
      <c r="I913">
        <v>8</v>
      </c>
      <c r="J913" t="str">
        <f>VLOOKUP(K913,$AJ$2:$AK$7,2,FALSE)</f>
        <v>S002</v>
      </c>
      <c r="K913" t="s">
        <v>1098</v>
      </c>
      <c r="L913">
        <v>4</v>
      </c>
      <c r="M913" t="str">
        <f>IFERROR(VLOOKUP(TRIM(N913),$AP$2:$AQ$12,2,FALSE),"W001")</f>
        <v>W004</v>
      </c>
      <c r="N913" t="s">
        <v>1053</v>
      </c>
      <c r="O913" t="s">
        <v>1047</v>
      </c>
      <c r="P913" t="str">
        <f>VLOOKUP(O913,$AL$2:$AM$12,2,FALSE)</f>
        <v>West</v>
      </c>
      <c r="Q913" t="s">
        <v>1080</v>
      </c>
      <c r="R913">
        <v>616</v>
      </c>
      <c r="S913" t="s">
        <v>1066</v>
      </c>
      <c r="T913">
        <f t="shared" si="99"/>
        <v>4</v>
      </c>
      <c r="U913">
        <v>92.4</v>
      </c>
      <c r="V913">
        <f t="shared" si="100"/>
        <v>4</v>
      </c>
      <c r="W913" t="s">
        <v>1087</v>
      </c>
      <c r="X913" t="s">
        <v>1090</v>
      </c>
      <c r="Y913">
        <f t="shared" si="101"/>
        <v>0</v>
      </c>
      <c r="Z913" t="s">
        <v>1108</v>
      </c>
      <c r="AA913" t="str">
        <f t="shared" si="102"/>
        <v>Low</v>
      </c>
      <c r="AB913" t="s">
        <v>1103</v>
      </c>
      <c r="AC913" t="str">
        <f t="shared" si="103"/>
        <v>Yes</v>
      </c>
      <c r="AD913">
        <v>5</v>
      </c>
      <c r="AE913">
        <v>22648</v>
      </c>
      <c r="AF913">
        <v>9059.2000000000007</v>
      </c>
      <c r="AG913">
        <f t="shared" si="104"/>
        <v>13496.4</v>
      </c>
    </row>
    <row r="914" spans="1:33" x14ac:dyDescent="0.25">
      <c r="A914">
        <v>1913</v>
      </c>
      <c r="B914" s="1">
        <v>44218</v>
      </c>
      <c r="C914" s="1">
        <v>44221</v>
      </c>
      <c r="D914" s="1">
        <v>44226</v>
      </c>
      <c r="E914" t="s">
        <v>1064</v>
      </c>
      <c r="F914" t="s">
        <v>942</v>
      </c>
      <c r="G914" t="s">
        <v>1068</v>
      </c>
      <c r="H914" t="str">
        <f t="shared" si="98"/>
        <v>Electronics</v>
      </c>
      <c r="I914">
        <v>10</v>
      </c>
      <c r="J914" t="str">
        <f>VLOOKUP(K914,$AJ$2:$AK$7,2,FALSE)</f>
        <v>S001</v>
      </c>
      <c r="K914" t="s">
        <v>1097</v>
      </c>
      <c r="L914">
        <v>3.1</v>
      </c>
      <c r="M914" t="str">
        <f>IFERROR(VLOOKUP(TRIM(N914),$AP$2:$AQ$12,2,FALSE),"W001")</f>
        <v>W002</v>
      </c>
      <c r="N914" t="s">
        <v>1049</v>
      </c>
      <c r="O914" t="s">
        <v>1061</v>
      </c>
      <c r="P914" t="str">
        <f>VLOOKUP(O914,$AL$2:$AM$12,2,FALSE)</f>
        <v>West</v>
      </c>
      <c r="Q914" t="s">
        <v>1082</v>
      </c>
      <c r="R914">
        <v>462</v>
      </c>
      <c r="S914" t="s">
        <v>1066</v>
      </c>
      <c r="T914">
        <f t="shared" si="99"/>
        <v>2</v>
      </c>
      <c r="U914">
        <v>184.8</v>
      </c>
      <c r="V914">
        <f t="shared" si="100"/>
        <v>8</v>
      </c>
      <c r="W914" t="s">
        <v>1086</v>
      </c>
      <c r="X914" t="s">
        <v>1091</v>
      </c>
      <c r="Y914">
        <f t="shared" si="101"/>
        <v>184.8</v>
      </c>
      <c r="Z914" t="s">
        <v>1108</v>
      </c>
      <c r="AA914" t="str">
        <f t="shared" si="102"/>
        <v>Medium</v>
      </c>
      <c r="AB914" t="s">
        <v>1103</v>
      </c>
      <c r="AC914" t="str">
        <f t="shared" si="103"/>
        <v>Yes</v>
      </c>
      <c r="AD914">
        <v>4</v>
      </c>
      <c r="AE914">
        <v>636050</v>
      </c>
      <c r="AF914">
        <v>254420</v>
      </c>
      <c r="AG914">
        <f t="shared" si="104"/>
        <v>381445.2</v>
      </c>
    </row>
    <row r="915" spans="1:33" x14ac:dyDescent="0.25">
      <c r="A915">
        <v>1914</v>
      </c>
      <c r="B915" s="1">
        <v>44687</v>
      </c>
      <c r="C915" s="1">
        <v>44690</v>
      </c>
      <c r="D915" s="1">
        <v>44695</v>
      </c>
      <c r="E915" t="s">
        <v>1064</v>
      </c>
      <c r="F915" t="s">
        <v>943</v>
      </c>
      <c r="G915" t="s">
        <v>1068</v>
      </c>
      <c r="H915" t="str">
        <f t="shared" si="98"/>
        <v>Electronics</v>
      </c>
      <c r="I915">
        <v>3</v>
      </c>
      <c r="J915" t="str">
        <f>VLOOKUP(K915,$AJ$2:$AK$7,2,FALSE)</f>
        <v>S001</v>
      </c>
      <c r="K915" t="s">
        <v>1097</v>
      </c>
      <c r="L915">
        <v>4</v>
      </c>
      <c r="M915" t="str">
        <f>IFERROR(VLOOKUP(TRIM(N915),$AP$2:$AQ$12,2,FALSE),"W001")</f>
        <v>W009</v>
      </c>
      <c r="N915" t="s">
        <v>1060</v>
      </c>
      <c r="O915" t="s">
        <v>1055</v>
      </c>
      <c r="P915" t="str">
        <f>VLOOKUP(O915,$AL$2:$AM$12,2,FALSE)</f>
        <v>South</v>
      </c>
      <c r="Q915" t="s">
        <v>1084</v>
      </c>
      <c r="R915">
        <v>156</v>
      </c>
      <c r="S915" t="s">
        <v>1079</v>
      </c>
      <c r="T915">
        <f t="shared" si="99"/>
        <v>1</v>
      </c>
      <c r="U915">
        <v>46.8</v>
      </c>
      <c r="V915">
        <f t="shared" si="100"/>
        <v>6</v>
      </c>
      <c r="W915" t="s">
        <v>1087</v>
      </c>
      <c r="X915" t="s">
        <v>1090</v>
      </c>
      <c r="Y915">
        <f t="shared" si="101"/>
        <v>0</v>
      </c>
      <c r="Z915" t="s">
        <v>1108</v>
      </c>
      <c r="AA915" t="str">
        <f t="shared" si="102"/>
        <v>Low</v>
      </c>
      <c r="AB915" t="s">
        <v>1103</v>
      </c>
      <c r="AC915" t="str">
        <f t="shared" si="103"/>
        <v>Yes</v>
      </c>
      <c r="AD915">
        <v>5</v>
      </c>
      <c r="AE915">
        <v>156849</v>
      </c>
      <c r="AF915">
        <v>62739.600000000006</v>
      </c>
      <c r="AG915">
        <f t="shared" si="104"/>
        <v>94062.599999999991</v>
      </c>
    </row>
    <row r="916" spans="1:33" x14ac:dyDescent="0.25">
      <c r="A916">
        <v>1915</v>
      </c>
      <c r="B916" s="1">
        <v>45679</v>
      </c>
      <c r="C916" s="1">
        <v>45682</v>
      </c>
      <c r="D916" s="1">
        <v>45688</v>
      </c>
      <c r="E916" t="s">
        <v>1066</v>
      </c>
      <c r="F916" t="s">
        <v>944</v>
      </c>
      <c r="G916" t="s">
        <v>1072</v>
      </c>
      <c r="H916" t="str">
        <f t="shared" si="98"/>
        <v>Electronics</v>
      </c>
      <c r="I916">
        <v>1</v>
      </c>
      <c r="J916" t="str">
        <f>VLOOKUP(K916,$AJ$2:$AK$7,2,FALSE)</f>
        <v>S002</v>
      </c>
      <c r="K916" t="s">
        <v>1098</v>
      </c>
      <c r="L916">
        <v>4.5999999999999996</v>
      </c>
      <c r="M916" t="str">
        <f>IFERROR(VLOOKUP(TRIM(N916),$AP$2:$AQ$12,2,FALSE),"W001")</f>
        <v>W009</v>
      </c>
      <c r="N916" t="s">
        <v>1060</v>
      </c>
      <c r="O916" t="s">
        <v>1053</v>
      </c>
      <c r="P916" t="str">
        <f>VLOOKUP(O916,$AL$2:$AM$12,2,FALSE)</f>
        <v>South</v>
      </c>
      <c r="Q916" t="s">
        <v>1083</v>
      </c>
      <c r="R916">
        <v>1988</v>
      </c>
      <c r="S916" t="s">
        <v>1078</v>
      </c>
      <c r="T916">
        <f t="shared" si="99"/>
        <v>4</v>
      </c>
      <c r="U916">
        <v>994</v>
      </c>
      <c r="V916">
        <f t="shared" si="100"/>
        <v>10</v>
      </c>
      <c r="W916" t="s">
        <v>1086</v>
      </c>
      <c r="X916" t="s">
        <v>1091</v>
      </c>
      <c r="Y916">
        <f t="shared" si="101"/>
        <v>994</v>
      </c>
      <c r="Z916" t="s">
        <v>1109</v>
      </c>
      <c r="AA916" t="str">
        <f t="shared" si="102"/>
        <v>High</v>
      </c>
      <c r="AB916" t="s">
        <v>1103</v>
      </c>
      <c r="AC916" t="str">
        <f t="shared" si="103"/>
        <v>No</v>
      </c>
      <c r="AD916">
        <v>2</v>
      </c>
      <c r="AE916">
        <v>25348</v>
      </c>
      <c r="AF916">
        <v>10139.200000000001</v>
      </c>
      <c r="AG916">
        <f t="shared" si="104"/>
        <v>14214.8</v>
      </c>
    </row>
    <row r="917" spans="1:33" x14ac:dyDescent="0.25">
      <c r="A917">
        <v>1916</v>
      </c>
      <c r="B917" s="1">
        <v>44320</v>
      </c>
      <c r="C917" s="1">
        <v>44322</v>
      </c>
      <c r="D917" s="1">
        <v>44328</v>
      </c>
      <c r="E917" t="s">
        <v>1066</v>
      </c>
      <c r="F917" t="s">
        <v>945</v>
      </c>
      <c r="G917" t="s">
        <v>1070</v>
      </c>
      <c r="H917" t="str">
        <f t="shared" si="98"/>
        <v>Furniture</v>
      </c>
      <c r="I917">
        <v>6</v>
      </c>
      <c r="J917" t="str">
        <f>VLOOKUP(K917,$AJ$2:$AK$7,2,FALSE)</f>
        <v>S003</v>
      </c>
      <c r="K917" t="s">
        <v>1099</v>
      </c>
      <c r="L917">
        <v>4.3</v>
      </c>
      <c r="M917" t="str">
        <f>IFERROR(VLOOKUP(TRIM(N917),$AP$2:$AQ$12,2,FALSE),"W001")</f>
        <v>W004</v>
      </c>
      <c r="N917" t="s">
        <v>1053</v>
      </c>
      <c r="O917" t="s">
        <v>1059</v>
      </c>
      <c r="P917" t="str">
        <f>VLOOKUP(O917,$AL$2:$AM$12,2,FALSE)</f>
        <v>North</v>
      </c>
      <c r="Q917" t="s">
        <v>1084</v>
      </c>
      <c r="R917">
        <v>1217</v>
      </c>
      <c r="S917" t="s">
        <v>1078</v>
      </c>
      <c r="T917">
        <f t="shared" si="99"/>
        <v>4</v>
      </c>
      <c r="U917">
        <v>365.1</v>
      </c>
      <c r="V917">
        <f t="shared" si="100"/>
        <v>6</v>
      </c>
      <c r="W917" t="s">
        <v>1086</v>
      </c>
      <c r="X917" t="s">
        <v>1091</v>
      </c>
      <c r="Y917">
        <f t="shared" si="101"/>
        <v>365.1</v>
      </c>
      <c r="Z917" t="s">
        <v>1108</v>
      </c>
      <c r="AA917" t="str">
        <f t="shared" si="102"/>
        <v>Low</v>
      </c>
      <c r="AB917" t="s">
        <v>1103</v>
      </c>
      <c r="AC917" t="str">
        <f t="shared" si="103"/>
        <v>Yes</v>
      </c>
      <c r="AD917">
        <v>4</v>
      </c>
      <c r="AE917">
        <v>28386</v>
      </c>
      <c r="AF917">
        <v>11354.400000000001</v>
      </c>
      <c r="AG917">
        <f t="shared" si="104"/>
        <v>16666.5</v>
      </c>
    </row>
    <row r="918" spans="1:33" x14ac:dyDescent="0.25">
      <c r="A918">
        <v>1917</v>
      </c>
      <c r="B918" s="1">
        <v>44480</v>
      </c>
      <c r="C918" s="1">
        <v>44483</v>
      </c>
      <c r="D918" s="1">
        <v>44485</v>
      </c>
      <c r="E918" t="s">
        <v>1064</v>
      </c>
      <c r="F918" t="s">
        <v>946</v>
      </c>
      <c r="G918" t="s">
        <v>1071</v>
      </c>
      <c r="H918" t="str">
        <f t="shared" si="98"/>
        <v>Clothing</v>
      </c>
      <c r="I918">
        <v>6</v>
      </c>
      <c r="J918" t="str">
        <f>VLOOKUP(K918,$AJ$2:$AK$7,2,FALSE)</f>
        <v>S005</v>
      </c>
      <c r="K918" t="s">
        <v>1101</v>
      </c>
      <c r="L918">
        <v>3.7</v>
      </c>
      <c r="M918" t="str">
        <f>IFERROR(VLOOKUP(TRIM(N918),$AP$2:$AQ$12,2,FALSE),"W001")</f>
        <v>W005</v>
      </c>
      <c r="N918" t="s">
        <v>1055</v>
      </c>
      <c r="O918" t="s">
        <v>1057</v>
      </c>
      <c r="P918" t="str">
        <f>VLOOKUP(O918,$AL$2:$AM$12,2,FALSE)</f>
        <v>South</v>
      </c>
      <c r="Q918" t="s">
        <v>1083</v>
      </c>
      <c r="R918">
        <v>1712</v>
      </c>
      <c r="S918" t="s">
        <v>1078</v>
      </c>
      <c r="T918">
        <f t="shared" si="99"/>
        <v>3</v>
      </c>
      <c r="U918">
        <v>856</v>
      </c>
      <c r="V918">
        <f t="shared" si="100"/>
        <v>10</v>
      </c>
      <c r="W918" t="s">
        <v>1088</v>
      </c>
      <c r="X918" t="s">
        <v>1091</v>
      </c>
      <c r="Y918">
        <f t="shared" si="101"/>
        <v>0</v>
      </c>
      <c r="Z918" t="s">
        <v>1108</v>
      </c>
      <c r="AA918" t="str">
        <f t="shared" si="102"/>
        <v>Medium</v>
      </c>
      <c r="AB918" t="s">
        <v>1103</v>
      </c>
      <c r="AC918" t="str">
        <f t="shared" si="103"/>
        <v>Yes</v>
      </c>
      <c r="AD918">
        <v>5</v>
      </c>
      <c r="AE918">
        <v>13716</v>
      </c>
      <c r="AF918">
        <v>5486.4000000000005</v>
      </c>
      <c r="AG918">
        <f t="shared" si="104"/>
        <v>7373.5999999999985</v>
      </c>
    </row>
    <row r="919" spans="1:33" x14ac:dyDescent="0.25">
      <c r="A919">
        <v>1918</v>
      </c>
      <c r="B919" s="1">
        <v>44728</v>
      </c>
      <c r="C919" s="1">
        <v>44731</v>
      </c>
      <c r="D919" s="1">
        <v>44733</v>
      </c>
      <c r="E919" t="s">
        <v>1064</v>
      </c>
      <c r="F919" t="s">
        <v>947</v>
      </c>
      <c r="G919" t="s">
        <v>1069</v>
      </c>
      <c r="H919" t="str">
        <f t="shared" si="98"/>
        <v>Furniture</v>
      </c>
      <c r="I919">
        <v>10</v>
      </c>
      <c r="J919" t="str">
        <f>VLOOKUP(K919,$AJ$2:$AK$7,2,FALSE)</f>
        <v>S006</v>
      </c>
      <c r="K919" t="s">
        <v>1102</v>
      </c>
      <c r="L919">
        <v>3</v>
      </c>
      <c r="M919" t="str">
        <f>IFERROR(VLOOKUP(TRIM(N919),$AP$2:$AQ$12,2,FALSE),"W001")</f>
        <v>W011</v>
      </c>
      <c r="N919" t="s">
        <v>1059</v>
      </c>
      <c r="O919" t="s">
        <v>1055</v>
      </c>
      <c r="P919" t="str">
        <f>VLOOKUP(O919,$AL$2:$AM$12,2,FALSE)</f>
        <v>South</v>
      </c>
      <c r="Q919" t="s">
        <v>1080</v>
      </c>
      <c r="R919">
        <v>294</v>
      </c>
      <c r="S919" t="s">
        <v>1066</v>
      </c>
      <c r="T919">
        <f t="shared" si="99"/>
        <v>3</v>
      </c>
      <c r="U919">
        <v>44.1</v>
      </c>
      <c r="V919">
        <f t="shared" si="100"/>
        <v>4</v>
      </c>
      <c r="W919" t="s">
        <v>1088</v>
      </c>
      <c r="X919" t="s">
        <v>1091</v>
      </c>
      <c r="Y919">
        <f t="shared" si="101"/>
        <v>0</v>
      </c>
      <c r="Z919" t="s">
        <v>1108</v>
      </c>
      <c r="AA919" t="str">
        <f t="shared" si="102"/>
        <v>Low</v>
      </c>
      <c r="AB919" t="s">
        <v>1103</v>
      </c>
      <c r="AC919" t="str">
        <f t="shared" si="103"/>
        <v>Yes</v>
      </c>
      <c r="AD919">
        <v>4</v>
      </c>
      <c r="AE919">
        <v>135130</v>
      </c>
      <c r="AF919">
        <v>54052</v>
      </c>
      <c r="AG919">
        <f t="shared" si="104"/>
        <v>81033.899999999994</v>
      </c>
    </row>
    <row r="920" spans="1:33" x14ac:dyDescent="0.25">
      <c r="A920">
        <v>1919</v>
      </c>
      <c r="B920" s="1">
        <v>44938</v>
      </c>
      <c r="C920" s="1">
        <v>44941</v>
      </c>
      <c r="D920" s="1">
        <v>44943</v>
      </c>
      <c r="E920" t="s">
        <v>1066</v>
      </c>
      <c r="F920" t="s">
        <v>948</v>
      </c>
      <c r="G920" t="s">
        <v>1069</v>
      </c>
      <c r="H920" t="str">
        <f t="shared" si="98"/>
        <v>Furniture</v>
      </c>
      <c r="I920">
        <v>4</v>
      </c>
      <c r="J920" t="str">
        <f>VLOOKUP(K920,$AJ$2:$AK$7,2,FALSE)</f>
        <v>S004</v>
      </c>
      <c r="K920" t="s">
        <v>1100</v>
      </c>
      <c r="L920">
        <v>3.1</v>
      </c>
      <c r="M920" t="str">
        <f>IFERROR(VLOOKUP(TRIM(N920),$AP$2:$AQ$12,2,FALSE),"W001")</f>
        <v>W002</v>
      </c>
      <c r="N920" t="s">
        <v>1049</v>
      </c>
      <c r="O920" t="s">
        <v>1061</v>
      </c>
      <c r="P920" t="str">
        <f>VLOOKUP(O920,$AL$2:$AM$12,2,FALSE)</f>
        <v>West</v>
      </c>
      <c r="Q920" t="s">
        <v>1082</v>
      </c>
      <c r="R920">
        <v>543</v>
      </c>
      <c r="S920" t="s">
        <v>1066</v>
      </c>
      <c r="T920">
        <f t="shared" si="99"/>
        <v>2</v>
      </c>
      <c r="U920">
        <v>217.2</v>
      </c>
      <c r="V920">
        <f t="shared" si="100"/>
        <v>8</v>
      </c>
      <c r="W920" t="s">
        <v>1087</v>
      </c>
      <c r="X920" t="s">
        <v>1091</v>
      </c>
      <c r="Y920">
        <f t="shared" si="101"/>
        <v>0</v>
      </c>
      <c r="Z920" t="s">
        <v>1108</v>
      </c>
      <c r="AA920" t="str">
        <f t="shared" si="102"/>
        <v>Medium</v>
      </c>
      <c r="AB920" t="s">
        <v>1103</v>
      </c>
      <c r="AC920" t="str">
        <f t="shared" si="103"/>
        <v>Yes</v>
      </c>
      <c r="AD920">
        <v>4</v>
      </c>
      <c r="AE920">
        <v>58100</v>
      </c>
      <c r="AF920">
        <v>23240</v>
      </c>
      <c r="AG920">
        <f t="shared" si="104"/>
        <v>34642.800000000003</v>
      </c>
    </row>
    <row r="921" spans="1:33" x14ac:dyDescent="0.25">
      <c r="A921">
        <v>1920</v>
      </c>
      <c r="B921" s="1">
        <v>45225</v>
      </c>
      <c r="C921" s="1">
        <v>45226</v>
      </c>
      <c r="D921" s="1">
        <v>45233</v>
      </c>
      <c r="E921" t="s">
        <v>1066</v>
      </c>
      <c r="F921" t="s">
        <v>949</v>
      </c>
      <c r="G921" t="s">
        <v>1068</v>
      </c>
      <c r="H921" t="str">
        <f t="shared" si="98"/>
        <v>Electronics</v>
      </c>
      <c r="I921">
        <v>7</v>
      </c>
      <c r="J921" t="str">
        <f>VLOOKUP(K921,$AJ$2:$AK$7,2,FALSE)</f>
        <v>S001</v>
      </c>
      <c r="K921" t="s">
        <v>1097</v>
      </c>
      <c r="L921">
        <v>4.5999999999999996</v>
      </c>
      <c r="M921" t="str">
        <f>IFERROR(VLOOKUP(TRIM(N921),$AP$2:$AQ$12,2,FALSE),"W001")</f>
        <v>W006</v>
      </c>
      <c r="N921" t="s">
        <v>1057</v>
      </c>
      <c r="O921" t="s">
        <v>1055</v>
      </c>
      <c r="P921" t="str">
        <f>VLOOKUP(O921,$AL$2:$AM$12,2,FALSE)</f>
        <v>South</v>
      </c>
      <c r="Q921" t="s">
        <v>1085</v>
      </c>
      <c r="R921">
        <v>1653</v>
      </c>
      <c r="S921" t="s">
        <v>1078</v>
      </c>
      <c r="T921">
        <f t="shared" si="99"/>
        <v>11</v>
      </c>
      <c r="U921">
        <v>165.3</v>
      </c>
      <c r="V921">
        <f t="shared" si="100"/>
        <v>3</v>
      </c>
      <c r="W921" t="s">
        <v>1088</v>
      </c>
      <c r="X921" t="s">
        <v>1089</v>
      </c>
      <c r="Y921">
        <f t="shared" si="101"/>
        <v>0</v>
      </c>
      <c r="Z921" t="s">
        <v>1108</v>
      </c>
      <c r="AA921" t="str">
        <f t="shared" si="102"/>
        <v>Low</v>
      </c>
      <c r="AB921" t="s">
        <v>1103</v>
      </c>
      <c r="AC921" t="str">
        <f t="shared" si="103"/>
        <v>Yes</v>
      </c>
      <c r="AD921">
        <v>5</v>
      </c>
      <c r="AE921">
        <v>326221</v>
      </c>
      <c r="AF921">
        <v>130488.40000000001</v>
      </c>
      <c r="AG921">
        <f t="shared" si="104"/>
        <v>195567.3</v>
      </c>
    </row>
    <row r="922" spans="1:33" x14ac:dyDescent="0.25">
      <c r="A922">
        <v>1921</v>
      </c>
      <c r="B922" s="1">
        <v>44727</v>
      </c>
      <c r="C922" s="1">
        <v>44728</v>
      </c>
      <c r="D922" s="1">
        <v>44734</v>
      </c>
      <c r="E922" t="s">
        <v>1066</v>
      </c>
      <c r="F922" t="s">
        <v>950</v>
      </c>
      <c r="G922" t="s">
        <v>1072</v>
      </c>
      <c r="H922" t="str">
        <f t="shared" si="98"/>
        <v>Electronics</v>
      </c>
      <c r="I922">
        <v>10</v>
      </c>
      <c r="J922" t="str">
        <f>VLOOKUP(K922,$AJ$2:$AK$7,2,FALSE)</f>
        <v>S004</v>
      </c>
      <c r="K922" t="s">
        <v>1100</v>
      </c>
      <c r="L922">
        <v>4.5999999999999996</v>
      </c>
      <c r="M922" t="str">
        <f>IFERROR(VLOOKUP(TRIM(N922),$AP$2:$AQ$12,2,FALSE),"W001")</f>
        <v>W003</v>
      </c>
      <c r="N922" t="s">
        <v>1051</v>
      </c>
      <c r="O922" t="s">
        <v>1059</v>
      </c>
      <c r="P922" t="str">
        <f>VLOOKUP(O922,$AL$2:$AM$12,2,FALSE)</f>
        <v>North</v>
      </c>
      <c r="Q922" t="s">
        <v>1083</v>
      </c>
      <c r="R922">
        <v>1218</v>
      </c>
      <c r="S922" t="s">
        <v>1078</v>
      </c>
      <c r="T922">
        <f t="shared" si="99"/>
        <v>3</v>
      </c>
      <c r="U922">
        <v>609</v>
      </c>
      <c r="V922">
        <f t="shared" si="100"/>
        <v>10</v>
      </c>
      <c r="W922" t="s">
        <v>1087</v>
      </c>
      <c r="X922" t="s">
        <v>1091</v>
      </c>
      <c r="Y922">
        <f t="shared" si="101"/>
        <v>0</v>
      </c>
      <c r="Z922" t="s">
        <v>1108</v>
      </c>
      <c r="AA922" t="str">
        <f t="shared" si="102"/>
        <v>Medium</v>
      </c>
      <c r="AB922" t="s">
        <v>1103</v>
      </c>
      <c r="AC922" t="str">
        <f t="shared" si="103"/>
        <v>Yes</v>
      </c>
      <c r="AD922">
        <v>5</v>
      </c>
      <c r="AE922">
        <v>205550</v>
      </c>
      <c r="AF922">
        <v>82220</v>
      </c>
      <c r="AG922">
        <f t="shared" si="104"/>
        <v>122721</v>
      </c>
    </row>
    <row r="923" spans="1:33" x14ac:dyDescent="0.25">
      <c r="A923">
        <v>1922</v>
      </c>
      <c r="B923" s="1">
        <v>45396</v>
      </c>
      <c r="C923" s="1">
        <v>45397</v>
      </c>
      <c r="D923" s="1">
        <v>45402</v>
      </c>
      <c r="E923" t="s">
        <v>1065</v>
      </c>
      <c r="F923" t="s">
        <v>951</v>
      </c>
      <c r="G923" t="s">
        <v>1071</v>
      </c>
      <c r="H923" t="str">
        <f t="shared" si="98"/>
        <v>Clothing</v>
      </c>
      <c r="I923">
        <v>3</v>
      </c>
      <c r="J923" t="str">
        <f>VLOOKUP(K923,$AJ$2:$AK$7,2,FALSE)</f>
        <v>S001</v>
      </c>
      <c r="K923" t="s">
        <v>1097</v>
      </c>
      <c r="L923">
        <v>3.8</v>
      </c>
      <c r="M923" t="str">
        <f>IFERROR(VLOOKUP(TRIM(N923),$AP$2:$AQ$12,2,FALSE),"W001")</f>
        <v>W009</v>
      </c>
      <c r="N923" t="s">
        <v>1060</v>
      </c>
      <c r="O923" t="s">
        <v>1060</v>
      </c>
      <c r="P923" t="str">
        <f>VLOOKUP(O923,$AL$2:$AM$12,2,FALSE)</f>
        <v>North</v>
      </c>
      <c r="Q923" t="s">
        <v>1080</v>
      </c>
      <c r="R923">
        <v>31</v>
      </c>
      <c r="S923" t="s">
        <v>1079</v>
      </c>
      <c r="T923">
        <f t="shared" si="99"/>
        <v>2</v>
      </c>
      <c r="U923">
        <v>4.6500000000000004</v>
      </c>
      <c r="V923">
        <f t="shared" si="100"/>
        <v>4</v>
      </c>
      <c r="W923" t="s">
        <v>1088</v>
      </c>
      <c r="X923" t="s">
        <v>1091</v>
      </c>
      <c r="Y923">
        <f t="shared" si="101"/>
        <v>0</v>
      </c>
      <c r="Z923" t="s">
        <v>1108</v>
      </c>
      <c r="AA923" t="str">
        <f t="shared" si="102"/>
        <v>Low</v>
      </c>
      <c r="AB923" t="s">
        <v>1103</v>
      </c>
      <c r="AC923" t="str">
        <f t="shared" si="103"/>
        <v>Yes</v>
      </c>
      <c r="AD923">
        <v>5</v>
      </c>
      <c r="AE923">
        <v>7458</v>
      </c>
      <c r="AF923">
        <v>2983.2000000000003</v>
      </c>
      <c r="AG923">
        <f t="shared" si="104"/>
        <v>4470.1499999999996</v>
      </c>
    </row>
    <row r="924" spans="1:33" x14ac:dyDescent="0.25">
      <c r="A924">
        <v>1923</v>
      </c>
      <c r="B924" s="1">
        <v>45114</v>
      </c>
      <c r="C924" s="1">
        <v>45115</v>
      </c>
      <c r="D924" s="1">
        <v>45122</v>
      </c>
      <c r="E924" t="s">
        <v>1064</v>
      </c>
      <c r="F924" t="s">
        <v>952</v>
      </c>
      <c r="G924" t="s">
        <v>1067</v>
      </c>
      <c r="H924" t="str">
        <f t="shared" si="98"/>
        <v>Clothing</v>
      </c>
      <c r="I924">
        <v>8</v>
      </c>
      <c r="J924" t="str">
        <f>VLOOKUP(K924,$AJ$2:$AK$7,2,FALSE)</f>
        <v>S001</v>
      </c>
      <c r="K924" t="s">
        <v>1097</v>
      </c>
      <c r="L924">
        <v>4.4000000000000004</v>
      </c>
      <c r="M924" t="str">
        <f>IFERROR(VLOOKUP(TRIM(N924),$AP$2:$AQ$12,2,FALSE),"W001")</f>
        <v>W010</v>
      </c>
      <c r="N924" t="s">
        <v>1063</v>
      </c>
      <c r="O924" t="s">
        <v>1062</v>
      </c>
      <c r="P924" t="str">
        <f>VLOOKUP(O924,$AL$2:$AM$12,2,FALSE)</f>
        <v>North</v>
      </c>
      <c r="Q924" t="s">
        <v>1080</v>
      </c>
      <c r="R924">
        <v>1813</v>
      </c>
      <c r="S924" t="s">
        <v>1078</v>
      </c>
      <c r="T924">
        <f t="shared" si="99"/>
        <v>8</v>
      </c>
      <c r="U924">
        <v>271.95</v>
      </c>
      <c r="V924">
        <f t="shared" si="100"/>
        <v>4</v>
      </c>
      <c r="W924" t="s">
        <v>1087</v>
      </c>
      <c r="X924" t="s">
        <v>1091</v>
      </c>
      <c r="Y924">
        <f t="shared" si="101"/>
        <v>0</v>
      </c>
      <c r="Z924" t="s">
        <v>1108</v>
      </c>
      <c r="AA924" t="str">
        <f t="shared" si="102"/>
        <v>Low</v>
      </c>
      <c r="AB924" t="s">
        <v>1103</v>
      </c>
      <c r="AC924" t="str">
        <f t="shared" si="103"/>
        <v>Yes</v>
      </c>
      <c r="AD924">
        <v>5</v>
      </c>
      <c r="AE924">
        <v>7656</v>
      </c>
      <c r="AF924">
        <v>3062.4</v>
      </c>
      <c r="AG924">
        <f t="shared" si="104"/>
        <v>4321.6500000000005</v>
      </c>
    </row>
    <row r="925" spans="1:33" x14ac:dyDescent="0.25">
      <c r="A925">
        <v>1924</v>
      </c>
      <c r="B925" s="1">
        <v>44516</v>
      </c>
      <c r="C925" s="1">
        <v>44517</v>
      </c>
      <c r="D925" s="1">
        <v>44521</v>
      </c>
      <c r="E925" t="s">
        <v>1065</v>
      </c>
      <c r="F925" t="s">
        <v>953</v>
      </c>
      <c r="G925" t="s">
        <v>1071</v>
      </c>
      <c r="H925" t="str">
        <f t="shared" si="98"/>
        <v>Clothing</v>
      </c>
      <c r="I925">
        <v>3</v>
      </c>
      <c r="J925" t="str">
        <f>VLOOKUP(K925,$AJ$2:$AK$7,2,FALSE)</f>
        <v>S001</v>
      </c>
      <c r="K925" t="s">
        <v>1097</v>
      </c>
      <c r="L925">
        <v>3.1</v>
      </c>
      <c r="M925" t="str">
        <f>IFERROR(VLOOKUP(TRIM(N925),$AP$2:$AQ$12,2,FALSE),"W001")</f>
        <v>W010</v>
      </c>
      <c r="N925" t="s">
        <v>1063</v>
      </c>
      <c r="O925" t="s">
        <v>1053</v>
      </c>
      <c r="P925" t="str">
        <f>VLOOKUP(O925,$AL$2:$AM$12,2,FALSE)</f>
        <v>South</v>
      </c>
      <c r="Q925" t="s">
        <v>1085</v>
      </c>
      <c r="R925">
        <v>735</v>
      </c>
      <c r="S925" t="s">
        <v>1066</v>
      </c>
      <c r="T925">
        <f t="shared" si="99"/>
        <v>7</v>
      </c>
      <c r="U925">
        <v>73.5</v>
      </c>
      <c r="V925">
        <f t="shared" si="100"/>
        <v>3</v>
      </c>
      <c r="W925" t="s">
        <v>1088</v>
      </c>
      <c r="X925" t="s">
        <v>1091</v>
      </c>
      <c r="Y925">
        <f t="shared" si="101"/>
        <v>0</v>
      </c>
      <c r="Z925" t="s">
        <v>1108</v>
      </c>
      <c r="AA925" t="str">
        <f t="shared" si="102"/>
        <v>Low</v>
      </c>
      <c r="AB925" t="s">
        <v>1103</v>
      </c>
      <c r="AC925" t="str">
        <f t="shared" si="103"/>
        <v>Yes</v>
      </c>
      <c r="AD925">
        <v>5</v>
      </c>
      <c r="AE925">
        <v>5514</v>
      </c>
      <c r="AF925">
        <v>2205.6</v>
      </c>
      <c r="AG925">
        <f t="shared" si="104"/>
        <v>3234.9</v>
      </c>
    </row>
    <row r="926" spans="1:33" x14ac:dyDescent="0.25">
      <c r="A926">
        <v>1925</v>
      </c>
      <c r="B926" s="1">
        <v>45320</v>
      </c>
      <c r="C926" s="1">
        <v>45321</v>
      </c>
      <c r="D926" s="1">
        <v>45324</v>
      </c>
      <c r="E926" t="s">
        <v>1065</v>
      </c>
      <c r="F926" t="s">
        <v>954</v>
      </c>
      <c r="G926" t="s">
        <v>1070</v>
      </c>
      <c r="H926" t="str">
        <f t="shared" si="98"/>
        <v>Furniture</v>
      </c>
      <c r="I926">
        <v>6</v>
      </c>
      <c r="J926" t="str">
        <f>VLOOKUP(K926,$AJ$2:$AK$7,2,FALSE)</f>
        <v>S004</v>
      </c>
      <c r="K926" t="s">
        <v>1100</v>
      </c>
      <c r="L926">
        <v>3.6</v>
      </c>
      <c r="M926" t="str">
        <f>IFERROR(VLOOKUP(TRIM(N926),$AP$2:$AQ$12,2,FALSE),"W001")</f>
        <v>W009</v>
      </c>
      <c r="N926" t="s">
        <v>1060</v>
      </c>
      <c r="O926" t="s">
        <v>1047</v>
      </c>
      <c r="P926" t="str">
        <f>VLOOKUP(O926,$AL$2:$AM$12,2,FALSE)</f>
        <v>West</v>
      </c>
      <c r="Q926" t="s">
        <v>1082</v>
      </c>
      <c r="R926">
        <v>444</v>
      </c>
      <c r="S926" t="s">
        <v>1066</v>
      </c>
      <c r="T926">
        <f t="shared" si="99"/>
        <v>2</v>
      </c>
      <c r="U926">
        <v>177.6</v>
      </c>
      <c r="V926">
        <f t="shared" si="100"/>
        <v>8</v>
      </c>
      <c r="W926" t="s">
        <v>1087</v>
      </c>
      <c r="X926" t="s">
        <v>1091</v>
      </c>
      <c r="Y926">
        <f t="shared" si="101"/>
        <v>0</v>
      </c>
      <c r="Z926" t="s">
        <v>1108</v>
      </c>
      <c r="AA926" t="str">
        <f t="shared" si="102"/>
        <v>Medium</v>
      </c>
      <c r="AB926" t="s">
        <v>1103</v>
      </c>
      <c r="AC926" t="str">
        <f t="shared" si="103"/>
        <v>Yes</v>
      </c>
      <c r="AD926">
        <v>4</v>
      </c>
      <c r="AE926">
        <v>35988</v>
      </c>
      <c r="AF926">
        <v>14395.2</v>
      </c>
      <c r="AG926">
        <f t="shared" si="104"/>
        <v>21415.200000000001</v>
      </c>
    </row>
    <row r="927" spans="1:33" x14ac:dyDescent="0.25">
      <c r="A927">
        <v>1926</v>
      </c>
      <c r="B927" s="1">
        <v>45037</v>
      </c>
      <c r="C927" s="1">
        <v>45039</v>
      </c>
      <c r="D927" s="1">
        <v>45043</v>
      </c>
      <c r="E927" t="s">
        <v>1066</v>
      </c>
      <c r="F927" t="s">
        <v>955</v>
      </c>
      <c r="G927" t="s">
        <v>1072</v>
      </c>
      <c r="H927" t="str">
        <f t="shared" si="98"/>
        <v>Electronics</v>
      </c>
      <c r="I927">
        <v>10</v>
      </c>
      <c r="J927" t="str">
        <f>VLOOKUP(K927,$AJ$2:$AK$7,2,FALSE)</f>
        <v>S002</v>
      </c>
      <c r="K927" t="s">
        <v>1098</v>
      </c>
      <c r="L927">
        <v>3.2</v>
      </c>
      <c r="M927" t="str">
        <f>IFERROR(VLOOKUP(TRIM(N927),$AP$2:$AQ$12,2,FALSE),"W001")</f>
        <v>W004</v>
      </c>
      <c r="N927" t="s">
        <v>1053</v>
      </c>
      <c r="O927" t="s">
        <v>1051</v>
      </c>
      <c r="P927" t="str">
        <f>VLOOKUP(O927,$AL$2:$AM$12,2,FALSE)</f>
        <v>West</v>
      </c>
      <c r="Q927" t="s">
        <v>1081</v>
      </c>
      <c r="R927">
        <v>218</v>
      </c>
      <c r="S927" t="s">
        <v>1066</v>
      </c>
      <c r="T927">
        <f t="shared" si="99"/>
        <v>2</v>
      </c>
      <c r="U927">
        <v>43.6</v>
      </c>
      <c r="V927">
        <f t="shared" si="100"/>
        <v>5</v>
      </c>
      <c r="W927" t="s">
        <v>1088</v>
      </c>
      <c r="X927" t="s">
        <v>1089</v>
      </c>
      <c r="Y927">
        <f t="shared" si="101"/>
        <v>0</v>
      </c>
      <c r="Z927" t="s">
        <v>1108</v>
      </c>
      <c r="AA927" t="str">
        <f t="shared" si="102"/>
        <v>Low</v>
      </c>
      <c r="AB927" t="s">
        <v>1103</v>
      </c>
      <c r="AC927" t="str">
        <f t="shared" si="103"/>
        <v>Yes</v>
      </c>
      <c r="AD927">
        <v>5</v>
      </c>
      <c r="AE927">
        <v>241140</v>
      </c>
      <c r="AF927">
        <v>96456</v>
      </c>
      <c r="AG927">
        <f t="shared" si="104"/>
        <v>144640.4</v>
      </c>
    </row>
    <row r="928" spans="1:33" x14ac:dyDescent="0.25">
      <c r="A928">
        <v>1927</v>
      </c>
      <c r="B928" s="1">
        <v>44522</v>
      </c>
      <c r="C928" s="1">
        <v>44525</v>
      </c>
      <c r="D928" s="1">
        <v>44531</v>
      </c>
      <c r="E928" t="s">
        <v>1066</v>
      </c>
      <c r="F928" t="s">
        <v>956</v>
      </c>
      <c r="G928" t="s">
        <v>1070</v>
      </c>
      <c r="H928" t="str">
        <f t="shared" si="98"/>
        <v>Furniture</v>
      </c>
      <c r="I928">
        <v>7</v>
      </c>
      <c r="J928" t="str">
        <f>VLOOKUP(K928,$AJ$2:$AK$7,2,FALSE)</f>
        <v>S004</v>
      </c>
      <c r="K928" t="s">
        <v>1100</v>
      </c>
      <c r="L928">
        <v>3.1</v>
      </c>
      <c r="M928" t="str">
        <f>IFERROR(VLOOKUP(TRIM(N928),$AP$2:$AQ$12,2,FALSE),"W001")</f>
        <v>W001</v>
      </c>
      <c r="N928" t="s">
        <v>1047</v>
      </c>
      <c r="O928" t="s">
        <v>1060</v>
      </c>
      <c r="P928" t="str">
        <f>VLOOKUP(O928,$AL$2:$AM$12,2,FALSE)</f>
        <v>North</v>
      </c>
      <c r="Q928" t="s">
        <v>1082</v>
      </c>
      <c r="R928">
        <v>1699</v>
      </c>
      <c r="S928" t="s">
        <v>1078</v>
      </c>
      <c r="T928">
        <f t="shared" si="99"/>
        <v>4</v>
      </c>
      <c r="U928">
        <v>679.6</v>
      </c>
      <c r="V928">
        <f t="shared" si="100"/>
        <v>8</v>
      </c>
      <c r="W928" t="s">
        <v>1086</v>
      </c>
      <c r="X928" t="s">
        <v>1089</v>
      </c>
      <c r="Y928">
        <f t="shared" si="101"/>
        <v>679.6</v>
      </c>
      <c r="Z928" t="s">
        <v>1109</v>
      </c>
      <c r="AA928" t="str">
        <f t="shared" si="102"/>
        <v>High</v>
      </c>
      <c r="AB928" t="s">
        <v>1104</v>
      </c>
      <c r="AC928" t="str">
        <f t="shared" si="103"/>
        <v>No</v>
      </c>
      <c r="AD928">
        <v>2</v>
      </c>
      <c r="AE928">
        <v>53102</v>
      </c>
      <c r="AF928">
        <v>21240.800000000003</v>
      </c>
      <c r="AG928">
        <f t="shared" si="104"/>
        <v>31181.599999999999</v>
      </c>
    </row>
    <row r="929" spans="1:33" x14ac:dyDescent="0.25">
      <c r="A929">
        <v>1928</v>
      </c>
      <c r="B929" s="1">
        <v>46025</v>
      </c>
      <c r="C929" s="1">
        <v>46026</v>
      </c>
      <c r="D929" s="1">
        <v>46033</v>
      </c>
      <c r="E929" t="s">
        <v>1065</v>
      </c>
      <c r="F929" t="s">
        <v>957</v>
      </c>
      <c r="G929" t="s">
        <v>1068</v>
      </c>
      <c r="H929" t="str">
        <f t="shared" si="98"/>
        <v>Electronics</v>
      </c>
      <c r="I929">
        <v>9</v>
      </c>
      <c r="J929" t="str">
        <f>VLOOKUP(K929,$AJ$2:$AK$7,2,FALSE)</f>
        <v>S005</v>
      </c>
      <c r="K929" t="s">
        <v>1101</v>
      </c>
      <c r="L929">
        <v>3</v>
      </c>
      <c r="M929" t="str">
        <f>IFERROR(VLOOKUP(TRIM(N929),$AP$2:$AQ$12,2,FALSE),"W001")</f>
        <v>W005</v>
      </c>
      <c r="N929" t="s">
        <v>1055</v>
      </c>
      <c r="O929" t="s">
        <v>1053</v>
      </c>
      <c r="P929" t="str">
        <f>VLOOKUP(O929,$AL$2:$AM$12,2,FALSE)</f>
        <v>South</v>
      </c>
      <c r="Q929" t="s">
        <v>1080</v>
      </c>
      <c r="R929">
        <v>1691</v>
      </c>
      <c r="S929" t="s">
        <v>1078</v>
      </c>
      <c r="T929">
        <f t="shared" si="99"/>
        <v>8</v>
      </c>
      <c r="U929">
        <v>253.65</v>
      </c>
      <c r="V929">
        <f t="shared" si="100"/>
        <v>4</v>
      </c>
      <c r="W929" t="s">
        <v>1086</v>
      </c>
      <c r="X929" t="s">
        <v>1091</v>
      </c>
      <c r="Y929">
        <f t="shared" si="101"/>
        <v>253.65</v>
      </c>
      <c r="Z929" t="s">
        <v>1108</v>
      </c>
      <c r="AA929" t="str">
        <f t="shared" si="102"/>
        <v>Low</v>
      </c>
      <c r="AB929" t="s">
        <v>1103</v>
      </c>
      <c r="AC929" t="str">
        <f t="shared" si="103"/>
        <v>Yes</v>
      </c>
      <c r="AD929">
        <v>5</v>
      </c>
      <c r="AE929">
        <v>490815</v>
      </c>
      <c r="AF929">
        <v>196326</v>
      </c>
      <c r="AG929">
        <f t="shared" si="104"/>
        <v>294235.34999999998</v>
      </c>
    </row>
    <row r="930" spans="1:33" x14ac:dyDescent="0.25">
      <c r="A930">
        <v>1929</v>
      </c>
      <c r="B930" s="1">
        <v>46277</v>
      </c>
      <c r="C930" s="1">
        <v>46279</v>
      </c>
      <c r="D930" s="1">
        <v>46281</v>
      </c>
      <c r="E930" t="s">
        <v>1065</v>
      </c>
      <c r="F930" t="s">
        <v>958</v>
      </c>
      <c r="G930" t="s">
        <v>1069</v>
      </c>
      <c r="H930" t="str">
        <f t="shared" si="98"/>
        <v>Furniture</v>
      </c>
      <c r="I930">
        <v>4</v>
      </c>
      <c r="J930" t="str">
        <f>VLOOKUP(K930,$AJ$2:$AK$7,2,FALSE)</f>
        <v>S006</v>
      </c>
      <c r="K930" t="s">
        <v>1102</v>
      </c>
      <c r="L930">
        <v>4.0999999999999996</v>
      </c>
      <c r="M930" t="str">
        <f>IFERROR(VLOOKUP(TRIM(N930),$AP$2:$AQ$12,2,FALSE),"W001")</f>
        <v>W011</v>
      </c>
      <c r="N930" t="s">
        <v>1059</v>
      </c>
      <c r="O930" t="s">
        <v>1051</v>
      </c>
      <c r="P930" t="str">
        <f>VLOOKUP(O930,$AL$2:$AM$12,2,FALSE)</f>
        <v>West</v>
      </c>
      <c r="Q930" t="s">
        <v>1082</v>
      </c>
      <c r="R930">
        <v>1919</v>
      </c>
      <c r="S930" t="s">
        <v>1078</v>
      </c>
      <c r="T930">
        <f t="shared" si="99"/>
        <v>5</v>
      </c>
      <c r="U930">
        <v>767.6</v>
      </c>
      <c r="V930">
        <f t="shared" si="100"/>
        <v>8</v>
      </c>
      <c r="W930" t="s">
        <v>1086</v>
      </c>
      <c r="X930" t="s">
        <v>1091</v>
      </c>
      <c r="Y930">
        <f t="shared" si="101"/>
        <v>767.6</v>
      </c>
      <c r="Z930" t="s">
        <v>1109</v>
      </c>
      <c r="AA930" t="str">
        <f t="shared" si="102"/>
        <v>High</v>
      </c>
      <c r="AB930" t="s">
        <v>1103</v>
      </c>
      <c r="AC930" t="str">
        <f t="shared" si="103"/>
        <v>No</v>
      </c>
      <c r="AD930">
        <v>3</v>
      </c>
      <c r="AE930">
        <v>42116</v>
      </c>
      <c r="AF930">
        <v>16846.400000000001</v>
      </c>
      <c r="AG930">
        <f t="shared" si="104"/>
        <v>24502</v>
      </c>
    </row>
    <row r="931" spans="1:33" x14ac:dyDescent="0.25">
      <c r="A931">
        <v>1930</v>
      </c>
      <c r="B931" s="1">
        <v>45024</v>
      </c>
      <c r="C931" s="1">
        <v>45026</v>
      </c>
      <c r="D931" s="1">
        <v>45033</v>
      </c>
      <c r="E931" t="s">
        <v>1065</v>
      </c>
      <c r="F931" t="s">
        <v>959</v>
      </c>
      <c r="G931" t="s">
        <v>1069</v>
      </c>
      <c r="H931" t="str">
        <f t="shared" si="98"/>
        <v>Furniture</v>
      </c>
      <c r="I931">
        <v>5</v>
      </c>
      <c r="J931" t="str">
        <f>VLOOKUP(K931,$AJ$2:$AK$7,2,FALSE)</f>
        <v>S006</v>
      </c>
      <c r="K931" t="s">
        <v>1102</v>
      </c>
      <c r="L931">
        <v>4.8</v>
      </c>
      <c r="M931" t="str">
        <f>IFERROR(VLOOKUP(TRIM(N931),$AP$2:$AQ$12,2,FALSE),"W001")</f>
        <v>W011</v>
      </c>
      <c r="N931" t="s">
        <v>1059</v>
      </c>
      <c r="O931" t="s">
        <v>1051</v>
      </c>
      <c r="P931" t="str">
        <f>VLOOKUP(O931,$AL$2:$AM$12,2,FALSE)</f>
        <v>West</v>
      </c>
      <c r="Q931" t="s">
        <v>1084</v>
      </c>
      <c r="R931">
        <v>1916</v>
      </c>
      <c r="S931" t="s">
        <v>1078</v>
      </c>
      <c r="T931">
        <f t="shared" si="99"/>
        <v>6</v>
      </c>
      <c r="U931">
        <v>574.79999999999995</v>
      </c>
      <c r="V931">
        <f t="shared" si="100"/>
        <v>6</v>
      </c>
      <c r="W931" t="s">
        <v>1086</v>
      </c>
      <c r="X931" t="s">
        <v>1091</v>
      </c>
      <c r="Y931">
        <f t="shared" si="101"/>
        <v>574.79999999999995</v>
      </c>
      <c r="Z931" t="s">
        <v>1109</v>
      </c>
      <c r="AA931" t="str">
        <f t="shared" si="102"/>
        <v>High</v>
      </c>
      <c r="AB931" t="s">
        <v>1103</v>
      </c>
      <c r="AC931" t="str">
        <f t="shared" si="103"/>
        <v>No</v>
      </c>
      <c r="AD931">
        <v>3</v>
      </c>
      <c r="AE931">
        <v>37030</v>
      </c>
      <c r="AF931">
        <v>14812</v>
      </c>
      <c r="AG931">
        <f t="shared" si="104"/>
        <v>21643.200000000001</v>
      </c>
    </row>
    <row r="932" spans="1:33" x14ac:dyDescent="0.25">
      <c r="A932">
        <v>1931</v>
      </c>
      <c r="B932" s="1">
        <v>44756</v>
      </c>
      <c r="C932" s="1">
        <v>44759</v>
      </c>
      <c r="D932" s="1">
        <v>44762</v>
      </c>
      <c r="E932" t="s">
        <v>1066</v>
      </c>
      <c r="F932" t="s">
        <v>960</v>
      </c>
      <c r="G932" t="s">
        <v>1069</v>
      </c>
      <c r="H932" t="str">
        <f t="shared" si="98"/>
        <v>Furniture</v>
      </c>
      <c r="I932">
        <v>4</v>
      </c>
      <c r="J932" t="str">
        <f>VLOOKUP(K932,$AJ$2:$AK$7,2,FALSE)</f>
        <v>S002</v>
      </c>
      <c r="K932" t="s">
        <v>1098</v>
      </c>
      <c r="L932">
        <v>3</v>
      </c>
      <c r="M932" t="str">
        <f>IFERROR(VLOOKUP(TRIM(N932),$AP$2:$AQ$12,2,FALSE),"W001")</f>
        <v>W006</v>
      </c>
      <c r="N932" t="s">
        <v>1057</v>
      </c>
      <c r="O932" t="s">
        <v>1063</v>
      </c>
      <c r="P932" t="str">
        <f>VLOOKUP(O932,$AL$2:$AM$12,2,FALSE)</f>
        <v>South</v>
      </c>
      <c r="Q932" t="s">
        <v>1084</v>
      </c>
      <c r="R932">
        <v>919</v>
      </c>
      <c r="S932" t="s">
        <v>1078</v>
      </c>
      <c r="T932">
        <f t="shared" si="99"/>
        <v>4</v>
      </c>
      <c r="U932">
        <v>275.7</v>
      </c>
      <c r="V932">
        <f t="shared" si="100"/>
        <v>6</v>
      </c>
      <c r="W932" t="s">
        <v>1088</v>
      </c>
      <c r="X932" t="s">
        <v>1090</v>
      </c>
      <c r="Y932">
        <f t="shared" si="101"/>
        <v>0</v>
      </c>
      <c r="Z932" t="s">
        <v>1108</v>
      </c>
      <c r="AA932" t="str">
        <f t="shared" si="102"/>
        <v>Low</v>
      </c>
      <c r="AB932" t="s">
        <v>1103</v>
      </c>
      <c r="AC932" t="str">
        <f t="shared" si="103"/>
        <v>Yes</v>
      </c>
      <c r="AD932">
        <v>4</v>
      </c>
      <c r="AE932">
        <v>29024</v>
      </c>
      <c r="AF932">
        <v>11609.6</v>
      </c>
      <c r="AG932">
        <f t="shared" si="104"/>
        <v>17138.7</v>
      </c>
    </row>
    <row r="933" spans="1:33" x14ac:dyDescent="0.25">
      <c r="A933">
        <v>1932</v>
      </c>
      <c r="B933" s="1">
        <v>45279</v>
      </c>
      <c r="C933" s="1">
        <v>45281</v>
      </c>
      <c r="D933" s="1">
        <v>45286</v>
      </c>
      <c r="E933" t="s">
        <v>1066</v>
      </c>
      <c r="F933" t="s">
        <v>961</v>
      </c>
      <c r="G933" t="s">
        <v>1069</v>
      </c>
      <c r="H933" t="str">
        <f t="shared" si="98"/>
        <v>Furniture</v>
      </c>
      <c r="I933">
        <v>7</v>
      </c>
      <c r="J933" t="str">
        <f>VLOOKUP(K933,$AJ$2:$AK$7,2,FALSE)</f>
        <v>S005</v>
      </c>
      <c r="K933" t="s">
        <v>1101</v>
      </c>
      <c r="L933">
        <v>3.6</v>
      </c>
      <c r="M933" t="str">
        <f>IFERROR(VLOOKUP(TRIM(N933),$AP$2:$AQ$12,2,FALSE),"W001")</f>
        <v>W002</v>
      </c>
      <c r="N933" t="s">
        <v>1049</v>
      </c>
      <c r="O933" t="s">
        <v>1062</v>
      </c>
      <c r="P933" t="str">
        <f>VLOOKUP(O933,$AL$2:$AM$12,2,FALSE)</f>
        <v>North</v>
      </c>
      <c r="Q933" t="s">
        <v>1080</v>
      </c>
      <c r="R933">
        <v>350</v>
      </c>
      <c r="S933" t="s">
        <v>1066</v>
      </c>
      <c r="T933">
        <f t="shared" si="99"/>
        <v>3</v>
      </c>
      <c r="U933">
        <v>52.5</v>
      </c>
      <c r="V933">
        <f t="shared" si="100"/>
        <v>4</v>
      </c>
      <c r="W933" t="s">
        <v>1087</v>
      </c>
      <c r="X933" t="s">
        <v>1089</v>
      </c>
      <c r="Y933">
        <f t="shared" si="101"/>
        <v>0</v>
      </c>
      <c r="Z933" t="s">
        <v>1108</v>
      </c>
      <c r="AA933" t="str">
        <f t="shared" si="102"/>
        <v>Low</v>
      </c>
      <c r="AB933" t="s">
        <v>1103</v>
      </c>
      <c r="AC933" t="str">
        <f t="shared" si="103"/>
        <v>Yes</v>
      </c>
      <c r="AD933">
        <v>5</v>
      </c>
      <c r="AE933">
        <v>82124</v>
      </c>
      <c r="AF933">
        <v>32849.599999999999</v>
      </c>
      <c r="AG933">
        <f t="shared" si="104"/>
        <v>49221.9</v>
      </c>
    </row>
    <row r="934" spans="1:33" x14ac:dyDescent="0.25">
      <c r="A934">
        <v>1933</v>
      </c>
      <c r="B934" s="1">
        <v>46292</v>
      </c>
      <c r="C934" s="1">
        <v>46294</v>
      </c>
      <c r="D934" s="1">
        <v>46299</v>
      </c>
      <c r="E934" t="s">
        <v>1064</v>
      </c>
      <c r="F934" t="s">
        <v>962</v>
      </c>
      <c r="G934" t="s">
        <v>1067</v>
      </c>
      <c r="H934" t="str">
        <f t="shared" si="98"/>
        <v>Clothing</v>
      </c>
      <c r="I934">
        <v>10</v>
      </c>
      <c r="J934" t="str">
        <f>VLOOKUP(K934,$AJ$2:$AK$7,2,FALSE)</f>
        <v>S003</v>
      </c>
      <c r="K934" t="s">
        <v>1099</v>
      </c>
      <c r="L934">
        <v>4.5</v>
      </c>
      <c r="M934" t="str">
        <f>IFERROR(VLOOKUP(TRIM(N934),$AP$2:$AQ$12,2,FALSE),"W001")</f>
        <v>W002</v>
      </c>
      <c r="N934" t="s">
        <v>1049</v>
      </c>
      <c r="O934" t="s">
        <v>1055</v>
      </c>
      <c r="P934" t="str">
        <f>VLOOKUP(O934,$AL$2:$AM$12,2,FALSE)</f>
        <v>South</v>
      </c>
      <c r="Q934" t="s">
        <v>1083</v>
      </c>
      <c r="R934">
        <v>467</v>
      </c>
      <c r="S934" t="s">
        <v>1066</v>
      </c>
      <c r="T934">
        <f t="shared" si="99"/>
        <v>2</v>
      </c>
      <c r="U934">
        <v>233.5</v>
      </c>
      <c r="V934">
        <f t="shared" si="100"/>
        <v>10</v>
      </c>
      <c r="W934" t="s">
        <v>1087</v>
      </c>
      <c r="X934" t="s">
        <v>1089</v>
      </c>
      <c r="Y934">
        <f t="shared" si="101"/>
        <v>0</v>
      </c>
      <c r="Z934" t="s">
        <v>1108</v>
      </c>
      <c r="AA934" t="str">
        <f t="shared" si="102"/>
        <v>Medium</v>
      </c>
      <c r="AB934" t="s">
        <v>1104</v>
      </c>
      <c r="AC934" t="str">
        <f t="shared" si="103"/>
        <v>Yes</v>
      </c>
      <c r="AD934">
        <v>1</v>
      </c>
      <c r="AE934">
        <v>7590</v>
      </c>
      <c r="AF934">
        <v>3036</v>
      </c>
      <c r="AG934">
        <f t="shared" si="104"/>
        <v>4320.5</v>
      </c>
    </row>
    <row r="935" spans="1:33" x14ac:dyDescent="0.25">
      <c r="A935">
        <v>1934</v>
      </c>
      <c r="B935" s="1">
        <v>44656</v>
      </c>
      <c r="C935" s="1">
        <v>44657</v>
      </c>
      <c r="D935" s="1">
        <v>44662</v>
      </c>
      <c r="E935" t="s">
        <v>1065</v>
      </c>
      <c r="F935" t="s">
        <v>963</v>
      </c>
      <c r="G935" t="s">
        <v>1071</v>
      </c>
      <c r="H935" t="str">
        <f t="shared" si="98"/>
        <v>Clothing</v>
      </c>
      <c r="I935">
        <v>4</v>
      </c>
      <c r="J935" t="str">
        <f>VLOOKUP(K935,$AJ$2:$AK$7,2,FALSE)</f>
        <v>S005</v>
      </c>
      <c r="K935" t="s">
        <v>1101</v>
      </c>
      <c r="L935">
        <v>3.7</v>
      </c>
      <c r="M935" t="str">
        <f>IFERROR(VLOOKUP(TRIM(N935),$AP$2:$AQ$12,2,FALSE),"W001")</f>
        <v>W006</v>
      </c>
      <c r="N935" t="s">
        <v>1057</v>
      </c>
      <c r="O935" t="s">
        <v>1059</v>
      </c>
      <c r="P935" t="str">
        <f>VLOOKUP(O935,$AL$2:$AM$12,2,FALSE)</f>
        <v>North</v>
      </c>
      <c r="Q935" t="s">
        <v>1080</v>
      </c>
      <c r="R935">
        <v>1051</v>
      </c>
      <c r="S935" t="s">
        <v>1078</v>
      </c>
      <c r="T935">
        <f t="shared" si="99"/>
        <v>6</v>
      </c>
      <c r="U935">
        <v>157.65</v>
      </c>
      <c r="V935">
        <f t="shared" si="100"/>
        <v>4</v>
      </c>
      <c r="W935" t="s">
        <v>1086</v>
      </c>
      <c r="X935" t="s">
        <v>1089</v>
      </c>
      <c r="Y935">
        <f t="shared" si="101"/>
        <v>157.65</v>
      </c>
      <c r="Z935" t="s">
        <v>1108</v>
      </c>
      <c r="AA935" t="str">
        <f t="shared" si="102"/>
        <v>Low</v>
      </c>
      <c r="AB935" t="s">
        <v>1103</v>
      </c>
      <c r="AC935" t="str">
        <f t="shared" si="103"/>
        <v>Yes</v>
      </c>
      <c r="AD935">
        <v>5</v>
      </c>
      <c r="AE935">
        <v>5772</v>
      </c>
      <c r="AF935">
        <v>2308.8000000000002</v>
      </c>
      <c r="AG935">
        <f t="shared" si="104"/>
        <v>3305.5499999999997</v>
      </c>
    </row>
    <row r="936" spans="1:33" x14ac:dyDescent="0.25">
      <c r="A936">
        <v>1935</v>
      </c>
      <c r="B936" s="1">
        <v>45630</v>
      </c>
      <c r="C936" s="1">
        <v>45632</v>
      </c>
      <c r="D936" s="1">
        <v>45639</v>
      </c>
      <c r="E936" t="s">
        <v>1064</v>
      </c>
      <c r="F936" t="s">
        <v>964</v>
      </c>
      <c r="G936" t="s">
        <v>1067</v>
      </c>
      <c r="H936" t="str">
        <f t="shared" si="98"/>
        <v>Clothing</v>
      </c>
      <c r="I936">
        <v>6</v>
      </c>
      <c r="J936" t="str">
        <f>VLOOKUP(K936,$AJ$2:$AK$7,2,FALSE)</f>
        <v>S006</v>
      </c>
      <c r="K936" t="s">
        <v>1102</v>
      </c>
      <c r="L936">
        <v>3.6</v>
      </c>
      <c r="M936" t="str">
        <f>IFERROR(VLOOKUP(TRIM(N936),$AP$2:$AQ$12,2,FALSE),"W001")</f>
        <v>W008</v>
      </c>
      <c r="N936" t="s">
        <v>1061</v>
      </c>
      <c r="O936" t="s">
        <v>1055</v>
      </c>
      <c r="P936" t="str">
        <f>VLOOKUP(O936,$AL$2:$AM$12,2,FALSE)</f>
        <v>South</v>
      </c>
      <c r="Q936" t="s">
        <v>1083</v>
      </c>
      <c r="R936">
        <v>1537</v>
      </c>
      <c r="S936" t="s">
        <v>1078</v>
      </c>
      <c r="T936">
        <f t="shared" si="99"/>
        <v>3</v>
      </c>
      <c r="U936">
        <v>768.5</v>
      </c>
      <c r="V936">
        <f t="shared" si="100"/>
        <v>10</v>
      </c>
      <c r="W936" t="s">
        <v>1088</v>
      </c>
      <c r="X936" t="s">
        <v>1091</v>
      </c>
      <c r="Y936">
        <f t="shared" si="101"/>
        <v>0</v>
      </c>
      <c r="Z936" t="s">
        <v>1108</v>
      </c>
      <c r="AA936" t="str">
        <f t="shared" si="102"/>
        <v>Medium</v>
      </c>
      <c r="AB936" t="s">
        <v>1103</v>
      </c>
      <c r="AC936" t="str">
        <f t="shared" si="103"/>
        <v>Yes</v>
      </c>
      <c r="AD936">
        <v>4</v>
      </c>
      <c r="AE936">
        <v>3954</v>
      </c>
      <c r="AF936">
        <v>1581.6000000000001</v>
      </c>
      <c r="AG936">
        <f t="shared" si="104"/>
        <v>1603.8999999999996</v>
      </c>
    </row>
    <row r="937" spans="1:33" x14ac:dyDescent="0.25">
      <c r="A937">
        <v>1936</v>
      </c>
      <c r="B937" s="1">
        <v>45591</v>
      </c>
      <c r="C937" s="1">
        <v>45593</v>
      </c>
      <c r="D937" s="1">
        <v>45598</v>
      </c>
      <c r="E937" t="s">
        <v>1065</v>
      </c>
      <c r="F937" t="s">
        <v>965</v>
      </c>
      <c r="G937" t="s">
        <v>1072</v>
      </c>
      <c r="H937" t="str">
        <f t="shared" si="98"/>
        <v>Electronics</v>
      </c>
      <c r="I937">
        <v>3</v>
      </c>
      <c r="J937" t="str">
        <f>VLOOKUP(K937,$AJ$2:$AK$7,2,FALSE)</f>
        <v>S005</v>
      </c>
      <c r="K937" t="s">
        <v>1101</v>
      </c>
      <c r="L937">
        <v>4.7</v>
      </c>
      <c r="M937" t="str">
        <f>IFERROR(VLOOKUP(TRIM(N937),$AP$2:$AQ$12,2,FALSE),"W001")</f>
        <v>W003</v>
      </c>
      <c r="N937" t="s">
        <v>1051</v>
      </c>
      <c r="O937" t="s">
        <v>1063</v>
      </c>
      <c r="P937" t="str">
        <f>VLOOKUP(O937,$AL$2:$AM$12,2,FALSE)</f>
        <v>South</v>
      </c>
      <c r="Q937" t="s">
        <v>1085</v>
      </c>
      <c r="R937">
        <v>1578</v>
      </c>
      <c r="S937" t="s">
        <v>1078</v>
      </c>
      <c r="T937">
        <f t="shared" si="99"/>
        <v>11</v>
      </c>
      <c r="U937">
        <v>157.80000000000001</v>
      </c>
      <c r="V937">
        <f t="shared" si="100"/>
        <v>3</v>
      </c>
      <c r="W937" t="s">
        <v>1086</v>
      </c>
      <c r="X937" t="s">
        <v>1091</v>
      </c>
      <c r="Y937">
        <f t="shared" si="101"/>
        <v>157.80000000000001</v>
      </c>
      <c r="Z937" t="s">
        <v>1108</v>
      </c>
      <c r="AA937" t="str">
        <f t="shared" si="102"/>
        <v>Low</v>
      </c>
      <c r="AB937" t="s">
        <v>1103</v>
      </c>
      <c r="AC937" t="str">
        <f t="shared" si="103"/>
        <v>Yes</v>
      </c>
      <c r="AD937">
        <v>4</v>
      </c>
      <c r="AE937">
        <v>63162</v>
      </c>
      <c r="AF937">
        <v>25264.800000000003</v>
      </c>
      <c r="AG937">
        <f t="shared" si="104"/>
        <v>37739.399999999994</v>
      </c>
    </row>
    <row r="938" spans="1:33" x14ac:dyDescent="0.25">
      <c r="A938">
        <v>1937</v>
      </c>
      <c r="B938" s="1">
        <v>45723</v>
      </c>
      <c r="C938" s="1">
        <v>45726</v>
      </c>
      <c r="D938" s="1">
        <v>45730</v>
      </c>
      <c r="E938" t="s">
        <v>1066</v>
      </c>
      <c r="F938" t="s">
        <v>966</v>
      </c>
      <c r="G938" t="s">
        <v>1069</v>
      </c>
      <c r="H938" t="str">
        <f t="shared" si="98"/>
        <v>Furniture</v>
      </c>
      <c r="I938">
        <v>10</v>
      </c>
      <c r="J938" t="str">
        <f>VLOOKUP(K938,$AJ$2:$AK$7,2,FALSE)</f>
        <v>S005</v>
      </c>
      <c r="K938" t="s">
        <v>1101</v>
      </c>
      <c r="L938">
        <v>4.3</v>
      </c>
      <c r="M938" t="str">
        <f>IFERROR(VLOOKUP(TRIM(N938),$AP$2:$AQ$12,2,FALSE),"W001")</f>
        <v>W005</v>
      </c>
      <c r="N938" t="s">
        <v>1055</v>
      </c>
      <c r="O938" t="s">
        <v>1053</v>
      </c>
      <c r="P938" t="str">
        <f>VLOOKUP(O938,$AL$2:$AM$12,2,FALSE)</f>
        <v>South</v>
      </c>
      <c r="Q938" t="s">
        <v>1080</v>
      </c>
      <c r="R938">
        <v>1633</v>
      </c>
      <c r="S938" t="s">
        <v>1078</v>
      </c>
      <c r="T938">
        <f t="shared" si="99"/>
        <v>7</v>
      </c>
      <c r="U938">
        <v>244.95</v>
      </c>
      <c r="V938">
        <f t="shared" si="100"/>
        <v>4</v>
      </c>
      <c r="W938" t="s">
        <v>1087</v>
      </c>
      <c r="X938" t="s">
        <v>1091</v>
      </c>
      <c r="Y938">
        <f t="shared" si="101"/>
        <v>0</v>
      </c>
      <c r="Z938" t="s">
        <v>1108</v>
      </c>
      <c r="AA938" t="str">
        <f t="shared" si="102"/>
        <v>Low</v>
      </c>
      <c r="AB938" t="s">
        <v>1103</v>
      </c>
      <c r="AC938" t="str">
        <f t="shared" si="103"/>
        <v>Yes</v>
      </c>
      <c r="AD938">
        <v>5</v>
      </c>
      <c r="AE938">
        <v>124700</v>
      </c>
      <c r="AF938">
        <v>49880</v>
      </c>
      <c r="AG938">
        <f t="shared" si="104"/>
        <v>74575.05</v>
      </c>
    </row>
    <row r="939" spans="1:33" x14ac:dyDescent="0.25">
      <c r="A939">
        <v>1938</v>
      </c>
      <c r="B939" s="1">
        <v>45879</v>
      </c>
      <c r="C939" s="1">
        <v>45882</v>
      </c>
      <c r="D939" s="1">
        <v>45888</v>
      </c>
      <c r="E939" t="s">
        <v>1066</v>
      </c>
      <c r="F939" t="s">
        <v>967</v>
      </c>
      <c r="G939" t="s">
        <v>1071</v>
      </c>
      <c r="H939" t="str">
        <f t="shared" si="98"/>
        <v>Clothing</v>
      </c>
      <c r="I939">
        <v>10</v>
      </c>
      <c r="J939" t="str">
        <f>VLOOKUP(K939,$AJ$2:$AK$7,2,FALSE)</f>
        <v>S001</v>
      </c>
      <c r="K939" t="s">
        <v>1097</v>
      </c>
      <c r="L939">
        <v>4.3</v>
      </c>
      <c r="M939" t="str">
        <f>IFERROR(VLOOKUP(TRIM(N939),$AP$2:$AQ$12,2,FALSE),"W001")</f>
        <v>W002</v>
      </c>
      <c r="N939" t="s">
        <v>1049</v>
      </c>
      <c r="O939" t="s">
        <v>1062</v>
      </c>
      <c r="P939" t="str">
        <f>VLOOKUP(O939,$AL$2:$AM$12,2,FALSE)</f>
        <v>North</v>
      </c>
      <c r="Q939" t="s">
        <v>1080</v>
      </c>
      <c r="R939">
        <v>1998</v>
      </c>
      <c r="S939" t="s">
        <v>1078</v>
      </c>
      <c r="T939">
        <f t="shared" si="99"/>
        <v>9</v>
      </c>
      <c r="U939">
        <v>299.7</v>
      </c>
      <c r="V939">
        <f t="shared" si="100"/>
        <v>4</v>
      </c>
      <c r="W939" t="s">
        <v>1086</v>
      </c>
      <c r="X939" t="s">
        <v>1091</v>
      </c>
      <c r="Y939">
        <f t="shared" si="101"/>
        <v>299.7</v>
      </c>
      <c r="Z939" t="s">
        <v>1109</v>
      </c>
      <c r="AA939" t="str">
        <f t="shared" si="102"/>
        <v>High</v>
      </c>
      <c r="AB939" t="s">
        <v>1103</v>
      </c>
      <c r="AC939" t="str">
        <f t="shared" si="103"/>
        <v>No</v>
      </c>
      <c r="AD939">
        <v>3</v>
      </c>
      <c r="AE939">
        <v>13990</v>
      </c>
      <c r="AF939">
        <v>5596</v>
      </c>
      <c r="AG939">
        <f t="shared" si="104"/>
        <v>8094.3</v>
      </c>
    </row>
    <row r="940" spans="1:33" x14ac:dyDescent="0.25">
      <c r="A940">
        <v>1939</v>
      </c>
      <c r="B940" s="1">
        <v>46382</v>
      </c>
      <c r="C940" s="1">
        <v>46383</v>
      </c>
      <c r="D940" s="1">
        <v>46386</v>
      </c>
      <c r="E940" t="s">
        <v>1065</v>
      </c>
      <c r="F940" t="s">
        <v>968</v>
      </c>
      <c r="G940" t="s">
        <v>1070</v>
      </c>
      <c r="H940" t="str">
        <f t="shared" si="98"/>
        <v>Furniture</v>
      </c>
      <c r="I940">
        <v>10</v>
      </c>
      <c r="J940" t="str">
        <f>VLOOKUP(K940,$AJ$2:$AK$7,2,FALSE)</f>
        <v>S003</v>
      </c>
      <c r="K940" t="s">
        <v>1099</v>
      </c>
      <c r="L940">
        <v>4.0999999999999996</v>
      </c>
      <c r="M940" t="str">
        <f>IFERROR(VLOOKUP(TRIM(N940),$AP$2:$AQ$12,2,FALSE),"W001")</f>
        <v>W010</v>
      </c>
      <c r="N940" t="s">
        <v>1063</v>
      </c>
      <c r="O940" t="s">
        <v>1062</v>
      </c>
      <c r="P940" t="str">
        <f>VLOOKUP(O940,$AL$2:$AM$12,2,FALSE)</f>
        <v>North</v>
      </c>
      <c r="Q940" t="s">
        <v>1080</v>
      </c>
      <c r="R940">
        <v>1312</v>
      </c>
      <c r="S940" t="s">
        <v>1078</v>
      </c>
      <c r="T940">
        <f t="shared" si="99"/>
        <v>6</v>
      </c>
      <c r="U940">
        <v>196.8</v>
      </c>
      <c r="V940">
        <f t="shared" si="100"/>
        <v>4</v>
      </c>
      <c r="W940" t="s">
        <v>1087</v>
      </c>
      <c r="X940" t="s">
        <v>1090</v>
      </c>
      <c r="Y940">
        <f t="shared" si="101"/>
        <v>0</v>
      </c>
      <c r="Z940" t="s">
        <v>1108</v>
      </c>
      <c r="AA940" t="str">
        <f t="shared" si="102"/>
        <v>Low</v>
      </c>
      <c r="AB940" t="s">
        <v>1103</v>
      </c>
      <c r="AC940" t="str">
        <f t="shared" si="103"/>
        <v>Yes</v>
      </c>
      <c r="AD940">
        <v>5</v>
      </c>
      <c r="AE940">
        <v>33120</v>
      </c>
      <c r="AF940">
        <v>13248</v>
      </c>
      <c r="AG940">
        <f t="shared" si="104"/>
        <v>19675.2</v>
      </c>
    </row>
    <row r="941" spans="1:33" x14ac:dyDescent="0.25">
      <c r="A941">
        <v>1940</v>
      </c>
      <c r="B941" s="1">
        <v>44379</v>
      </c>
      <c r="C941" s="1">
        <v>44380</v>
      </c>
      <c r="D941" s="1">
        <v>44382</v>
      </c>
      <c r="E941" t="s">
        <v>1066</v>
      </c>
      <c r="F941" t="s">
        <v>969</v>
      </c>
      <c r="G941" t="s">
        <v>1072</v>
      </c>
      <c r="H941" t="str">
        <f t="shared" si="98"/>
        <v>Electronics</v>
      </c>
      <c r="I941">
        <v>2</v>
      </c>
      <c r="J941" t="str">
        <f>VLOOKUP(K941,$AJ$2:$AK$7,2,FALSE)</f>
        <v>S001</v>
      </c>
      <c r="K941" t="s">
        <v>1097</v>
      </c>
      <c r="L941">
        <v>3.9</v>
      </c>
      <c r="M941" t="str">
        <f>IFERROR(VLOOKUP(TRIM(N941),$AP$2:$AQ$12,2,FALSE),"W001")</f>
        <v>W001</v>
      </c>
      <c r="N941" t="s">
        <v>1047</v>
      </c>
      <c r="O941" t="s">
        <v>1051</v>
      </c>
      <c r="P941" t="str">
        <f>VLOOKUP(O941,$AL$2:$AM$12,2,FALSE)</f>
        <v>West</v>
      </c>
      <c r="Q941" t="s">
        <v>1080</v>
      </c>
      <c r="R941">
        <v>1578</v>
      </c>
      <c r="S941" t="s">
        <v>1078</v>
      </c>
      <c r="T941">
        <f t="shared" si="99"/>
        <v>7</v>
      </c>
      <c r="U941">
        <v>236.7</v>
      </c>
      <c r="V941">
        <f t="shared" si="100"/>
        <v>4</v>
      </c>
      <c r="W941" t="s">
        <v>1086</v>
      </c>
      <c r="X941" t="s">
        <v>1091</v>
      </c>
      <c r="Y941">
        <f t="shared" si="101"/>
        <v>236.7</v>
      </c>
      <c r="Z941" t="s">
        <v>1108</v>
      </c>
      <c r="AA941" t="str">
        <f t="shared" si="102"/>
        <v>Low</v>
      </c>
      <c r="AB941" t="s">
        <v>1103</v>
      </c>
      <c r="AC941" t="str">
        <f t="shared" si="103"/>
        <v>Yes</v>
      </c>
      <c r="AD941">
        <v>5</v>
      </c>
      <c r="AE941">
        <v>46402</v>
      </c>
      <c r="AF941">
        <v>18560.8</v>
      </c>
      <c r="AG941">
        <f t="shared" si="104"/>
        <v>27604.5</v>
      </c>
    </row>
    <row r="942" spans="1:33" x14ac:dyDescent="0.25">
      <c r="A942">
        <v>1941</v>
      </c>
      <c r="B942" s="1">
        <v>44506</v>
      </c>
      <c r="C942" s="1">
        <v>44507</v>
      </c>
      <c r="D942" s="1">
        <v>44514</v>
      </c>
      <c r="E942" t="s">
        <v>1066</v>
      </c>
      <c r="F942" t="s">
        <v>970</v>
      </c>
      <c r="G942" t="s">
        <v>1071</v>
      </c>
      <c r="H942" t="str">
        <f t="shared" si="98"/>
        <v>Clothing</v>
      </c>
      <c r="I942">
        <v>10</v>
      </c>
      <c r="J942" t="str">
        <f>VLOOKUP(K942,$AJ$2:$AK$7,2,FALSE)</f>
        <v>S006</v>
      </c>
      <c r="K942" t="s">
        <v>1102</v>
      </c>
      <c r="L942">
        <v>4.4000000000000004</v>
      </c>
      <c r="M942" t="str">
        <f>IFERROR(VLOOKUP(TRIM(N942),$AP$2:$AQ$12,2,FALSE),"W001")</f>
        <v>W003</v>
      </c>
      <c r="N942" t="s">
        <v>1051</v>
      </c>
      <c r="O942" t="s">
        <v>1051</v>
      </c>
      <c r="P942" t="str">
        <f>VLOOKUP(O942,$AL$2:$AM$12,2,FALSE)</f>
        <v>West</v>
      </c>
      <c r="Q942" t="s">
        <v>1085</v>
      </c>
      <c r="R942">
        <v>40</v>
      </c>
      <c r="S942" t="s">
        <v>1079</v>
      </c>
      <c r="T942">
        <f t="shared" si="99"/>
        <v>3</v>
      </c>
      <c r="U942">
        <v>4</v>
      </c>
      <c r="V942">
        <f t="shared" si="100"/>
        <v>3</v>
      </c>
      <c r="W942" t="s">
        <v>1087</v>
      </c>
      <c r="X942" t="s">
        <v>1089</v>
      </c>
      <c r="Y942">
        <f t="shared" si="101"/>
        <v>0</v>
      </c>
      <c r="Z942" t="s">
        <v>1108</v>
      </c>
      <c r="AA942" t="str">
        <f t="shared" si="102"/>
        <v>Low</v>
      </c>
      <c r="AB942" t="s">
        <v>1103</v>
      </c>
      <c r="AC942" t="str">
        <f t="shared" si="103"/>
        <v>Yes</v>
      </c>
      <c r="AD942">
        <v>5</v>
      </c>
      <c r="AE942">
        <v>18410</v>
      </c>
      <c r="AF942">
        <v>7364</v>
      </c>
      <c r="AG942">
        <f t="shared" si="104"/>
        <v>11042</v>
      </c>
    </row>
    <row r="943" spans="1:33" x14ac:dyDescent="0.25">
      <c r="A943">
        <v>1942</v>
      </c>
      <c r="B943" s="1">
        <v>46217</v>
      </c>
      <c r="C943" s="1">
        <v>46219</v>
      </c>
      <c r="D943" s="1">
        <v>46226</v>
      </c>
      <c r="E943" t="s">
        <v>1064</v>
      </c>
      <c r="F943" t="s">
        <v>971</v>
      </c>
      <c r="G943" t="s">
        <v>1070</v>
      </c>
      <c r="H943" t="str">
        <f t="shared" si="98"/>
        <v>Furniture</v>
      </c>
      <c r="I943">
        <v>10</v>
      </c>
      <c r="J943" t="str">
        <f>VLOOKUP(K943,$AJ$2:$AK$7,2,FALSE)</f>
        <v>S004</v>
      </c>
      <c r="K943" t="s">
        <v>1100</v>
      </c>
      <c r="L943">
        <v>5</v>
      </c>
      <c r="M943" t="str">
        <f>IFERROR(VLOOKUP(TRIM(N943),$AP$2:$AQ$12,2,FALSE),"W001")</f>
        <v>W003</v>
      </c>
      <c r="N943" t="s">
        <v>1051</v>
      </c>
      <c r="O943" t="s">
        <v>1057</v>
      </c>
      <c r="P943" t="str">
        <f>VLOOKUP(O943,$AL$2:$AM$12,2,FALSE)</f>
        <v>South</v>
      </c>
      <c r="Q943" t="s">
        <v>1080</v>
      </c>
      <c r="R943">
        <v>106</v>
      </c>
      <c r="S943" t="s">
        <v>1079</v>
      </c>
      <c r="T943">
        <f t="shared" si="99"/>
        <v>2</v>
      </c>
      <c r="U943">
        <v>15.9</v>
      </c>
      <c r="V943">
        <f t="shared" si="100"/>
        <v>4</v>
      </c>
      <c r="W943" t="s">
        <v>1088</v>
      </c>
      <c r="X943" t="s">
        <v>1089</v>
      </c>
      <c r="Y943">
        <f t="shared" si="101"/>
        <v>0</v>
      </c>
      <c r="Z943" t="s">
        <v>1108</v>
      </c>
      <c r="AA943" t="str">
        <f t="shared" si="102"/>
        <v>Low</v>
      </c>
      <c r="AB943" t="s">
        <v>1103</v>
      </c>
      <c r="AC943" t="str">
        <f t="shared" si="103"/>
        <v>Yes</v>
      </c>
      <c r="AD943">
        <v>5</v>
      </c>
      <c r="AE943">
        <v>31790</v>
      </c>
      <c r="AF943">
        <v>12716</v>
      </c>
      <c r="AG943">
        <f t="shared" si="104"/>
        <v>19058.099999999999</v>
      </c>
    </row>
    <row r="944" spans="1:33" x14ac:dyDescent="0.25">
      <c r="A944">
        <v>1943</v>
      </c>
      <c r="B944" s="1">
        <v>45562</v>
      </c>
      <c r="C944" s="1">
        <v>45563</v>
      </c>
      <c r="D944" s="1">
        <v>45568</v>
      </c>
      <c r="E944" t="s">
        <v>1064</v>
      </c>
      <c r="F944" t="s">
        <v>972</v>
      </c>
      <c r="G944" t="s">
        <v>1069</v>
      </c>
      <c r="H944" t="str">
        <f t="shared" si="98"/>
        <v>Furniture</v>
      </c>
      <c r="I944">
        <v>2</v>
      </c>
      <c r="J944" t="str">
        <f>VLOOKUP(K944,$AJ$2:$AK$7,2,FALSE)</f>
        <v>S006</v>
      </c>
      <c r="K944" t="s">
        <v>1102</v>
      </c>
      <c r="L944">
        <v>3.5</v>
      </c>
      <c r="M944" t="str">
        <f>IFERROR(VLOOKUP(TRIM(N944),$AP$2:$AQ$12,2,FALSE),"W001")</f>
        <v>W004</v>
      </c>
      <c r="N944" t="s">
        <v>1053</v>
      </c>
      <c r="O944" t="s">
        <v>1061</v>
      </c>
      <c r="P944" t="str">
        <f>VLOOKUP(O944,$AL$2:$AM$12,2,FALSE)</f>
        <v>West</v>
      </c>
      <c r="Q944" t="s">
        <v>1080</v>
      </c>
      <c r="R944">
        <v>1682</v>
      </c>
      <c r="S944" t="s">
        <v>1078</v>
      </c>
      <c r="T944">
        <f t="shared" si="99"/>
        <v>8</v>
      </c>
      <c r="U944">
        <v>252.3</v>
      </c>
      <c r="V944">
        <f t="shared" si="100"/>
        <v>4</v>
      </c>
      <c r="W944" t="s">
        <v>1087</v>
      </c>
      <c r="X944" t="s">
        <v>1091</v>
      </c>
      <c r="Y944">
        <f t="shared" si="101"/>
        <v>0</v>
      </c>
      <c r="Z944" t="s">
        <v>1108</v>
      </c>
      <c r="AA944" t="str">
        <f t="shared" si="102"/>
        <v>Low</v>
      </c>
      <c r="AB944" t="s">
        <v>1103</v>
      </c>
      <c r="AC944" t="str">
        <f t="shared" si="103"/>
        <v>Yes</v>
      </c>
      <c r="AD944">
        <v>4</v>
      </c>
      <c r="AE944">
        <v>23778</v>
      </c>
      <c r="AF944">
        <v>9511.2000000000007</v>
      </c>
      <c r="AG944">
        <f t="shared" si="104"/>
        <v>14014.5</v>
      </c>
    </row>
    <row r="945" spans="1:33" x14ac:dyDescent="0.25">
      <c r="A945">
        <v>1944</v>
      </c>
      <c r="B945" s="1">
        <v>44970</v>
      </c>
      <c r="C945" s="1">
        <v>44972</v>
      </c>
      <c r="D945" s="1">
        <v>44977</v>
      </c>
      <c r="E945" t="s">
        <v>1064</v>
      </c>
      <c r="F945" t="s">
        <v>973</v>
      </c>
      <c r="G945" t="s">
        <v>1072</v>
      </c>
      <c r="H945" t="str">
        <f t="shared" si="98"/>
        <v>Electronics</v>
      </c>
      <c r="I945">
        <v>2</v>
      </c>
      <c r="J945" t="str">
        <f>VLOOKUP(K945,$AJ$2:$AK$7,2,FALSE)</f>
        <v>S005</v>
      </c>
      <c r="K945" t="s">
        <v>1101</v>
      </c>
      <c r="L945">
        <v>4</v>
      </c>
      <c r="M945" t="str">
        <f>IFERROR(VLOOKUP(TRIM(N945),$AP$2:$AQ$12,2,FALSE),"W001")</f>
        <v>W005</v>
      </c>
      <c r="N945" t="s">
        <v>1055</v>
      </c>
      <c r="O945" t="s">
        <v>1059</v>
      </c>
      <c r="P945" t="str">
        <f>VLOOKUP(O945,$AL$2:$AM$12,2,FALSE)</f>
        <v>North</v>
      </c>
      <c r="Q945" t="s">
        <v>1084</v>
      </c>
      <c r="R945">
        <v>495</v>
      </c>
      <c r="S945" t="s">
        <v>1066</v>
      </c>
      <c r="T945">
        <f t="shared" si="99"/>
        <v>2</v>
      </c>
      <c r="U945">
        <v>148.5</v>
      </c>
      <c r="V945">
        <f t="shared" si="100"/>
        <v>6</v>
      </c>
      <c r="W945" t="s">
        <v>1086</v>
      </c>
      <c r="X945" t="s">
        <v>1090</v>
      </c>
      <c r="Y945">
        <f t="shared" si="101"/>
        <v>148.5</v>
      </c>
      <c r="Z945" t="s">
        <v>1108</v>
      </c>
      <c r="AA945" t="str">
        <f t="shared" si="102"/>
        <v>Low</v>
      </c>
      <c r="AB945" t="s">
        <v>1103</v>
      </c>
      <c r="AC945" t="str">
        <f t="shared" si="103"/>
        <v>Yes</v>
      </c>
      <c r="AD945">
        <v>5</v>
      </c>
      <c r="AE945">
        <v>32070</v>
      </c>
      <c r="AF945">
        <v>12828</v>
      </c>
      <c r="AG945">
        <f t="shared" si="104"/>
        <v>19093.5</v>
      </c>
    </row>
    <row r="946" spans="1:33" x14ac:dyDescent="0.25">
      <c r="A946">
        <v>1945</v>
      </c>
      <c r="B946" s="1">
        <v>45748</v>
      </c>
      <c r="C946" s="1">
        <v>45751</v>
      </c>
      <c r="D946" s="1">
        <v>45754</v>
      </c>
      <c r="E946" t="s">
        <v>1066</v>
      </c>
      <c r="F946" t="s">
        <v>974</v>
      </c>
      <c r="G946" t="s">
        <v>1067</v>
      </c>
      <c r="H946" t="str">
        <f t="shared" si="98"/>
        <v>Clothing</v>
      </c>
      <c r="I946">
        <v>5</v>
      </c>
      <c r="J946" t="str">
        <f>VLOOKUP(K946,$AJ$2:$AK$7,2,FALSE)</f>
        <v>S005</v>
      </c>
      <c r="K946" t="s">
        <v>1101</v>
      </c>
      <c r="L946">
        <v>4.4000000000000004</v>
      </c>
      <c r="M946" t="str">
        <f>IFERROR(VLOOKUP(TRIM(N946),$AP$2:$AQ$12,2,FALSE),"W001")</f>
        <v>W002</v>
      </c>
      <c r="N946" t="s">
        <v>1049</v>
      </c>
      <c r="O946" t="s">
        <v>1049</v>
      </c>
      <c r="P946" t="str">
        <f>VLOOKUP(O946,$AL$2:$AM$12,2,FALSE)</f>
        <v>North</v>
      </c>
      <c r="Q946" t="s">
        <v>1080</v>
      </c>
      <c r="R946">
        <v>36</v>
      </c>
      <c r="S946" t="s">
        <v>1079</v>
      </c>
      <c r="T946">
        <f t="shared" si="99"/>
        <v>2</v>
      </c>
      <c r="U946">
        <v>5.4</v>
      </c>
      <c r="V946">
        <f t="shared" si="100"/>
        <v>4</v>
      </c>
      <c r="W946" t="s">
        <v>1088</v>
      </c>
      <c r="X946" t="s">
        <v>1089</v>
      </c>
      <c r="Y946">
        <f t="shared" si="101"/>
        <v>0</v>
      </c>
      <c r="Z946" t="s">
        <v>1108</v>
      </c>
      <c r="AA946" t="str">
        <f t="shared" si="102"/>
        <v>Low</v>
      </c>
      <c r="AB946" t="s">
        <v>1103</v>
      </c>
      <c r="AC946" t="str">
        <f t="shared" si="103"/>
        <v>Yes</v>
      </c>
      <c r="AD946">
        <v>4</v>
      </c>
      <c r="AE946">
        <v>5015</v>
      </c>
      <c r="AF946">
        <v>2006</v>
      </c>
      <c r="AG946">
        <f t="shared" si="104"/>
        <v>3003.6</v>
      </c>
    </row>
    <row r="947" spans="1:33" x14ac:dyDescent="0.25">
      <c r="A947">
        <v>1946</v>
      </c>
      <c r="B947" s="1">
        <v>45542</v>
      </c>
      <c r="C947" s="1">
        <v>45545</v>
      </c>
      <c r="D947" s="1">
        <v>45551</v>
      </c>
      <c r="E947" t="s">
        <v>1064</v>
      </c>
      <c r="F947" t="s">
        <v>975</v>
      </c>
      <c r="G947" t="s">
        <v>1068</v>
      </c>
      <c r="H947" t="str">
        <f t="shared" si="98"/>
        <v>Electronics</v>
      </c>
      <c r="I947">
        <v>5</v>
      </c>
      <c r="J947" t="str">
        <f>VLOOKUP(K947,$AJ$2:$AK$7,2,FALSE)</f>
        <v>S002</v>
      </c>
      <c r="K947" t="s">
        <v>1098</v>
      </c>
      <c r="L947">
        <v>4.5</v>
      </c>
      <c r="M947" t="str">
        <f>IFERROR(VLOOKUP(TRIM(N947),$AP$2:$AQ$12,2,FALSE),"W001")</f>
        <v>W001</v>
      </c>
      <c r="N947" t="s">
        <v>1047</v>
      </c>
      <c r="O947" t="s">
        <v>1061</v>
      </c>
      <c r="P947" t="str">
        <f>VLOOKUP(O947,$AL$2:$AM$12,2,FALSE)</f>
        <v>West</v>
      </c>
      <c r="Q947" t="s">
        <v>1085</v>
      </c>
      <c r="R947">
        <v>255</v>
      </c>
      <c r="S947" t="s">
        <v>1066</v>
      </c>
      <c r="T947">
        <f t="shared" si="99"/>
        <v>4</v>
      </c>
      <c r="U947">
        <v>25.5</v>
      </c>
      <c r="V947">
        <f t="shared" si="100"/>
        <v>3</v>
      </c>
      <c r="W947" t="s">
        <v>1087</v>
      </c>
      <c r="X947" t="s">
        <v>1091</v>
      </c>
      <c r="Y947">
        <f t="shared" si="101"/>
        <v>0</v>
      </c>
      <c r="Z947" t="s">
        <v>1108</v>
      </c>
      <c r="AA947" t="str">
        <f t="shared" si="102"/>
        <v>Low</v>
      </c>
      <c r="AB947" t="s">
        <v>1103</v>
      </c>
      <c r="AC947" t="str">
        <f t="shared" si="103"/>
        <v>Yes</v>
      </c>
      <c r="AD947">
        <v>5</v>
      </c>
      <c r="AE947">
        <v>308360</v>
      </c>
      <c r="AF947">
        <v>123344</v>
      </c>
      <c r="AG947">
        <f t="shared" si="104"/>
        <v>184990.5</v>
      </c>
    </row>
    <row r="948" spans="1:33" x14ac:dyDescent="0.25">
      <c r="A948">
        <v>1947</v>
      </c>
      <c r="B948" s="1">
        <v>46336</v>
      </c>
      <c r="C948" s="1">
        <v>46338</v>
      </c>
      <c r="D948" s="1">
        <v>46344</v>
      </c>
      <c r="E948" t="s">
        <v>1064</v>
      </c>
      <c r="F948" t="s">
        <v>976</v>
      </c>
      <c r="G948" t="s">
        <v>1069</v>
      </c>
      <c r="H948" t="str">
        <f t="shared" si="98"/>
        <v>Furniture</v>
      </c>
      <c r="I948">
        <v>1</v>
      </c>
      <c r="J948" t="str">
        <f>VLOOKUP(K948,$AJ$2:$AK$7,2,FALSE)</f>
        <v>S006</v>
      </c>
      <c r="K948" t="s">
        <v>1102</v>
      </c>
      <c r="L948">
        <v>4.7</v>
      </c>
      <c r="M948" t="str">
        <f>IFERROR(VLOOKUP(TRIM(N948),$AP$2:$AQ$12,2,FALSE),"W001")</f>
        <v>W002</v>
      </c>
      <c r="N948" t="s">
        <v>1049</v>
      </c>
      <c r="O948" t="s">
        <v>1049</v>
      </c>
      <c r="P948" t="str">
        <f>VLOOKUP(O948,$AL$2:$AM$12,2,FALSE)</f>
        <v>North</v>
      </c>
      <c r="Q948" t="s">
        <v>1084</v>
      </c>
      <c r="R948">
        <v>11</v>
      </c>
      <c r="S948" t="s">
        <v>1079</v>
      </c>
      <c r="T948">
        <f t="shared" si="99"/>
        <v>1</v>
      </c>
      <c r="U948">
        <v>3.3</v>
      </c>
      <c r="V948">
        <f t="shared" si="100"/>
        <v>6</v>
      </c>
      <c r="W948" t="s">
        <v>1088</v>
      </c>
      <c r="X948" t="s">
        <v>1090</v>
      </c>
      <c r="Y948">
        <f t="shared" si="101"/>
        <v>0</v>
      </c>
      <c r="Z948" t="s">
        <v>1108</v>
      </c>
      <c r="AA948" t="str">
        <f t="shared" si="102"/>
        <v>Low</v>
      </c>
      <c r="AB948" t="s">
        <v>1103</v>
      </c>
      <c r="AC948" t="str">
        <f t="shared" si="103"/>
        <v>Yes</v>
      </c>
      <c r="AD948">
        <v>5</v>
      </c>
      <c r="AE948">
        <v>10008</v>
      </c>
      <c r="AF948">
        <v>4003.2000000000003</v>
      </c>
      <c r="AG948">
        <f t="shared" si="104"/>
        <v>6001.4999999999991</v>
      </c>
    </row>
    <row r="949" spans="1:33" x14ac:dyDescent="0.25">
      <c r="A949">
        <v>1948</v>
      </c>
      <c r="B949" s="1">
        <v>46379</v>
      </c>
      <c r="C949" s="1">
        <v>46381</v>
      </c>
      <c r="D949" s="1">
        <v>46387</v>
      </c>
      <c r="E949" t="s">
        <v>1064</v>
      </c>
      <c r="F949" t="s">
        <v>977</v>
      </c>
      <c r="G949" t="s">
        <v>1067</v>
      </c>
      <c r="H949" t="str">
        <f t="shared" si="98"/>
        <v>Clothing</v>
      </c>
      <c r="I949">
        <v>4</v>
      </c>
      <c r="J949" t="str">
        <f>VLOOKUP(K949,$AJ$2:$AK$7,2,FALSE)</f>
        <v>S001</v>
      </c>
      <c r="K949" t="s">
        <v>1097</v>
      </c>
      <c r="L949">
        <v>3.1</v>
      </c>
      <c r="M949" t="str">
        <f>IFERROR(VLOOKUP(TRIM(N949),$AP$2:$AQ$12,2,FALSE),"W001")</f>
        <v>W003</v>
      </c>
      <c r="N949" t="s">
        <v>1051</v>
      </c>
      <c r="O949" t="s">
        <v>1062</v>
      </c>
      <c r="P949" t="str">
        <f>VLOOKUP(O949,$AL$2:$AM$12,2,FALSE)</f>
        <v>North</v>
      </c>
      <c r="Q949" t="s">
        <v>1083</v>
      </c>
      <c r="R949">
        <v>1172</v>
      </c>
      <c r="S949" t="s">
        <v>1078</v>
      </c>
      <c r="T949">
        <f t="shared" si="99"/>
        <v>3</v>
      </c>
      <c r="U949">
        <v>586</v>
      </c>
      <c r="V949">
        <f t="shared" si="100"/>
        <v>10</v>
      </c>
      <c r="W949" t="s">
        <v>1087</v>
      </c>
      <c r="X949" t="s">
        <v>1090</v>
      </c>
      <c r="Y949">
        <f t="shared" si="101"/>
        <v>0</v>
      </c>
      <c r="Z949" t="s">
        <v>1108</v>
      </c>
      <c r="AA949" t="str">
        <f t="shared" si="102"/>
        <v>Medium</v>
      </c>
      <c r="AB949" t="s">
        <v>1103</v>
      </c>
      <c r="AC949" t="str">
        <f t="shared" si="103"/>
        <v>Yes</v>
      </c>
      <c r="AD949">
        <v>5</v>
      </c>
      <c r="AE949">
        <v>2592</v>
      </c>
      <c r="AF949">
        <v>1036.8</v>
      </c>
      <c r="AG949">
        <f t="shared" si="104"/>
        <v>969.2</v>
      </c>
    </row>
    <row r="950" spans="1:33" x14ac:dyDescent="0.25">
      <c r="A950">
        <v>1949</v>
      </c>
      <c r="B950" s="1">
        <v>45668</v>
      </c>
      <c r="C950" s="1">
        <v>45669</v>
      </c>
      <c r="D950" s="1">
        <v>45676</v>
      </c>
      <c r="E950" t="s">
        <v>1064</v>
      </c>
      <c r="F950" t="s">
        <v>978</v>
      </c>
      <c r="G950" t="s">
        <v>1067</v>
      </c>
      <c r="H950" t="str">
        <f t="shared" si="98"/>
        <v>Clothing</v>
      </c>
      <c r="I950">
        <v>2</v>
      </c>
      <c r="J950" t="str">
        <f>VLOOKUP(K950,$AJ$2:$AK$7,2,FALSE)</f>
        <v>S003</v>
      </c>
      <c r="K950" t="s">
        <v>1099</v>
      </c>
      <c r="L950">
        <v>4.7</v>
      </c>
      <c r="M950" t="str">
        <f>IFERROR(VLOOKUP(TRIM(N950),$AP$2:$AQ$12,2,FALSE),"W001")</f>
        <v>W002</v>
      </c>
      <c r="N950" t="s">
        <v>1049</v>
      </c>
      <c r="O950" t="s">
        <v>1053</v>
      </c>
      <c r="P950" t="str">
        <f>VLOOKUP(O950,$AL$2:$AM$12,2,FALSE)</f>
        <v>South</v>
      </c>
      <c r="Q950" t="s">
        <v>1081</v>
      </c>
      <c r="R950">
        <v>792</v>
      </c>
      <c r="S950" t="s">
        <v>1066</v>
      </c>
      <c r="T950">
        <f t="shared" si="99"/>
        <v>4</v>
      </c>
      <c r="U950">
        <v>158.4</v>
      </c>
      <c r="V950">
        <f t="shared" si="100"/>
        <v>5</v>
      </c>
      <c r="W950" t="s">
        <v>1088</v>
      </c>
      <c r="X950" t="s">
        <v>1089</v>
      </c>
      <c r="Y950">
        <f t="shared" si="101"/>
        <v>0</v>
      </c>
      <c r="Z950" t="s">
        <v>1108</v>
      </c>
      <c r="AA950" t="str">
        <f t="shared" si="102"/>
        <v>Low</v>
      </c>
      <c r="AB950" t="s">
        <v>1103</v>
      </c>
      <c r="AC950" t="str">
        <f t="shared" si="103"/>
        <v>Yes</v>
      </c>
      <c r="AD950">
        <v>5</v>
      </c>
      <c r="AE950">
        <v>2180</v>
      </c>
      <c r="AF950">
        <v>872</v>
      </c>
      <c r="AG950">
        <f t="shared" si="104"/>
        <v>1149.5999999999999</v>
      </c>
    </row>
    <row r="951" spans="1:33" x14ac:dyDescent="0.25">
      <c r="A951">
        <v>1950</v>
      </c>
      <c r="B951" s="1">
        <v>44424</v>
      </c>
      <c r="C951" s="1">
        <v>44425</v>
      </c>
      <c r="D951" s="1">
        <v>44427</v>
      </c>
      <c r="E951" t="s">
        <v>1064</v>
      </c>
      <c r="F951" t="s">
        <v>979</v>
      </c>
      <c r="G951" t="s">
        <v>1071</v>
      </c>
      <c r="H951" t="str">
        <f t="shared" si="98"/>
        <v>Clothing</v>
      </c>
      <c r="I951">
        <v>9</v>
      </c>
      <c r="J951" t="str">
        <f>VLOOKUP(K951,$AJ$2:$AK$7,2,FALSE)</f>
        <v>S005</v>
      </c>
      <c r="K951" t="s">
        <v>1101</v>
      </c>
      <c r="L951">
        <v>4.5</v>
      </c>
      <c r="M951" t="str">
        <f>IFERROR(VLOOKUP(TRIM(N951),$AP$2:$AQ$12,2,FALSE),"W001")</f>
        <v>W009</v>
      </c>
      <c r="N951" t="s">
        <v>1060</v>
      </c>
      <c r="O951" t="s">
        <v>1049</v>
      </c>
      <c r="P951" t="str">
        <f>VLOOKUP(O951,$AL$2:$AM$12,2,FALSE)</f>
        <v>North</v>
      </c>
      <c r="Q951" t="s">
        <v>1084</v>
      </c>
      <c r="R951">
        <v>1975</v>
      </c>
      <c r="S951" t="s">
        <v>1078</v>
      </c>
      <c r="T951">
        <f t="shared" si="99"/>
        <v>7</v>
      </c>
      <c r="U951">
        <v>592.5</v>
      </c>
      <c r="V951">
        <f t="shared" si="100"/>
        <v>6</v>
      </c>
      <c r="W951" t="s">
        <v>1087</v>
      </c>
      <c r="X951" t="s">
        <v>1091</v>
      </c>
      <c r="Y951">
        <f t="shared" si="101"/>
        <v>0</v>
      </c>
      <c r="Z951" t="s">
        <v>1109</v>
      </c>
      <c r="AA951" t="str">
        <f t="shared" si="102"/>
        <v>High</v>
      </c>
      <c r="AB951" t="s">
        <v>1104</v>
      </c>
      <c r="AC951" t="str">
        <f t="shared" si="103"/>
        <v>No</v>
      </c>
      <c r="AD951">
        <v>2</v>
      </c>
      <c r="AE951">
        <v>19476</v>
      </c>
      <c r="AF951">
        <v>7790.4000000000005</v>
      </c>
      <c r="AG951">
        <f t="shared" si="104"/>
        <v>11093.099999999999</v>
      </c>
    </row>
    <row r="952" spans="1:33" x14ac:dyDescent="0.25">
      <c r="A952">
        <v>1951</v>
      </c>
      <c r="B952" s="1">
        <v>44749</v>
      </c>
      <c r="C952" s="1">
        <v>44751</v>
      </c>
      <c r="D952" s="1">
        <v>44754</v>
      </c>
      <c r="E952" t="s">
        <v>1065</v>
      </c>
      <c r="F952" t="s">
        <v>980</v>
      </c>
      <c r="G952" t="s">
        <v>1068</v>
      </c>
      <c r="H952" t="str">
        <f t="shared" si="98"/>
        <v>Electronics</v>
      </c>
      <c r="I952">
        <v>9</v>
      </c>
      <c r="J952" t="str">
        <f>VLOOKUP(K952,$AJ$2:$AK$7,2,FALSE)</f>
        <v>S001</v>
      </c>
      <c r="K952" t="s">
        <v>1097</v>
      </c>
      <c r="L952">
        <v>5</v>
      </c>
      <c r="M952" t="str">
        <f>IFERROR(VLOOKUP(TRIM(N952),$AP$2:$AQ$12,2,FALSE),"W001")</f>
        <v>W001</v>
      </c>
      <c r="N952" t="s">
        <v>1047</v>
      </c>
      <c r="O952" t="s">
        <v>1063</v>
      </c>
      <c r="P952" t="str">
        <f>VLOOKUP(O952,$AL$2:$AM$12,2,FALSE)</f>
        <v>South</v>
      </c>
      <c r="Q952" t="s">
        <v>1084</v>
      </c>
      <c r="R952">
        <v>1311</v>
      </c>
      <c r="S952" t="s">
        <v>1078</v>
      </c>
      <c r="T952">
        <f t="shared" si="99"/>
        <v>5</v>
      </c>
      <c r="U952">
        <v>393.3</v>
      </c>
      <c r="V952">
        <f t="shared" si="100"/>
        <v>6</v>
      </c>
      <c r="W952" t="s">
        <v>1086</v>
      </c>
      <c r="X952" t="s">
        <v>1089</v>
      </c>
      <c r="Y952">
        <f t="shared" si="101"/>
        <v>393.3</v>
      </c>
      <c r="Z952" t="s">
        <v>1108</v>
      </c>
      <c r="AA952" t="str">
        <f t="shared" si="102"/>
        <v>Low</v>
      </c>
      <c r="AB952" t="s">
        <v>1103</v>
      </c>
      <c r="AC952" t="str">
        <f t="shared" si="103"/>
        <v>Yes</v>
      </c>
      <c r="AD952">
        <v>4</v>
      </c>
      <c r="AE952">
        <v>592920</v>
      </c>
      <c r="AF952">
        <v>237168</v>
      </c>
      <c r="AG952">
        <f t="shared" si="104"/>
        <v>355358.7</v>
      </c>
    </row>
    <row r="953" spans="1:33" x14ac:dyDescent="0.25">
      <c r="A953">
        <v>1952</v>
      </c>
      <c r="B953" s="1">
        <v>45267</v>
      </c>
      <c r="C953" s="1">
        <v>45269</v>
      </c>
      <c r="D953" s="1">
        <v>45274</v>
      </c>
      <c r="E953" t="s">
        <v>1065</v>
      </c>
      <c r="F953" t="s">
        <v>981</v>
      </c>
      <c r="G953" t="s">
        <v>1072</v>
      </c>
      <c r="H953" t="str">
        <f t="shared" si="98"/>
        <v>Electronics</v>
      </c>
      <c r="I953">
        <v>1</v>
      </c>
      <c r="J953" t="str">
        <f>VLOOKUP(K953,$AJ$2:$AK$7,2,FALSE)</f>
        <v>S005</v>
      </c>
      <c r="K953" t="s">
        <v>1101</v>
      </c>
      <c r="L953">
        <v>3.1</v>
      </c>
      <c r="M953" t="str">
        <f>IFERROR(VLOOKUP(TRIM(N953),$AP$2:$AQ$12,2,FALSE),"W001")</f>
        <v>W010</v>
      </c>
      <c r="N953" t="s">
        <v>1063</v>
      </c>
      <c r="O953" t="s">
        <v>1061</v>
      </c>
      <c r="P953" t="str">
        <f>VLOOKUP(O953,$AL$2:$AM$12,2,FALSE)</f>
        <v>West</v>
      </c>
      <c r="Q953" t="s">
        <v>1084</v>
      </c>
      <c r="R953">
        <v>574</v>
      </c>
      <c r="S953" t="s">
        <v>1066</v>
      </c>
      <c r="T953">
        <f t="shared" si="99"/>
        <v>3</v>
      </c>
      <c r="U953">
        <v>172.2</v>
      </c>
      <c r="V953">
        <f t="shared" si="100"/>
        <v>6</v>
      </c>
      <c r="W953" t="s">
        <v>1088</v>
      </c>
      <c r="X953" t="s">
        <v>1090</v>
      </c>
      <c r="Y953">
        <f t="shared" si="101"/>
        <v>0</v>
      </c>
      <c r="Z953" t="s">
        <v>1108</v>
      </c>
      <c r="AA953" t="str">
        <f t="shared" si="102"/>
        <v>Low</v>
      </c>
      <c r="AB953" t="s">
        <v>1103</v>
      </c>
      <c r="AC953" t="str">
        <f t="shared" si="103"/>
        <v>Yes</v>
      </c>
      <c r="AD953">
        <v>5</v>
      </c>
      <c r="AE953">
        <v>16278</v>
      </c>
      <c r="AF953">
        <v>6511.2000000000007</v>
      </c>
      <c r="AG953">
        <f t="shared" si="104"/>
        <v>9594.5999999999985</v>
      </c>
    </row>
    <row r="954" spans="1:33" x14ac:dyDescent="0.25">
      <c r="A954">
        <v>1953</v>
      </c>
      <c r="B954" s="1">
        <v>46077</v>
      </c>
      <c r="C954" s="1">
        <v>46078</v>
      </c>
      <c r="D954" s="1">
        <v>46085</v>
      </c>
      <c r="E954" t="s">
        <v>1065</v>
      </c>
      <c r="F954" t="s">
        <v>982</v>
      </c>
      <c r="G954" t="s">
        <v>1069</v>
      </c>
      <c r="H954" t="str">
        <f t="shared" si="98"/>
        <v>Furniture</v>
      </c>
      <c r="I954">
        <v>6</v>
      </c>
      <c r="J954" t="str">
        <f>VLOOKUP(K954,$AJ$2:$AK$7,2,FALSE)</f>
        <v>S003</v>
      </c>
      <c r="K954" t="s">
        <v>1099</v>
      </c>
      <c r="L954">
        <v>5</v>
      </c>
      <c r="M954" t="str">
        <f>IFERROR(VLOOKUP(TRIM(N954),$AP$2:$AQ$12,2,FALSE),"W001")</f>
        <v>W003</v>
      </c>
      <c r="N954" t="s">
        <v>1051</v>
      </c>
      <c r="O954" t="s">
        <v>1062</v>
      </c>
      <c r="P954" t="str">
        <f>VLOOKUP(O954,$AL$2:$AM$12,2,FALSE)</f>
        <v>North</v>
      </c>
      <c r="Q954" t="s">
        <v>1080</v>
      </c>
      <c r="R954">
        <v>939</v>
      </c>
      <c r="S954" t="s">
        <v>1078</v>
      </c>
      <c r="T954">
        <f t="shared" si="99"/>
        <v>5</v>
      </c>
      <c r="U954">
        <v>140.85</v>
      </c>
      <c r="V954">
        <f t="shared" si="100"/>
        <v>4</v>
      </c>
      <c r="W954" t="s">
        <v>1087</v>
      </c>
      <c r="X954" t="s">
        <v>1091</v>
      </c>
      <c r="Y954">
        <f t="shared" si="101"/>
        <v>0</v>
      </c>
      <c r="Z954" t="s">
        <v>1108</v>
      </c>
      <c r="AA954" t="str">
        <f t="shared" si="102"/>
        <v>Low</v>
      </c>
      <c r="AB954" t="s">
        <v>1103</v>
      </c>
      <c r="AC954" t="str">
        <f t="shared" si="103"/>
        <v>Yes</v>
      </c>
      <c r="AD954">
        <v>4</v>
      </c>
      <c r="AE954">
        <v>45468</v>
      </c>
      <c r="AF954">
        <v>18187.2</v>
      </c>
      <c r="AG954">
        <f t="shared" si="104"/>
        <v>27139.95</v>
      </c>
    </row>
    <row r="955" spans="1:33" x14ac:dyDescent="0.25">
      <c r="A955">
        <v>1954</v>
      </c>
      <c r="B955" s="1">
        <v>46272</v>
      </c>
      <c r="C955" s="1">
        <v>46273</v>
      </c>
      <c r="D955" s="1">
        <v>46276</v>
      </c>
      <c r="E955" t="s">
        <v>1066</v>
      </c>
      <c r="F955" t="s">
        <v>983</v>
      </c>
      <c r="G955" t="s">
        <v>1072</v>
      </c>
      <c r="H955" t="str">
        <f t="shared" si="98"/>
        <v>Electronics</v>
      </c>
      <c r="I955">
        <v>4</v>
      </c>
      <c r="J955" t="str">
        <f>VLOOKUP(K955,$AJ$2:$AK$7,2,FALSE)</f>
        <v>S006</v>
      </c>
      <c r="K955" t="s">
        <v>1102</v>
      </c>
      <c r="L955">
        <v>4.9000000000000004</v>
      </c>
      <c r="M955" t="str">
        <f>IFERROR(VLOOKUP(TRIM(N955),$AP$2:$AQ$12,2,FALSE),"W001")</f>
        <v>W006</v>
      </c>
      <c r="N955" t="s">
        <v>1057</v>
      </c>
      <c r="O955" t="s">
        <v>1060</v>
      </c>
      <c r="P955" t="str">
        <f>VLOOKUP(O955,$AL$2:$AM$12,2,FALSE)</f>
        <v>North</v>
      </c>
      <c r="Q955" t="s">
        <v>1084</v>
      </c>
      <c r="R955">
        <v>112</v>
      </c>
      <c r="S955" t="s">
        <v>1079</v>
      </c>
      <c r="T955">
        <f t="shared" si="99"/>
        <v>1</v>
      </c>
      <c r="U955">
        <v>33.6</v>
      </c>
      <c r="V955">
        <f t="shared" si="100"/>
        <v>6</v>
      </c>
      <c r="W955" t="s">
        <v>1087</v>
      </c>
      <c r="X955" t="s">
        <v>1091</v>
      </c>
      <c r="Y955">
        <f t="shared" si="101"/>
        <v>0</v>
      </c>
      <c r="Z955" t="s">
        <v>1108</v>
      </c>
      <c r="AA955" t="str">
        <f t="shared" si="102"/>
        <v>Low</v>
      </c>
      <c r="AB955" t="s">
        <v>1103</v>
      </c>
      <c r="AC955" t="str">
        <f t="shared" si="103"/>
        <v>Yes</v>
      </c>
      <c r="AD955">
        <v>4</v>
      </c>
      <c r="AE955">
        <v>111352</v>
      </c>
      <c r="AF955">
        <v>44540.800000000003</v>
      </c>
      <c r="AG955">
        <f t="shared" si="104"/>
        <v>66777.599999999991</v>
      </c>
    </row>
    <row r="956" spans="1:33" x14ac:dyDescent="0.25">
      <c r="A956">
        <v>1955</v>
      </c>
      <c r="B956" s="1">
        <v>45369</v>
      </c>
      <c r="C956" s="1">
        <v>45370</v>
      </c>
      <c r="D956" s="1">
        <v>45376</v>
      </c>
      <c r="E956" t="s">
        <v>1065</v>
      </c>
      <c r="F956" t="s">
        <v>984</v>
      </c>
      <c r="G956" t="s">
        <v>1070</v>
      </c>
      <c r="H956" t="str">
        <f t="shared" si="98"/>
        <v>Furniture</v>
      </c>
      <c r="I956">
        <v>7</v>
      </c>
      <c r="J956" t="str">
        <f>VLOOKUP(K956,$AJ$2:$AK$7,2,FALSE)</f>
        <v>S003</v>
      </c>
      <c r="K956" t="s">
        <v>1099</v>
      </c>
      <c r="L956">
        <v>4.4000000000000004</v>
      </c>
      <c r="M956" t="str">
        <f>IFERROR(VLOOKUP(TRIM(N956),$AP$2:$AQ$12,2,FALSE),"W001")</f>
        <v>W010</v>
      </c>
      <c r="N956" t="s">
        <v>1063</v>
      </c>
      <c r="O956" t="s">
        <v>1055</v>
      </c>
      <c r="P956" t="str">
        <f>VLOOKUP(O956,$AL$2:$AM$12,2,FALSE)</f>
        <v>South</v>
      </c>
      <c r="Q956" t="s">
        <v>1083</v>
      </c>
      <c r="R956">
        <v>1454</v>
      </c>
      <c r="S956" t="s">
        <v>1078</v>
      </c>
      <c r="T956">
        <f t="shared" si="99"/>
        <v>3</v>
      </c>
      <c r="U956">
        <v>727</v>
      </c>
      <c r="V956">
        <f t="shared" si="100"/>
        <v>10</v>
      </c>
      <c r="W956" t="s">
        <v>1086</v>
      </c>
      <c r="X956" t="s">
        <v>1090</v>
      </c>
      <c r="Y956">
        <f t="shared" si="101"/>
        <v>727</v>
      </c>
      <c r="Z956" t="s">
        <v>1108</v>
      </c>
      <c r="AA956" t="str">
        <f t="shared" si="102"/>
        <v>Medium</v>
      </c>
      <c r="AB956" t="s">
        <v>1103</v>
      </c>
      <c r="AC956" t="str">
        <f t="shared" si="103"/>
        <v>Yes</v>
      </c>
      <c r="AD956">
        <v>5</v>
      </c>
      <c r="AE956">
        <v>28483</v>
      </c>
      <c r="AF956">
        <v>11393.2</v>
      </c>
      <c r="AG956">
        <f t="shared" si="104"/>
        <v>16362.8</v>
      </c>
    </row>
    <row r="957" spans="1:33" x14ac:dyDescent="0.25">
      <c r="A957">
        <v>1956</v>
      </c>
      <c r="B957" s="1">
        <v>46341</v>
      </c>
      <c r="C957" s="1">
        <v>46342</v>
      </c>
      <c r="D957" s="1">
        <v>46349</v>
      </c>
      <c r="E957" t="s">
        <v>1065</v>
      </c>
      <c r="F957" t="s">
        <v>985</v>
      </c>
      <c r="G957" t="s">
        <v>1069</v>
      </c>
      <c r="H957" t="str">
        <f t="shared" si="98"/>
        <v>Furniture</v>
      </c>
      <c r="I957">
        <v>8</v>
      </c>
      <c r="J957" t="str">
        <f>VLOOKUP(K957,$AJ$2:$AK$7,2,FALSE)</f>
        <v>S004</v>
      </c>
      <c r="K957" t="s">
        <v>1100</v>
      </c>
      <c r="L957">
        <v>4.3</v>
      </c>
      <c r="M957" t="str">
        <f>IFERROR(VLOOKUP(TRIM(N957),$AP$2:$AQ$12,2,FALSE),"W001")</f>
        <v>W008</v>
      </c>
      <c r="N957" t="s">
        <v>1061</v>
      </c>
      <c r="O957" t="s">
        <v>1049</v>
      </c>
      <c r="P957" t="str">
        <f>VLOOKUP(O957,$AL$2:$AM$12,2,FALSE)</f>
        <v>North</v>
      </c>
      <c r="Q957" t="s">
        <v>1080</v>
      </c>
      <c r="R957">
        <v>861</v>
      </c>
      <c r="S957" t="s">
        <v>1078</v>
      </c>
      <c r="T957">
        <f t="shared" si="99"/>
        <v>5</v>
      </c>
      <c r="U957">
        <v>129.15</v>
      </c>
      <c r="V957">
        <f t="shared" si="100"/>
        <v>4</v>
      </c>
      <c r="W957" t="s">
        <v>1088</v>
      </c>
      <c r="X957" t="s">
        <v>1090</v>
      </c>
      <c r="Y957">
        <f t="shared" si="101"/>
        <v>0</v>
      </c>
      <c r="Z957" t="s">
        <v>1108</v>
      </c>
      <c r="AA957" t="str">
        <f t="shared" si="102"/>
        <v>Low</v>
      </c>
      <c r="AB957" t="s">
        <v>1103</v>
      </c>
      <c r="AC957" t="str">
        <f t="shared" si="103"/>
        <v>Yes</v>
      </c>
      <c r="AD957">
        <v>4</v>
      </c>
      <c r="AE957">
        <v>48616</v>
      </c>
      <c r="AF957">
        <v>19446.400000000001</v>
      </c>
      <c r="AG957">
        <f t="shared" si="104"/>
        <v>29040.449999999997</v>
      </c>
    </row>
    <row r="958" spans="1:33" x14ac:dyDescent="0.25">
      <c r="A958">
        <v>1957</v>
      </c>
      <c r="B958" s="1">
        <v>45433</v>
      </c>
      <c r="C958" s="1">
        <v>45435</v>
      </c>
      <c r="D958" s="1">
        <v>45442</v>
      </c>
      <c r="E958" t="s">
        <v>1066</v>
      </c>
      <c r="F958" t="s">
        <v>986</v>
      </c>
      <c r="G958" t="s">
        <v>1071</v>
      </c>
      <c r="H958" t="str">
        <f t="shared" si="98"/>
        <v>Clothing</v>
      </c>
      <c r="I958">
        <v>2</v>
      </c>
      <c r="J958" t="str">
        <f>VLOOKUP(K958,$AJ$2:$AK$7,2,FALSE)</f>
        <v>S001</v>
      </c>
      <c r="K958" t="s">
        <v>1097</v>
      </c>
      <c r="L958">
        <v>3.3</v>
      </c>
      <c r="M958" t="str">
        <f>IFERROR(VLOOKUP(TRIM(N958),$AP$2:$AQ$12,2,FALSE),"W001")</f>
        <v>W002</v>
      </c>
      <c r="N958" t="s">
        <v>1049</v>
      </c>
      <c r="O958" t="s">
        <v>1055</v>
      </c>
      <c r="P958" t="str">
        <f>VLOOKUP(O958,$AL$2:$AM$12,2,FALSE)</f>
        <v>South</v>
      </c>
      <c r="Q958" t="s">
        <v>1080</v>
      </c>
      <c r="R958">
        <v>1108</v>
      </c>
      <c r="S958" t="s">
        <v>1078</v>
      </c>
      <c r="T958">
        <f t="shared" si="99"/>
        <v>6</v>
      </c>
      <c r="U958">
        <v>166.2</v>
      </c>
      <c r="V958">
        <f t="shared" si="100"/>
        <v>4</v>
      </c>
      <c r="W958" t="s">
        <v>1088</v>
      </c>
      <c r="X958" t="s">
        <v>1090</v>
      </c>
      <c r="Y958">
        <f t="shared" si="101"/>
        <v>0</v>
      </c>
      <c r="Z958" t="s">
        <v>1108</v>
      </c>
      <c r="AA958" t="str">
        <f t="shared" si="102"/>
        <v>Low</v>
      </c>
      <c r="AB958" t="s">
        <v>1103</v>
      </c>
      <c r="AC958" t="str">
        <f t="shared" si="103"/>
        <v>Yes</v>
      </c>
      <c r="AD958">
        <v>4</v>
      </c>
      <c r="AE958">
        <v>2582</v>
      </c>
      <c r="AF958">
        <v>1032.8</v>
      </c>
      <c r="AG958">
        <f t="shared" si="104"/>
        <v>1383</v>
      </c>
    </row>
    <row r="959" spans="1:33" x14ac:dyDescent="0.25">
      <c r="A959">
        <v>1958</v>
      </c>
      <c r="B959" s="1">
        <v>45051</v>
      </c>
      <c r="C959" s="1">
        <v>45053</v>
      </c>
      <c r="D959" s="1">
        <v>45055</v>
      </c>
      <c r="E959" t="s">
        <v>1066</v>
      </c>
      <c r="F959" t="s">
        <v>987</v>
      </c>
      <c r="G959" t="s">
        <v>1072</v>
      </c>
      <c r="H959" t="str">
        <f t="shared" si="98"/>
        <v>Electronics</v>
      </c>
      <c r="I959">
        <v>6</v>
      </c>
      <c r="J959" t="str">
        <f>VLOOKUP(K959,$AJ$2:$AK$7,2,FALSE)</f>
        <v>S002</v>
      </c>
      <c r="K959" t="s">
        <v>1098</v>
      </c>
      <c r="L959">
        <v>3.2</v>
      </c>
      <c r="M959" t="str">
        <f>IFERROR(VLOOKUP(TRIM(N959),$AP$2:$AQ$12,2,FALSE),"W001")</f>
        <v>W005</v>
      </c>
      <c r="N959" t="s">
        <v>1055</v>
      </c>
      <c r="O959" t="s">
        <v>1063</v>
      </c>
      <c r="P959" t="str">
        <f>VLOOKUP(O959,$AL$2:$AM$12,2,FALSE)</f>
        <v>South</v>
      </c>
      <c r="Q959" t="s">
        <v>1084</v>
      </c>
      <c r="R959">
        <v>1650</v>
      </c>
      <c r="S959" t="s">
        <v>1078</v>
      </c>
      <c r="T959">
        <f t="shared" si="99"/>
        <v>6</v>
      </c>
      <c r="U959">
        <v>495</v>
      </c>
      <c r="V959">
        <f t="shared" si="100"/>
        <v>6</v>
      </c>
      <c r="W959" t="s">
        <v>1086</v>
      </c>
      <c r="X959" t="s">
        <v>1091</v>
      </c>
      <c r="Y959">
        <f t="shared" si="101"/>
        <v>495</v>
      </c>
      <c r="Z959" t="s">
        <v>1109</v>
      </c>
      <c r="AA959" t="str">
        <f t="shared" si="102"/>
        <v>High</v>
      </c>
      <c r="AB959" t="s">
        <v>1104</v>
      </c>
      <c r="AC959" t="str">
        <f t="shared" si="103"/>
        <v>No</v>
      </c>
      <c r="AD959">
        <v>2</v>
      </c>
      <c r="AE959">
        <v>148860</v>
      </c>
      <c r="AF959">
        <v>59544</v>
      </c>
      <c r="AG959">
        <f t="shared" si="104"/>
        <v>88821</v>
      </c>
    </row>
    <row r="960" spans="1:33" x14ac:dyDescent="0.25">
      <c r="A960">
        <v>1959</v>
      </c>
      <c r="B960" s="1">
        <v>44748</v>
      </c>
      <c r="C960" s="1">
        <v>44750</v>
      </c>
      <c r="D960" s="1">
        <v>44753</v>
      </c>
      <c r="E960" t="s">
        <v>1066</v>
      </c>
      <c r="F960" t="s">
        <v>988</v>
      </c>
      <c r="G960" t="s">
        <v>1072</v>
      </c>
      <c r="H960" t="str">
        <f t="shared" si="98"/>
        <v>Electronics</v>
      </c>
      <c r="I960">
        <v>7</v>
      </c>
      <c r="J960" t="str">
        <f>VLOOKUP(K960,$AJ$2:$AK$7,2,FALSE)</f>
        <v>S005</v>
      </c>
      <c r="K960" t="s">
        <v>1101</v>
      </c>
      <c r="L960">
        <v>4.5</v>
      </c>
      <c r="M960" t="str">
        <f>IFERROR(VLOOKUP(TRIM(N960),$AP$2:$AQ$12,2,FALSE),"W001")</f>
        <v>W005</v>
      </c>
      <c r="N960" t="s">
        <v>1055</v>
      </c>
      <c r="O960" t="s">
        <v>1055</v>
      </c>
      <c r="P960" t="str">
        <f>VLOOKUP(O960,$AL$2:$AM$12,2,FALSE)</f>
        <v>South</v>
      </c>
      <c r="Q960" t="s">
        <v>1083</v>
      </c>
      <c r="R960">
        <v>45</v>
      </c>
      <c r="S960" t="s">
        <v>1079</v>
      </c>
      <c r="T960">
        <f t="shared" si="99"/>
        <v>1</v>
      </c>
      <c r="U960">
        <v>22.5</v>
      </c>
      <c r="V960">
        <f t="shared" si="100"/>
        <v>10</v>
      </c>
      <c r="W960" t="s">
        <v>1088</v>
      </c>
      <c r="X960" t="s">
        <v>1091</v>
      </c>
      <c r="Y960">
        <f t="shared" si="101"/>
        <v>0</v>
      </c>
      <c r="Z960" t="s">
        <v>1108</v>
      </c>
      <c r="AA960" t="str">
        <f t="shared" si="102"/>
        <v>Medium</v>
      </c>
      <c r="AB960" t="s">
        <v>1103</v>
      </c>
      <c r="AC960" t="str">
        <f t="shared" si="103"/>
        <v>Yes</v>
      </c>
      <c r="AD960">
        <v>4</v>
      </c>
      <c r="AE960">
        <v>163065</v>
      </c>
      <c r="AF960">
        <v>65226</v>
      </c>
      <c r="AG960">
        <f t="shared" si="104"/>
        <v>97816.5</v>
      </c>
    </row>
    <row r="961" spans="1:33" x14ac:dyDescent="0.25">
      <c r="A961">
        <v>1960</v>
      </c>
      <c r="B961" s="1">
        <v>44846</v>
      </c>
      <c r="C961" s="1">
        <v>44849</v>
      </c>
      <c r="D961" s="1">
        <v>44854</v>
      </c>
      <c r="E961" t="s">
        <v>1066</v>
      </c>
      <c r="F961" t="s">
        <v>989</v>
      </c>
      <c r="G961" t="s">
        <v>1067</v>
      </c>
      <c r="H961" t="str">
        <f t="shared" si="98"/>
        <v>Clothing</v>
      </c>
      <c r="I961">
        <v>2</v>
      </c>
      <c r="J961" t="str">
        <f>VLOOKUP(K961,$AJ$2:$AK$7,2,FALSE)</f>
        <v>S005</v>
      </c>
      <c r="K961" t="s">
        <v>1101</v>
      </c>
      <c r="L961">
        <v>5</v>
      </c>
      <c r="M961" t="str">
        <f>IFERROR(VLOOKUP(TRIM(N961),$AP$2:$AQ$12,2,FALSE),"W001")</f>
        <v>W008</v>
      </c>
      <c r="N961" t="s">
        <v>1061</v>
      </c>
      <c r="O961" t="s">
        <v>1055</v>
      </c>
      <c r="P961" t="str">
        <f>VLOOKUP(O961,$AL$2:$AM$12,2,FALSE)</f>
        <v>South</v>
      </c>
      <c r="Q961" t="s">
        <v>1080</v>
      </c>
      <c r="R961">
        <v>1319</v>
      </c>
      <c r="S961" t="s">
        <v>1078</v>
      </c>
      <c r="T961">
        <f t="shared" si="99"/>
        <v>6</v>
      </c>
      <c r="U961">
        <v>197.85</v>
      </c>
      <c r="V961">
        <f t="shared" si="100"/>
        <v>4</v>
      </c>
      <c r="W961" t="s">
        <v>1087</v>
      </c>
      <c r="X961" t="s">
        <v>1091</v>
      </c>
      <c r="Y961">
        <f t="shared" si="101"/>
        <v>0</v>
      </c>
      <c r="Z961" t="s">
        <v>1108</v>
      </c>
      <c r="AA961" t="str">
        <f t="shared" si="102"/>
        <v>Low</v>
      </c>
      <c r="AB961" t="s">
        <v>1103</v>
      </c>
      <c r="AC961" t="str">
        <f t="shared" si="103"/>
        <v>Yes</v>
      </c>
      <c r="AD961">
        <v>5</v>
      </c>
      <c r="AE961">
        <v>2898</v>
      </c>
      <c r="AF961">
        <v>1159.2</v>
      </c>
      <c r="AG961">
        <f t="shared" si="104"/>
        <v>1540.95</v>
      </c>
    </row>
    <row r="962" spans="1:33" x14ac:dyDescent="0.25">
      <c r="A962">
        <v>1961</v>
      </c>
      <c r="B962" s="1">
        <v>45631</v>
      </c>
      <c r="C962" s="1">
        <v>45634</v>
      </c>
      <c r="D962" s="1">
        <v>45637</v>
      </c>
      <c r="E962" t="s">
        <v>1064</v>
      </c>
      <c r="F962" t="s">
        <v>990</v>
      </c>
      <c r="G962" t="s">
        <v>1068</v>
      </c>
      <c r="H962" t="str">
        <f t="shared" si="98"/>
        <v>Electronics</v>
      </c>
      <c r="I962">
        <v>2</v>
      </c>
      <c r="J962" t="str">
        <f>VLOOKUP(K962,$AJ$2:$AK$7,2,FALSE)</f>
        <v>S004</v>
      </c>
      <c r="K962" t="s">
        <v>1100</v>
      </c>
      <c r="L962">
        <v>3.3</v>
      </c>
      <c r="M962" t="str">
        <f>IFERROR(VLOOKUP(TRIM(N962),$AP$2:$AQ$12,2,FALSE),"W001")</f>
        <v>W001</v>
      </c>
      <c r="N962" t="s">
        <v>1047</v>
      </c>
      <c r="O962" t="s">
        <v>1060</v>
      </c>
      <c r="P962" t="str">
        <f>VLOOKUP(O962,$AL$2:$AM$12,2,FALSE)</f>
        <v>North</v>
      </c>
      <c r="Q962" t="s">
        <v>1080</v>
      </c>
      <c r="R962">
        <v>1697</v>
      </c>
      <c r="S962" t="s">
        <v>1078</v>
      </c>
      <c r="T962">
        <f t="shared" si="99"/>
        <v>8</v>
      </c>
      <c r="U962">
        <v>254.55</v>
      </c>
      <c r="V962">
        <f t="shared" si="100"/>
        <v>4</v>
      </c>
      <c r="W962" t="s">
        <v>1088</v>
      </c>
      <c r="X962" t="s">
        <v>1089</v>
      </c>
      <c r="Y962">
        <f t="shared" si="101"/>
        <v>0</v>
      </c>
      <c r="Z962" t="s">
        <v>1108</v>
      </c>
      <c r="AA962" t="str">
        <f t="shared" si="102"/>
        <v>Low</v>
      </c>
      <c r="AB962" t="s">
        <v>1103</v>
      </c>
      <c r="AC962" t="str">
        <f t="shared" si="103"/>
        <v>Yes</v>
      </c>
      <c r="AD962">
        <v>5</v>
      </c>
      <c r="AE962">
        <v>132072</v>
      </c>
      <c r="AF962">
        <v>52828.800000000003</v>
      </c>
      <c r="AG962">
        <f t="shared" si="104"/>
        <v>78988.649999999994</v>
      </c>
    </row>
    <row r="963" spans="1:33" x14ac:dyDescent="0.25">
      <c r="A963">
        <v>1962</v>
      </c>
      <c r="B963" s="1">
        <v>45462</v>
      </c>
      <c r="C963" s="1">
        <v>45464</v>
      </c>
      <c r="D963" s="1">
        <v>45471</v>
      </c>
      <c r="E963" t="s">
        <v>1064</v>
      </c>
      <c r="F963" t="s">
        <v>991</v>
      </c>
      <c r="G963" t="s">
        <v>1071</v>
      </c>
      <c r="H963" t="str">
        <f t="shared" ref="H963:H1012" si="105">IF(OR(G963="Laptop",G963="Mobile"),"Electronics",
IF(OR(G963="T-Shirt",G963="Jeans"),"Clothing",
IF(OR(G963="Table",G963="Chair"),"Furniture","")))</f>
        <v>Clothing</v>
      </c>
      <c r="I963">
        <v>8</v>
      </c>
      <c r="J963" t="str">
        <f>VLOOKUP(K963,$AJ$2:$AK$7,2,FALSE)</f>
        <v>S004</v>
      </c>
      <c r="K963" t="s">
        <v>1100</v>
      </c>
      <c r="L963">
        <v>3.9</v>
      </c>
      <c r="M963" t="str">
        <f>IFERROR(VLOOKUP(TRIM(N963),$AP$2:$AQ$12,2,FALSE),"W001")</f>
        <v>W010</v>
      </c>
      <c r="N963" t="s">
        <v>1063</v>
      </c>
      <c r="O963" t="s">
        <v>1047</v>
      </c>
      <c r="P963" t="str">
        <f>VLOOKUP(O963,$AL$2:$AM$12,2,FALSE)</f>
        <v>West</v>
      </c>
      <c r="Q963" t="s">
        <v>1082</v>
      </c>
      <c r="R963">
        <v>898</v>
      </c>
      <c r="S963" t="s">
        <v>1078</v>
      </c>
      <c r="T963">
        <f t="shared" ref="T963:T1012" si="106">IF(Q963="Air",ROUND(R963/700,0)+1,
IF(Q963="Express",ROUND(R963/500,0)+1,
IF(Q963="Courier",ROUND(R963/350,0)+1,
IF(Q963="Road",ROUND(R963/250,0)+1,
IF(Q963="Rail",ROUND(R963/300,0)+2,
IF(Q963="Ship",ROUND(R963/200,0)+3,""))))))</f>
        <v>3</v>
      </c>
      <c r="U963">
        <v>359.2</v>
      </c>
      <c r="V963">
        <f t="shared" ref="V963:V1012" si="107">IF(Q963="Road",5,
IF(Q963="Rail",4,
IF(Q963="Air",10,
IF(Q963="Ship",3,
IF(Q963="Courier",6,
IF(Q963="Express",8))))))</f>
        <v>8</v>
      </c>
      <c r="W963" t="s">
        <v>1086</v>
      </c>
      <c r="X963" t="s">
        <v>1090</v>
      </c>
      <c r="Y963">
        <f t="shared" ref="Y963:Y1012" si="108">IF(W963="COD",U963,0)</f>
        <v>359.2</v>
      </c>
      <c r="Z963" t="s">
        <v>1109</v>
      </c>
      <c r="AA963" t="str">
        <f t="shared" ref="AA963:AA1012" si="109">IF(Z963="Delayed","High",
IF(OR(Q963="Air",Q963="Express"),"Medium","Low"))</f>
        <v>High</v>
      </c>
      <c r="AB963" t="s">
        <v>1103</v>
      </c>
      <c r="AC963" t="str">
        <f t="shared" ref="AC963:AC1012" si="110">IF(Z963="Delayed","No","Yes")</f>
        <v>No</v>
      </c>
      <c r="AD963">
        <v>3</v>
      </c>
      <c r="AE963">
        <v>23512</v>
      </c>
      <c r="AF963">
        <v>9404.8000000000011</v>
      </c>
      <c r="AG963">
        <f t="shared" ref="AG963:AG1014" si="111">AE963 - AF963-U963</f>
        <v>13747.999999999998</v>
      </c>
    </row>
    <row r="964" spans="1:33" x14ac:dyDescent="0.25">
      <c r="A964">
        <v>1963</v>
      </c>
      <c r="B964" s="1">
        <v>45666</v>
      </c>
      <c r="C964" s="1">
        <v>45667</v>
      </c>
      <c r="D964" s="1">
        <v>45673</v>
      </c>
      <c r="E964" t="s">
        <v>1064</v>
      </c>
      <c r="F964" t="s">
        <v>992</v>
      </c>
      <c r="G964" t="s">
        <v>1067</v>
      </c>
      <c r="H964" t="str">
        <f t="shared" si="105"/>
        <v>Clothing</v>
      </c>
      <c r="I964">
        <v>2</v>
      </c>
      <c r="J964" t="str">
        <f>VLOOKUP(K964,$AJ$2:$AK$7,2,FALSE)</f>
        <v>S002</v>
      </c>
      <c r="K964" t="s">
        <v>1098</v>
      </c>
      <c r="L964">
        <v>3.2</v>
      </c>
      <c r="M964" t="str">
        <f>IFERROR(VLOOKUP(TRIM(N964),$AP$2:$AQ$12,2,FALSE),"W001")</f>
        <v>W008</v>
      </c>
      <c r="N964" t="s">
        <v>1061</v>
      </c>
      <c r="O964" t="s">
        <v>1053</v>
      </c>
      <c r="P964" t="str">
        <f>VLOOKUP(O964,$AL$2:$AM$12,2,FALSE)</f>
        <v>South</v>
      </c>
      <c r="Q964" t="s">
        <v>1080</v>
      </c>
      <c r="R964">
        <v>587</v>
      </c>
      <c r="S964" t="s">
        <v>1066</v>
      </c>
      <c r="T964">
        <f t="shared" si="106"/>
        <v>4</v>
      </c>
      <c r="U964">
        <v>88.05</v>
      </c>
      <c r="V964">
        <f t="shared" si="107"/>
        <v>4</v>
      </c>
      <c r="W964" t="s">
        <v>1086</v>
      </c>
      <c r="X964" t="s">
        <v>1091</v>
      </c>
      <c r="Y964">
        <f t="shared" si="108"/>
        <v>88.05</v>
      </c>
      <c r="Z964" t="s">
        <v>1108</v>
      </c>
      <c r="AA964" t="str">
        <f t="shared" si="109"/>
        <v>Low</v>
      </c>
      <c r="AB964" t="s">
        <v>1103</v>
      </c>
      <c r="AC964" t="str">
        <f t="shared" si="110"/>
        <v>Yes</v>
      </c>
      <c r="AD964">
        <v>5</v>
      </c>
      <c r="AE964">
        <v>2982</v>
      </c>
      <c r="AF964">
        <v>1192.8</v>
      </c>
      <c r="AG964">
        <f t="shared" si="111"/>
        <v>1701.15</v>
      </c>
    </row>
    <row r="965" spans="1:33" x14ac:dyDescent="0.25">
      <c r="A965">
        <v>1964</v>
      </c>
      <c r="B965" s="1">
        <v>44852</v>
      </c>
      <c r="C965" s="1">
        <v>44854</v>
      </c>
      <c r="D965" s="1">
        <v>44857</v>
      </c>
      <c r="E965" t="s">
        <v>1065</v>
      </c>
      <c r="F965" t="s">
        <v>993</v>
      </c>
      <c r="G965" t="s">
        <v>1068</v>
      </c>
      <c r="H965" t="str">
        <f t="shared" si="105"/>
        <v>Electronics</v>
      </c>
      <c r="I965">
        <v>6</v>
      </c>
      <c r="J965" t="str">
        <f>VLOOKUP(K965,$AJ$2:$AK$7,2,FALSE)</f>
        <v>S002</v>
      </c>
      <c r="K965" t="s">
        <v>1098</v>
      </c>
      <c r="L965">
        <v>4.5</v>
      </c>
      <c r="M965" t="str">
        <f>IFERROR(VLOOKUP(TRIM(N965),$AP$2:$AQ$12,2,FALSE),"W001")</f>
        <v>W003</v>
      </c>
      <c r="N965" t="s">
        <v>1051</v>
      </c>
      <c r="O965" t="s">
        <v>1061</v>
      </c>
      <c r="P965" t="str">
        <f>VLOOKUP(O965,$AL$2:$AM$12,2,FALSE)</f>
        <v>West</v>
      </c>
      <c r="Q965" t="s">
        <v>1080</v>
      </c>
      <c r="R965">
        <v>1124</v>
      </c>
      <c r="S965" t="s">
        <v>1078</v>
      </c>
      <c r="T965">
        <f t="shared" si="106"/>
        <v>6</v>
      </c>
      <c r="U965">
        <v>168.6</v>
      </c>
      <c r="V965">
        <f t="shared" si="107"/>
        <v>4</v>
      </c>
      <c r="W965" t="s">
        <v>1086</v>
      </c>
      <c r="X965" t="s">
        <v>1091</v>
      </c>
      <c r="Y965">
        <f t="shared" si="108"/>
        <v>168.6</v>
      </c>
      <c r="Z965" t="s">
        <v>1108</v>
      </c>
      <c r="AA965" t="str">
        <f t="shared" si="109"/>
        <v>Low</v>
      </c>
      <c r="AB965" t="s">
        <v>1103</v>
      </c>
      <c r="AC965" t="str">
        <f t="shared" si="110"/>
        <v>Yes</v>
      </c>
      <c r="AD965">
        <v>4</v>
      </c>
      <c r="AE965">
        <v>320712</v>
      </c>
      <c r="AF965">
        <v>128284.8</v>
      </c>
      <c r="AG965">
        <f t="shared" si="111"/>
        <v>192258.6</v>
      </c>
    </row>
    <row r="966" spans="1:33" x14ac:dyDescent="0.25">
      <c r="A966">
        <v>1965</v>
      </c>
      <c r="B966" s="1">
        <v>44929</v>
      </c>
      <c r="C966" s="1">
        <v>44932</v>
      </c>
      <c r="D966" s="1">
        <v>44934</v>
      </c>
      <c r="E966" t="s">
        <v>1065</v>
      </c>
      <c r="F966" t="s">
        <v>994</v>
      </c>
      <c r="G966" t="s">
        <v>1070</v>
      </c>
      <c r="H966" t="str">
        <f t="shared" si="105"/>
        <v>Furniture</v>
      </c>
      <c r="I966">
        <v>6</v>
      </c>
      <c r="J966" t="str">
        <f>VLOOKUP(K966,$AJ$2:$AK$7,2,FALSE)</f>
        <v>S005</v>
      </c>
      <c r="K966" t="s">
        <v>1101</v>
      </c>
      <c r="L966">
        <v>4.3</v>
      </c>
      <c r="M966" t="str">
        <f>IFERROR(VLOOKUP(TRIM(N966),$AP$2:$AQ$12,2,FALSE),"W001")</f>
        <v>W010</v>
      </c>
      <c r="N966" t="s">
        <v>1063</v>
      </c>
      <c r="O966" t="s">
        <v>1053</v>
      </c>
      <c r="P966" t="str">
        <f>VLOOKUP(O966,$AL$2:$AM$12,2,FALSE)</f>
        <v>South</v>
      </c>
      <c r="Q966" t="s">
        <v>1083</v>
      </c>
      <c r="R966">
        <v>585</v>
      </c>
      <c r="S966" t="s">
        <v>1066</v>
      </c>
      <c r="T966">
        <f t="shared" si="106"/>
        <v>2</v>
      </c>
      <c r="U966">
        <v>292.5</v>
      </c>
      <c r="V966">
        <f t="shared" si="107"/>
        <v>10</v>
      </c>
      <c r="W966" t="s">
        <v>1086</v>
      </c>
      <c r="X966" t="s">
        <v>1091</v>
      </c>
      <c r="Y966">
        <f t="shared" si="108"/>
        <v>292.5</v>
      </c>
      <c r="Z966" t="s">
        <v>1108</v>
      </c>
      <c r="AA966" t="str">
        <f t="shared" si="109"/>
        <v>Medium</v>
      </c>
      <c r="AB966" t="s">
        <v>1103</v>
      </c>
      <c r="AC966" t="str">
        <f t="shared" si="110"/>
        <v>Yes</v>
      </c>
      <c r="AD966">
        <v>4</v>
      </c>
      <c r="AE966">
        <v>35118</v>
      </c>
      <c r="AF966">
        <v>14047.2</v>
      </c>
      <c r="AG966">
        <f t="shared" si="111"/>
        <v>20778.3</v>
      </c>
    </row>
    <row r="967" spans="1:33" x14ac:dyDescent="0.25">
      <c r="A967">
        <v>1966</v>
      </c>
      <c r="B967" s="1">
        <v>46009</v>
      </c>
      <c r="C967" s="1">
        <v>46011</v>
      </c>
      <c r="D967" s="1">
        <v>46015</v>
      </c>
      <c r="E967" t="s">
        <v>1066</v>
      </c>
      <c r="F967" t="s">
        <v>995</v>
      </c>
      <c r="G967" t="s">
        <v>1072</v>
      </c>
      <c r="H967" t="str">
        <f t="shared" si="105"/>
        <v>Electronics</v>
      </c>
      <c r="I967">
        <v>5</v>
      </c>
      <c r="J967" t="str">
        <f>VLOOKUP(K967,$AJ$2:$AK$7,2,FALSE)</f>
        <v>S006</v>
      </c>
      <c r="K967" t="s">
        <v>1102</v>
      </c>
      <c r="L967">
        <v>3.4</v>
      </c>
      <c r="M967" t="str">
        <f>IFERROR(VLOOKUP(TRIM(N967),$AP$2:$AQ$12,2,FALSE),"W001")</f>
        <v>W007</v>
      </c>
      <c r="N967" t="s">
        <v>1062</v>
      </c>
      <c r="O967" t="s">
        <v>1062</v>
      </c>
      <c r="P967" t="str">
        <f>VLOOKUP(O967,$AL$2:$AM$12,2,FALSE)</f>
        <v>North</v>
      </c>
      <c r="Q967" t="s">
        <v>1082</v>
      </c>
      <c r="R967">
        <v>15</v>
      </c>
      <c r="S967" t="s">
        <v>1079</v>
      </c>
      <c r="T967">
        <f t="shared" si="106"/>
        <v>1</v>
      </c>
      <c r="U967">
        <v>6</v>
      </c>
      <c r="V967">
        <f t="shared" si="107"/>
        <v>8</v>
      </c>
      <c r="W967" t="s">
        <v>1087</v>
      </c>
      <c r="X967" t="s">
        <v>1089</v>
      </c>
      <c r="Y967">
        <f t="shared" si="108"/>
        <v>0</v>
      </c>
      <c r="Z967" t="s">
        <v>1108</v>
      </c>
      <c r="AA967" t="str">
        <f t="shared" si="109"/>
        <v>Medium</v>
      </c>
      <c r="AB967" t="s">
        <v>1103</v>
      </c>
      <c r="AC967" t="str">
        <f t="shared" si="110"/>
        <v>Yes</v>
      </c>
      <c r="AD967">
        <v>4</v>
      </c>
      <c r="AE967">
        <v>66310</v>
      </c>
      <c r="AF967">
        <v>26524</v>
      </c>
      <c r="AG967">
        <f t="shared" si="111"/>
        <v>39780</v>
      </c>
    </row>
    <row r="968" spans="1:33" x14ac:dyDescent="0.25">
      <c r="A968">
        <v>1967</v>
      </c>
      <c r="B968" s="1">
        <v>45077</v>
      </c>
      <c r="C968" s="1">
        <v>45080</v>
      </c>
      <c r="D968" s="1">
        <v>45086</v>
      </c>
      <c r="E968" t="s">
        <v>1064</v>
      </c>
      <c r="F968" t="s">
        <v>996</v>
      </c>
      <c r="G968" t="s">
        <v>1068</v>
      </c>
      <c r="H968" t="str">
        <f t="shared" si="105"/>
        <v>Electronics</v>
      </c>
      <c r="I968">
        <v>7</v>
      </c>
      <c r="J968" t="str">
        <f>VLOOKUP(K968,$AJ$2:$AK$7,2,FALSE)</f>
        <v>S003</v>
      </c>
      <c r="K968" t="s">
        <v>1099</v>
      </c>
      <c r="L968">
        <v>4.5999999999999996</v>
      </c>
      <c r="M968" t="str">
        <f>IFERROR(VLOOKUP(TRIM(N968),$AP$2:$AQ$12,2,FALSE),"W001")</f>
        <v>W011</v>
      </c>
      <c r="N968" t="s">
        <v>1059</v>
      </c>
      <c r="O968" t="s">
        <v>1053</v>
      </c>
      <c r="P968" t="str">
        <f>VLOOKUP(O968,$AL$2:$AM$12,2,FALSE)</f>
        <v>South</v>
      </c>
      <c r="Q968" t="s">
        <v>1083</v>
      </c>
      <c r="R968">
        <v>997</v>
      </c>
      <c r="S968" t="s">
        <v>1078</v>
      </c>
      <c r="T968">
        <f t="shared" si="106"/>
        <v>2</v>
      </c>
      <c r="U968">
        <v>498.5</v>
      </c>
      <c r="V968">
        <f t="shared" si="107"/>
        <v>10</v>
      </c>
      <c r="W968" t="s">
        <v>1086</v>
      </c>
      <c r="X968" t="s">
        <v>1091</v>
      </c>
      <c r="Y968">
        <f t="shared" si="108"/>
        <v>498.5</v>
      </c>
      <c r="Z968" t="s">
        <v>1108</v>
      </c>
      <c r="AA968" t="str">
        <f t="shared" si="109"/>
        <v>Medium</v>
      </c>
      <c r="AB968" t="s">
        <v>1104</v>
      </c>
      <c r="AC968" t="str">
        <f t="shared" si="110"/>
        <v>Yes</v>
      </c>
      <c r="AD968">
        <v>1</v>
      </c>
      <c r="AE968">
        <v>322301</v>
      </c>
      <c r="AF968">
        <v>128920.40000000001</v>
      </c>
      <c r="AG968">
        <f t="shared" si="111"/>
        <v>192882.09999999998</v>
      </c>
    </row>
    <row r="969" spans="1:33" x14ac:dyDescent="0.25">
      <c r="A969">
        <v>1968</v>
      </c>
      <c r="B969" s="1">
        <v>45448</v>
      </c>
      <c r="C969" s="1">
        <v>45451</v>
      </c>
      <c r="D969" s="1">
        <v>45456</v>
      </c>
      <c r="E969" t="s">
        <v>1065</v>
      </c>
      <c r="F969" t="s">
        <v>997</v>
      </c>
      <c r="G969" t="s">
        <v>1069</v>
      </c>
      <c r="H969" t="str">
        <f t="shared" si="105"/>
        <v>Furniture</v>
      </c>
      <c r="I969">
        <v>1</v>
      </c>
      <c r="J969" t="str">
        <f>VLOOKUP(K969,$AJ$2:$AK$7,2,FALSE)</f>
        <v>S002</v>
      </c>
      <c r="K969" t="s">
        <v>1098</v>
      </c>
      <c r="L969">
        <v>4.7</v>
      </c>
      <c r="M969" t="str">
        <f>IFERROR(VLOOKUP(TRIM(N969),$AP$2:$AQ$12,2,FALSE),"W001")</f>
        <v>W003</v>
      </c>
      <c r="N969" t="s">
        <v>1051</v>
      </c>
      <c r="O969" t="s">
        <v>1060</v>
      </c>
      <c r="P969" t="str">
        <f>VLOOKUP(O969,$AL$2:$AM$12,2,FALSE)</f>
        <v>North</v>
      </c>
      <c r="Q969" t="s">
        <v>1085</v>
      </c>
      <c r="R969">
        <v>147</v>
      </c>
      <c r="S969" t="s">
        <v>1079</v>
      </c>
      <c r="T969">
        <f t="shared" si="106"/>
        <v>4</v>
      </c>
      <c r="U969">
        <v>14.7</v>
      </c>
      <c r="V969">
        <f t="shared" si="107"/>
        <v>3</v>
      </c>
      <c r="W969" t="s">
        <v>1087</v>
      </c>
      <c r="X969" t="s">
        <v>1089</v>
      </c>
      <c r="Y969">
        <f t="shared" si="108"/>
        <v>0</v>
      </c>
      <c r="Z969" t="s">
        <v>1108</v>
      </c>
      <c r="AA969" t="str">
        <f t="shared" si="109"/>
        <v>Low</v>
      </c>
      <c r="AB969" t="s">
        <v>1103</v>
      </c>
      <c r="AC969" t="str">
        <f t="shared" si="110"/>
        <v>Yes</v>
      </c>
      <c r="AD969">
        <v>5</v>
      </c>
      <c r="AE969">
        <v>7056</v>
      </c>
      <c r="AF969">
        <v>2822.4</v>
      </c>
      <c r="AG969">
        <f t="shared" si="111"/>
        <v>4218.9000000000005</v>
      </c>
    </row>
    <row r="970" spans="1:33" x14ac:dyDescent="0.25">
      <c r="A970">
        <v>1969</v>
      </c>
      <c r="B970" s="1">
        <v>45955</v>
      </c>
      <c r="C970" s="1">
        <v>45958</v>
      </c>
      <c r="D970" s="1">
        <v>45965</v>
      </c>
      <c r="E970" t="s">
        <v>1066</v>
      </c>
      <c r="F970" t="s">
        <v>998</v>
      </c>
      <c r="G970" t="s">
        <v>1072</v>
      </c>
      <c r="H970" t="str">
        <f t="shared" si="105"/>
        <v>Electronics</v>
      </c>
      <c r="I970">
        <v>5</v>
      </c>
      <c r="J970" t="str">
        <f>VLOOKUP(K970,$AJ$2:$AK$7,2,FALSE)</f>
        <v>S006</v>
      </c>
      <c r="K970" t="s">
        <v>1102</v>
      </c>
      <c r="L970">
        <v>3.4</v>
      </c>
      <c r="M970" t="str">
        <f>IFERROR(VLOOKUP(TRIM(N970),$AP$2:$AQ$12,2,FALSE),"W001")</f>
        <v>W008</v>
      </c>
      <c r="N970" t="s">
        <v>1061</v>
      </c>
      <c r="O970" t="s">
        <v>1053</v>
      </c>
      <c r="P970" t="str">
        <f>VLOOKUP(O970,$AL$2:$AM$12,2,FALSE)</f>
        <v>South</v>
      </c>
      <c r="Q970" t="s">
        <v>1083</v>
      </c>
      <c r="R970">
        <v>478</v>
      </c>
      <c r="S970" t="s">
        <v>1066</v>
      </c>
      <c r="T970">
        <f t="shared" si="106"/>
        <v>2</v>
      </c>
      <c r="U970">
        <v>239</v>
      </c>
      <c r="V970">
        <f t="shared" si="107"/>
        <v>10</v>
      </c>
      <c r="W970" t="s">
        <v>1087</v>
      </c>
      <c r="X970" t="s">
        <v>1089</v>
      </c>
      <c r="Y970">
        <f t="shared" si="108"/>
        <v>0</v>
      </c>
      <c r="Z970" t="s">
        <v>1108</v>
      </c>
      <c r="AA970" t="str">
        <f t="shared" si="109"/>
        <v>Medium</v>
      </c>
      <c r="AB970" t="s">
        <v>1104</v>
      </c>
      <c r="AC970" t="str">
        <f t="shared" si="110"/>
        <v>Yes</v>
      </c>
      <c r="AD970">
        <v>1</v>
      </c>
      <c r="AE970">
        <v>107755</v>
      </c>
      <c r="AF970">
        <v>43102</v>
      </c>
      <c r="AG970">
        <f t="shared" si="111"/>
        <v>64414</v>
      </c>
    </row>
    <row r="971" spans="1:33" x14ac:dyDescent="0.25">
      <c r="A971">
        <v>1970</v>
      </c>
      <c r="B971" s="1">
        <v>46117</v>
      </c>
      <c r="C971" s="1">
        <v>46118</v>
      </c>
      <c r="D971" s="1">
        <v>46123</v>
      </c>
      <c r="E971" t="s">
        <v>1066</v>
      </c>
      <c r="F971" t="s">
        <v>999</v>
      </c>
      <c r="G971" t="s">
        <v>1067</v>
      </c>
      <c r="H971" t="str">
        <f t="shared" si="105"/>
        <v>Clothing</v>
      </c>
      <c r="I971">
        <v>4</v>
      </c>
      <c r="J971" t="str">
        <f>VLOOKUP(K971,$AJ$2:$AK$7,2,FALSE)</f>
        <v>S006</v>
      </c>
      <c r="K971" t="s">
        <v>1102</v>
      </c>
      <c r="L971">
        <v>4</v>
      </c>
      <c r="M971" t="str">
        <f>IFERROR(VLOOKUP(TRIM(N971),$AP$2:$AQ$12,2,FALSE),"W001")</f>
        <v>W002</v>
      </c>
      <c r="N971" t="s">
        <v>1049</v>
      </c>
      <c r="O971" t="s">
        <v>1055</v>
      </c>
      <c r="P971" t="str">
        <f>VLOOKUP(O971,$AL$2:$AM$12,2,FALSE)</f>
        <v>South</v>
      </c>
      <c r="Q971" t="s">
        <v>1085</v>
      </c>
      <c r="R971">
        <v>1720</v>
      </c>
      <c r="S971" t="s">
        <v>1078</v>
      </c>
      <c r="T971">
        <f t="shared" si="106"/>
        <v>12</v>
      </c>
      <c r="U971">
        <v>172</v>
      </c>
      <c r="V971">
        <f t="shared" si="107"/>
        <v>3</v>
      </c>
      <c r="W971" t="s">
        <v>1088</v>
      </c>
      <c r="X971" t="s">
        <v>1091</v>
      </c>
      <c r="Y971">
        <f t="shared" si="108"/>
        <v>0</v>
      </c>
      <c r="Z971" t="s">
        <v>1108</v>
      </c>
      <c r="AA971" t="str">
        <f t="shared" si="109"/>
        <v>Low</v>
      </c>
      <c r="AB971" t="s">
        <v>1103</v>
      </c>
      <c r="AC971" t="str">
        <f t="shared" si="110"/>
        <v>Yes</v>
      </c>
      <c r="AD971">
        <v>4</v>
      </c>
      <c r="AE971">
        <v>2132</v>
      </c>
      <c r="AF971">
        <v>852.80000000000007</v>
      </c>
      <c r="AG971">
        <f t="shared" si="111"/>
        <v>1107.1999999999998</v>
      </c>
    </row>
    <row r="972" spans="1:33" x14ac:dyDescent="0.25">
      <c r="A972">
        <v>1971</v>
      </c>
      <c r="B972" s="1">
        <v>45953</v>
      </c>
      <c r="C972" s="1">
        <v>45955</v>
      </c>
      <c r="D972" s="1">
        <v>45961</v>
      </c>
      <c r="E972" t="s">
        <v>1065</v>
      </c>
      <c r="F972" t="s">
        <v>1000</v>
      </c>
      <c r="G972" t="s">
        <v>1070</v>
      </c>
      <c r="H972" t="str">
        <f t="shared" si="105"/>
        <v>Furniture</v>
      </c>
      <c r="I972">
        <v>6</v>
      </c>
      <c r="J972" t="str">
        <f>VLOOKUP(K972,$AJ$2:$AK$7,2,FALSE)</f>
        <v>S004</v>
      </c>
      <c r="K972" t="s">
        <v>1100</v>
      </c>
      <c r="L972">
        <v>4.5999999999999996</v>
      </c>
      <c r="M972" t="str">
        <f>IFERROR(VLOOKUP(TRIM(N972),$AP$2:$AQ$12,2,FALSE),"W001")</f>
        <v>W004</v>
      </c>
      <c r="N972" t="s">
        <v>1053</v>
      </c>
      <c r="O972" t="s">
        <v>1049</v>
      </c>
      <c r="P972" t="str">
        <f>VLOOKUP(O972,$AL$2:$AM$12,2,FALSE)</f>
        <v>North</v>
      </c>
      <c r="Q972" t="s">
        <v>1082</v>
      </c>
      <c r="R972">
        <v>342</v>
      </c>
      <c r="S972" t="s">
        <v>1066</v>
      </c>
      <c r="T972">
        <f t="shared" si="106"/>
        <v>2</v>
      </c>
      <c r="U972">
        <v>136.80000000000001</v>
      </c>
      <c r="V972">
        <f t="shared" si="107"/>
        <v>8</v>
      </c>
      <c r="W972" t="s">
        <v>1088</v>
      </c>
      <c r="X972" t="s">
        <v>1091</v>
      </c>
      <c r="Y972">
        <f t="shared" si="108"/>
        <v>0</v>
      </c>
      <c r="Z972" t="s">
        <v>1108</v>
      </c>
      <c r="AA972" t="str">
        <f t="shared" si="109"/>
        <v>Medium</v>
      </c>
      <c r="AB972" t="s">
        <v>1103</v>
      </c>
      <c r="AC972" t="str">
        <f t="shared" si="110"/>
        <v>Yes</v>
      </c>
      <c r="AD972">
        <v>5</v>
      </c>
      <c r="AE972">
        <v>24114</v>
      </c>
      <c r="AF972">
        <v>9645.6</v>
      </c>
      <c r="AG972">
        <f t="shared" si="111"/>
        <v>14331.6</v>
      </c>
    </row>
    <row r="973" spans="1:33" x14ac:dyDescent="0.25">
      <c r="A973">
        <v>1972</v>
      </c>
      <c r="B973" s="1">
        <v>45843</v>
      </c>
      <c r="C973" s="1">
        <v>45846</v>
      </c>
      <c r="D973" s="1">
        <v>45851</v>
      </c>
      <c r="E973" t="s">
        <v>1064</v>
      </c>
      <c r="F973" t="s">
        <v>1001</v>
      </c>
      <c r="G973" t="s">
        <v>1072</v>
      </c>
      <c r="H973" t="str">
        <f t="shared" si="105"/>
        <v>Electronics</v>
      </c>
      <c r="I973">
        <v>4</v>
      </c>
      <c r="J973" t="str">
        <f>VLOOKUP(K973,$AJ$2:$AK$7,2,FALSE)</f>
        <v>S006</v>
      </c>
      <c r="K973" t="s">
        <v>1102</v>
      </c>
      <c r="L973">
        <v>4</v>
      </c>
      <c r="M973" t="str">
        <f>IFERROR(VLOOKUP(TRIM(N973),$AP$2:$AQ$12,2,FALSE),"W001")</f>
        <v>W007</v>
      </c>
      <c r="N973" t="s">
        <v>1062</v>
      </c>
      <c r="O973" t="s">
        <v>1061</v>
      </c>
      <c r="P973" t="str">
        <f>VLOOKUP(O973,$AL$2:$AM$12,2,FALSE)</f>
        <v>West</v>
      </c>
      <c r="Q973" t="s">
        <v>1085</v>
      </c>
      <c r="R973">
        <v>1386</v>
      </c>
      <c r="S973" t="s">
        <v>1078</v>
      </c>
      <c r="T973">
        <f t="shared" si="106"/>
        <v>10</v>
      </c>
      <c r="U973">
        <v>138.6</v>
      </c>
      <c r="V973">
        <f t="shared" si="107"/>
        <v>3</v>
      </c>
      <c r="W973" t="s">
        <v>1087</v>
      </c>
      <c r="X973" t="s">
        <v>1091</v>
      </c>
      <c r="Y973">
        <f t="shared" si="108"/>
        <v>0</v>
      </c>
      <c r="Z973" t="s">
        <v>1108</v>
      </c>
      <c r="AA973" t="str">
        <f t="shared" si="109"/>
        <v>Low</v>
      </c>
      <c r="AB973" t="s">
        <v>1103</v>
      </c>
      <c r="AC973" t="str">
        <f t="shared" si="110"/>
        <v>Yes</v>
      </c>
      <c r="AD973">
        <v>4</v>
      </c>
      <c r="AE973">
        <v>51052</v>
      </c>
      <c r="AF973">
        <v>20420.800000000003</v>
      </c>
      <c r="AG973">
        <f t="shared" si="111"/>
        <v>30492.6</v>
      </c>
    </row>
    <row r="974" spans="1:33" x14ac:dyDescent="0.25">
      <c r="A974">
        <v>1973</v>
      </c>
      <c r="B974" s="1">
        <v>44494</v>
      </c>
      <c r="C974" s="1">
        <v>44495</v>
      </c>
      <c r="D974" s="1">
        <v>44499</v>
      </c>
      <c r="E974" t="s">
        <v>1064</v>
      </c>
      <c r="F974" t="s">
        <v>1002</v>
      </c>
      <c r="G974" t="s">
        <v>1068</v>
      </c>
      <c r="H974" t="str">
        <f t="shared" si="105"/>
        <v>Electronics</v>
      </c>
      <c r="I974">
        <v>5</v>
      </c>
      <c r="J974" t="str">
        <f>VLOOKUP(K974,$AJ$2:$AK$7,2,FALSE)</f>
        <v>S003</v>
      </c>
      <c r="K974" t="s">
        <v>1099</v>
      </c>
      <c r="L974">
        <v>3.2</v>
      </c>
      <c r="M974" t="str">
        <f>IFERROR(VLOOKUP(TRIM(N974),$AP$2:$AQ$12,2,FALSE),"W001")</f>
        <v>W008</v>
      </c>
      <c r="N974" t="s">
        <v>1061</v>
      </c>
      <c r="O974" t="s">
        <v>1053</v>
      </c>
      <c r="P974" t="str">
        <f>VLOOKUP(O974,$AL$2:$AM$12,2,FALSE)</f>
        <v>South</v>
      </c>
      <c r="Q974" t="s">
        <v>1083</v>
      </c>
      <c r="R974">
        <v>1801</v>
      </c>
      <c r="S974" t="s">
        <v>1078</v>
      </c>
      <c r="T974">
        <f t="shared" si="106"/>
        <v>4</v>
      </c>
      <c r="U974">
        <v>900.5</v>
      </c>
      <c r="V974">
        <f t="shared" si="107"/>
        <v>10</v>
      </c>
      <c r="W974" t="s">
        <v>1086</v>
      </c>
      <c r="X974" t="s">
        <v>1091</v>
      </c>
      <c r="Y974">
        <f t="shared" si="108"/>
        <v>900.5</v>
      </c>
      <c r="Z974" t="s">
        <v>1109</v>
      </c>
      <c r="AA974" t="str">
        <f t="shared" si="109"/>
        <v>High</v>
      </c>
      <c r="AB974" t="s">
        <v>1103</v>
      </c>
      <c r="AC974" t="str">
        <f t="shared" si="110"/>
        <v>No</v>
      </c>
      <c r="AD974">
        <v>2</v>
      </c>
      <c r="AE974">
        <v>259260</v>
      </c>
      <c r="AF974">
        <v>103704</v>
      </c>
      <c r="AG974">
        <f t="shared" si="111"/>
        <v>154655.5</v>
      </c>
    </row>
    <row r="975" spans="1:33" x14ac:dyDescent="0.25">
      <c r="A975">
        <v>1974</v>
      </c>
      <c r="B975" s="1">
        <v>45902</v>
      </c>
      <c r="C975" s="1">
        <v>45903</v>
      </c>
      <c r="D975" s="1">
        <v>45906</v>
      </c>
      <c r="E975" t="s">
        <v>1065</v>
      </c>
      <c r="F975" t="s">
        <v>1003</v>
      </c>
      <c r="G975" t="s">
        <v>1068</v>
      </c>
      <c r="H975" t="str">
        <f t="shared" si="105"/>
        <v>Electronics</v>
      </c>
      <c r="I975">
        <v>10</v>
      </c>
      <c r="J975" t="str">
        <f>VLOOKUP(K975,$AJ$2:$AK$7,2,FALSE)</f>
        <v>S006</v>
      </c>
      <c r="K975" t="s">
        <v>1102</v>
      </c>
      <c r="L975">
        <v>3.8</v>
      </c>
      <c r="M975" t="str">
        <f>IFERROR(VLOOKUP(TRIM(N975),$AP$2:$AQ$12,2,FALSE),"W001")</f>
        <v>W002</v>
      </c>
      <c r="N975" t="s">
        <v>1049</v>
      </c>
      <c r="O975" t="s">
        <v>1057</v>
      </c>
      <c r="P975" t="str">
        <f>VLOOKUP(O975,$AL$2:$AM$12,2,FALSE)</f>
        <v>South</v>
      </c>
      <c r="Q975" t="s">
        <v>1081</v>
      </c>
      <c r="R975">
        <v>532</v>
      </c>
      <c r="S975" t="s">
        <v>1066</v>
      </c>
      <c r="T975">
        <f t="shared" si="106"/>
        <v>3</v>
      </c>
      <c r="U975">
        <v>106.4</v>
      </c>
      <c r="V975">
        <f t="shared" si="107"/>
        <v>5</v>
      </c>
      <c r="W975" t="s">
        <v>1088</v>
      </c>
      <c r="X975" t="s">
        <v>1091</v>
      </c>
      <c r="Y975">
        <f t="shared" si="108"/>
        <v>0</v>
      </c>
      <c r="Z975" t="s">
        <v>1108</v>
      </c>
      <c r="AA975" t="str">
        <f t="shared" si="109"/>
        <v>Low</v>
      </c>
      <c r="AB975" t="s">
        <v>1103</v>
      </c>
      <c r="AC975" t="str">
        <f t="shared" si="110"/>
        <v>Yes</v>
      </c>
      <c r="AD975">
        <v>5</v>
      </c>
      <c r="AE975">
        <v>541570</v>
      </c>
      <c r="AF975">
        <v>216628</v>
      </c>
      <c r="AG975">
        <f t="shared" si="111"/>
        <v>324835.59999999998</v>
      </c>
    </row>
    <row r="976" spans="1:33" x14ac:dyDescent="0.25">
      <c r="A976">
        <v>1975</v>
      </c>
      <c r="B976" s="1">
        <v>46056</v>
      </c>
      <c r="C976" s="1">
        <v>46058</v>
      </c>
      <c r="D976" s="1">
        <v>46064</v>
      </c>
      <c r="E976" t="s">
        <v>1065</v>
      </c>
      <c r="F976" t="s">
        <v>1004</v>
      </c>
      <c r="G976" t="s">
        <v>1072</v>
      </c>
      <c r="H976" t="str">
        <f t="shared" si="105"/>
        <v>Electronics</v>
      </c>
      <c r="I976">
        <v>3</v>
      </c>
      <c r="J976" t="str">
        <f>VLOOKUP(K976,$AJ$2:$AK$7,2,FALSE)</f>
        <v>S004</v>
      </c>
      <c r="K976" t="s">
        <v>1100</v>
      </c>
      <c r="L976">
        <v>3.5</v>
      </c>
      <c r="M976" t="str">
        <f>IFERROR(VLOOKUP(TRIM(N976),$AP$2:$AQ$12,2,FALSE),"W001")</f>
        <v>W003</v>
      </c>
      <c r="N976" t="s">
        <v>1051</v>
      </c>
      <c r="O976" t="s">
        <v>1053</v>
      </c>
      <c r="P976" t="str">
        <f>VLOOKUP(O976,$AL$2:$AM$12,2,FALSE)</f>
        <v>South</v>
      </c>
      <c r="Q976" t="s">
        <v>1081</v>
      </c>
      <c r="R976">
        <v>240</v>
      </c>
      <c r="S976" t="s">
        <v>1066</v>
      </c>
      <c r="T976">
        <f t="shared" si="106"/>
        <v>2</v>
      </c>
      <c r="U976">
        <v>48</v>
      </c>
      <c r="V976">
        <f t="shared" si="107"/>
        <v>5</v>
      </c>
      <c r="W976" t="s">
        <v>1087</v>
      </c>
      <c r="X976" t="s">
        <v>1089</v>
      </c>
      <c r="Y976">
        <f t="shared" si="108"/>
        <v>0</v>
      </c>
      <c r="Z976" t="s">
        <v>1108</v>
      </c>
      <c r="AA976" t="str">
        <f t="shared" si="109"/>
        <v>Low</v>
      </c>
      <c r="AB976" t="s">
        <v>1103</v>
      </c>
      <c r="AC976" t="str">
        <f t="shared" si="110"/>
        <v>Yes</v>
      </c>
      <c r="AD976">
        <v>5</v>
      </c>
      <c r="AE976">
        <v>48798</v>
      </c>
      <c r="AF976">
        <v>19519.2</v>
      </c>
      <c r="AG976">
        <f t="shared" si="111"/>
        <v>29230.799999999999</v>
      </c>
    </row>
    <row r="977" spans="1:33" x14ac:dyDescent="0.25">
      <c r="A977">
        <v>1976</v>
      </c>
      <c r="B977" s="1">
        <v>44442</v>
      </c>
      <c r="C977" s="1">
        <v>44444</v>
      </c>
      <c r="D977" s="1">
        <v>44446</v>
      </c>
      <c r="E977" t="s">
        <v>1065</v>
      </c>
      <c r="F977" t="s">
        <v>1005</v>
      </c>
      <c r="G977" t="s">
        <v>1068</v>
      </c>
      <c r="H977" t="str">
        <f t="shared" si="105"/>
        <v>Electronics</v>
      </c>
      <c r="I977">
        <v>10</v>
      </c>
      <c r="J977" t="str">
        <f>VLOOKUP(K977,$AJ$2:$AK$7,2,FALSE)</f>
        <v>S006</v>
      </c>
      <c r="K977" t="s">
        <v>1102</v>
      </c>
      <c r="L977">
        <v>3.6</v>
      </c>
      <c r="M977" t="str">
        <f>IFERROR(VLOOKUP(TRIM(N977),$AP$2:$AQ$12,2,FALSE),"W001")</f>
        <v>W002</v>
      </c>
      <c r="N977" t="s">
        <v>1049</v>
      </c>
      <c r="O977" t="s">
        <v>1063</v>
      </c>
      <c r="P977" t="str">
        <f>VLOOKUP(O977,$AL$2:$AM$12,2,FALSE)</f>
        <v>South</v>
      </c>
      <c r="Q977" t="s">
        <v>1081</v>
      </c>
      <c r="R977">
        <v>1033</v>
      </c>
      <c r="S977" t="s">
        <v>1078</v>
      </c>
      <c r="T977">
        <f t="shared" si="106"/>
        <v>5</v>
      </c>
      <c r="U977">
        <v>206.6</v>
      </c>
      <c r="V977">
        <f t="shared" si="107"/>
        <v>5</v>
      </c>
      <c r="W977" t="s">
        <v>1086</v>
      </c>
      <c r="X977" t="s">
        <v>1089</v>
      </c>
      <c r="Y977">
        <f t="shared" si="108"/>
        <v>206.6</v>
      </c>
      <c r="Z977" t="s">
        <v>1108</v>
      </c>
      <c r="AA977" t="str">
        <f t="shared" si="109"/>
        <v>Low</v>
      </c>
      <c r="AB977" t="s">
        <v>1103</v>
      </c>
      <c r="AC977" t="str">
        <f t="shared" si="110"/>
        <v>Yes</v>
      </c>
      <c r="AD977">
        <v>5</v>
      </c>
      <c r="AE977">
        <v>697160</v>
      </c>
      <c r="AF977">
        <v>278864</v>
      </c>
      <c r="AG977">
        <f t="shared" si="111"/>
        <v>418089.4</v>
      </c>
    </row>
    <row r="978" spans="1:33" x14ac:dyDescent="0.25">
      <c r="A978">
        <v>1977</v>
      </c>
      <c r="B978" s="1">
        <v>46081</v>
      </c>
      <c r="C978" s="1">
        <v>46083</v>
      </c>
      <c r="D978" s="1">
        <v>46090</v>
      </c>
      <c r="E978" t="s">
        <v>1065</v>
      </c>
      <c r="F978" t="s">
        <v>1006</v>
      </c>
      <c r="G978" t="s">
        <v>1072</v>
      </c>
      <c r="H978" t="str">
        <f t="shared" si="105"/>
        <v>Electronics</v>
      </c>
      <c r="I978">
        <v>3</v>
      </c>
      <c r="J978" t="str">
        <f>VLOOKUP(K978,$AJ$2:$AK$7,2,FALSE)</f>
        <v>S004</v>
      </c>
      <c r="K978" t="s">
        <v>1100</v>
      </c>
      <c r="L978">
        <v>4</v>
      </c>
      <c r="M978" t="str">
        <f>IFERROR(VLOOKUP(TRIM(N978),$AP$2:$AQ$12,2,FALSE),"W001")</f>
        <v>W007</v>
      </c>
      <c r="N978" t="s">
        <v>1062</v>
      </c>
      <c r="O978" t="s">
        <v>1062</v>
      </c>
      <c r="P978" t="str">
        <f>VLOOKUP(O978,$AL$2:$AM$12,2,FALSE)</f>
        <v>North</v>
      </c>
      <c r="Q978" t="s">
        <v>1080</v>
      </c>
      <c r="R978">
        <v>21</v>
      </c>
      <c r="S978" t="s">
        <v>1079</v>
      </c>
      <c r="T978">
        <f t="shared" si="106"/>
        <v>2</v>
      </c>
      <c r="U978">
        <v>3.15</v>
      </c>
      <c r="V978">
        <f t="shared" si="107"/>
        <v>4</v>
      </c>
      <c r="W978" t="s">
        <v>1087</v>
      </c>
      <c r="X978" t="s">
        <v>1091</v>
      </c>
      <c r="Y978">
        <f t="shared" si="108"/>
        <v>0</v>
      </c>
      <c r="Z978" t="s">
        <v>1108</v>
      </c>
      <c r="AA978" t="str">
        <f t="shared" si="109"/>
        <v>Low</v>
      </c>
      <c r="AB978" t="s">
        <v>1103</v>
      </c>
      <c r="AC978" t="str">
        <f t="shared" si="110"/>
        <v>Yes</v>
      </c>
      <c r="AD978">
        <v>5</v>
      </c>
      <c r="AE978">
        <v>67683</v>
      </c>
      <c r="AF978">
        <v>27073.200000000001</v>
      </c>
      <c r="AG978">
        <f t="shared" si="111"/>
        <v>40606.65</v>
      </c>
    </row>
    <row r="979" spans="1:33" x14ac:dyDescent="0.25">
      <c r="A979">
        <v>1978</v>
      </c>
      <c r="B979" s="1">
        <v>45924</v>
      </c>
      <c r="C979" s="1">
        <v>45926</v>
      </c>
      <c r="D979" s="1">
        <v>45929</v>
      </c>
      <c r="E979" t="s">
        <v>1064</v>
      </c>
      <c r="F979" t="s">
        <v>1007</v>
      </c>
      <c r="G979" t="s">
        <v>1070</v>
      </c>
      <c r="H979" t="str">
        <f t="shared" si="105"/>
        <v>Furniture</v>
      </c>
      <c r="I979">
        <v>2</v>
      </c>
      <c r="J979" t="str">
        <f>VLOOKUP(K979,$AJ$2:$AK$7,2,FALSE)</f>
        <v>S005</v>
      </c>
      <c r="K979" t="s">
        <v>1101</v>
      </c>
      <c r="L979">
        <v>4.9000000000000004</v>
      </c>
      <c r="M979" t="str">
        <f>IFERROR(VLOOKUP(TRIM(N979),$AP$2:$AQ$12,2,FALSE),"W001")</f>
        <v>W008</v>
      </c>
      <c r="N979" t="s">
        <v>1061</v>
      </c>
      <c r="O979" t="s">
        <v>1053</v>
      </c>
      <c r="P979" t="str">
        <f>VLOOKUP(O979,$AL$2:$AM$12,2,FALSE)</f>
        <v>South</v>
      </c>
      <c r="Q979" t="s">
        <v>1084</v>
      </c>
      <c r="R979">
        <v>297</v>
      </c>
      <c r="S979" t="s">
        <v>1066</v>
      </c>
      <c r="T979">
        <f t="shared" si="106"/>
        <v>2</v>
      </c>
      <c r="U979">
        <v>89.1</v>
      </c>
      <c r="V979">
        <f t="shared" si="107"/>
        <v>6</v>
      </c>
      <c r="W979" t="s">
        <v>1087</v>
      </c>
      <c r="X979" t="s">
        <v>1091</v>
      </c>
      <c r="Y979">
        <f t="shared" si="108"/>
        <v>0</v>
      </c>
      <c r="Z979" t="s">
        <v>1108</v>
      </c>
      <c r="AA979" t="str">
        <f t="shared" si="109"/>
        <v>Low</v>
      </c>
      <c r="AB979" t="s">
        <v>1103</v>
      </c>
      <c r="AC979" t="str">
        <f t="shared" si="110"/>
        <v>Yes</v>
      </c>
      <c r="AD979">
        <v>4</v>
      </c>
      <c r="AE979">
        <v>13288</v>
      </c>
      <c r="AF979">
        <v>5315.2000000000007</v>
      </c>
      <c r="AG979">
        <f t="shared" si="111"/>
        <v>7883.6999999999989</v>
      </c>
    </row>
    <row r="980" spans="1:33" x14ac:dyDescent="0.25">
      <c r="A980">
        <v>1979</v>
      </c>
      <c r="B980" s="1">
        <v>45236</v>
      </c>
      <c r="C980" s="1">
        <v>45237</v>
      </c>
      <c r="D980" s="1">
        <v>45239</v>
      </c>
      <c r="E980" t="s">
        <v>1065</v>
      </c>
      <c r="F980" t="s">
        <v>1008</v>
      </c>
      <c r="G980" t="s">
        <v>1070</v>
      </c>
      <c r="H980" t="str">
        <f t="shared" si="105"/>
        <v>Furniture</v>
      </c>
      <c r="I980">
        <v>8</v>
      </c>
      <c r="J980" t="str">
        <f>VLOOKUP(K980,$AJ$2:$AK$7,2,FALSE)</f>
        <v>S003</v>
      </c>
      <c r="K980" t="s">
        <v>1099</v>
      </c>
      <c r="L980">
        <v>4.7</v>
      </c>
      <c r="M980" t="str">
        <f>IFERROR(VLOOKUP(TRIM(N980),$AP$2:$AQ$12,2,FALSE),"W001")</f>
        <v>W001</v>
      </c>
      <c r="N980" t="s">
        <v>1047</v>
      </c>
      <c r="O980" t="s">
        <v>1049</v>
      </c>
      <c r="P980" t="str">
        <f>VLOOKUP(O980,$AL$2:$AM$12,2,FALSE)</f>
        <v>North</v>
      </c>
      <c r="Q980" t="s">
        <v>1083</v>
      </c>
      <c r="R980">
        <v>1936</v>
      </c>
      <c r="S980" t="s">
        <v>1078</v>
      </c>
      <c r="T980">
        <f t="shared" si="106"/>
        <v>4</v>
      </c>
      <c r="U980">
        <v>968</v>
      </c>
      <c r="V980">
        <f t="shared" si="107"/>
        <v>10</v>
      </c>
      <c r="W980" t="s">
        <v>1087</v>
      </c>
      <c r="X980" t="s">
        <v>1090</v>
      </c>
      <c r="Y980">
        <f t="shared" si="108"/>
        <v>0</v>
      </c>
      <c r="Z980" t="s">
        <v>1109</v>
      </c>
      <c r="AA980" t="str">
        <f t="shared" si="109"/>
        <v>High</v>
      </c>
      <c r="AB980" t="s">
        <v>1104</v>
      </c>
      <c r="AC980" t="str">
        <f t="shared" si="110"/>
        <v>No</v>
      </c>
      <c r="AD980">
        <v>1</v>
      </c>
      <c r="AE980">
        <v>57440</v>
      </c>
      <c r="AF980">
        <v>22976</v>
      </c>
      <c r="AG980">
        <f t="shared" si="111"/>
        <v>33496</v>
      </c>
    </row>
    <row r="981" spans="1:33" x14ac:dyDescent="0.25">
      <c r="A981">
        <v>1980</v>
      </c>
      <c r="B981" s="1">
        <v>45666</v>
      </c>
      <c r="C981" s="1">
        <v>45669</v>
      </c>
      <c r="D981" s="1">
        <v>45672</v>
      </c>
      <c r="E981" t="s">
        <v>1065</v>
      </c>
      <c r="F981" t="s">
        <v>1009</v>
      </c>
      <c r="G981" t="s">
        <v>1070</v>
      </c>
      <c r="H981" t="str">
        <f t="shared" si="105"/>
        <v>Furniture</v>
      </c>
      <c r="I981">
        <v>10</v>
      </c>
      <c r="J981" t="str">
        <f>VLOOKUP(K981,$AJ$2:$AK$7,2,FALSE)</f>
        <v>S006</v>
      </c>
      <c r="K981" t="s">
        <v>1102</v>
      </c>
      <c r="L981">
        <v>3.1</v>
      </c>
      <c r="M981" t="str">
        <f>IFERROR(VLOOKUP(TRIM(N981),$AP$2:$AQ$12,2,FALSE),"W001")</f>
        <v>W008</v>
      </c>
      <c r="N981" t="s">
        <v>1061</v>
      </c>
      <c r="O981" t="s">
        <v>1062</v>
      </c>
      <c r="P981" t="str">
        <f>VLOOKUP(O981,$AL$2:$AM$12,2,FALSE)</f>
        <v>North</v>
      </c>
      <c r="Q981" t="s">
        <v>1082</v>
      </c>
      <c r="R981">
        <v>249</v>
      </c>
      <c r="S981" t="s">
        <v>1066</v>
      </c>
      <c r="T981">
        <f t="shared" si="106"/>
        <v>1</v>
      </c>
      <c r="U981">
        <v>99.6</v>
      </c>
      <c r="V981">
        <f t="shared" si="107"/>
        <v>8</v>
      </c>
      <c r="W981" t="s">
        <v>1087</v>
      </c>
      <c r="X981" t="s">
        <v>1090</v>
      </c>
      <c r="Y981">
        <f t="shared" si="108"/>
        <v>0</v>
      </c>
      <c r="Z981" t="s">
        <v>1108</v>
      </c>
      <c r="AA981" t="str">
        <f t="shared" si="109"/>
        <v>Medium</v>
      </c>
      <c r="AB981" t="s">
        <v>1104</v>
      </c>
      <c r="AC981" t="str">
        <f t="shared" si="110"/>
        <v>Yes</v>
      </c>
      <c r="AD981">
        <v>2</v>
      </c>
      <c r="AE981">
        <v>36520</v>
      </c>
      <c r="AF981">
        <v>14608</v>
      </c>
      <c r="AG981">
        <f t="shared" si="111"/>
        <v>21812.400000000001</v>
      </c>
    </row>
    <row r="982" spans="1:33" x14ac:dyDescent="0.25">
      <c r="A982">
        <v>1981</v>
      </c>
      <c r="B982" s="1">
        <v>44292</v>
      </c>
      <c r="C982" s="1">
        <v>44294</v>
      </c>
      <c r="D982" s="1">
        <v>44296</v>
      </c>
      <c r="E982" t="s">
        <v>1066</v>
      </c>
      <c r="F982" t="s">
        <v>1010</v>
      </c>
      <c r="G982" t="s">
        <v>1072</v>
      </c>
      <c r="H982" t="str">
        <f t="shared" si="105"/>
        <v>Electronics</v>
      </c>
      <c r="I982">
        <v>9</v>
      </c>
      <c r="J982" t="str">
        <f>VLOOKUP(K982,$AJ$2:$AK$7,2,FALSE)</f>
        <v>S006</v>
      </c>
      <c r="K982" t="s">
        <v>1102</v>
      </c>
      <c r="L982">
        <v>4.8</v>
      </c>
      <c r="M982" t="str">
        <f>IFERROR(VLOOKUP(TRIM(N982),$AP$2:$AQ$12,2,FALSE),"W001")</f>
        <v>W007</v>
      </c>
      <c r="N982" t="s">
        <v>1062</v>
      </c>
      <c r="O982" t="s">
        <v>1059</v>
      </c>
      <c r="P982" t="str">
        <f>VLOOKUP(O982,$AL$2:$AM$12,2,FALSE)</f>
        <v>North</v>
      </c>
      <c r="Q982" t="s">
        <v>1080</v>
      </c>
      <c r="R982">
        <v>1932</v>
      </c>
      <c r="S982" t="s">
        <v>1078</v>
      </c>
      <c r="T982">
        <f t="shared" si="106"/>
        <v>8</v>
      </c>
      <c r="U982">
        <v>289.8</v>
      </c>
      <c r="V982">
        <f t="shared" si="107"/>
        <v>4</v>
      </c>
      <c r="W982" t="s">
        <v>1086</v>
      </c>
      <c r="X982" t="s">
        <v>1089</v>
      </c>
      <c r="Y982">
        <f t="shared" si="108"/>
        <v>289.8</v>
      </c>
      <c r="Z982" t="s">
        <v>1108</v>
      </c>
      <c r="AA982" t="str">
        <f t="shared" si="109"/>
        <v>Low</v>
      </c>
      <c r="AB982" t="s">
        <v>1103</v>
      </c>
      <c r="AC982" t="str">
        <f t="shared" si="110"/>
        <v>Yes</v>
      </c>
      <c r="AD982">
        <v>4</v>
      </c>
      <c r="AE982">
        <v>194634</v>
      </c>
      <c r="AF982">
        <v>77853.600000000006</v>
      </c>
      <c r="AG982">
        <f t="shared" si="111"/>
        <v>116490.59999999999</v>
      </c>
    </row>
    <row r="983" spans="1:33" x14ac:dyDescent="0.25">
      <c r="A983">
        <v>1982</v>
      </c>
      <c r="B983" s="1">
        <v>45368</v>
      </c>
      <c r="C983" s="1">
        <v>45370</v>
      </c>
      <c r="D983" s="1">
        <v>45377</v>
      </c>
      <c r="E983" t="s">
        <v>1064</v>
      </c>
      <c r="F983" t="s">
        <v>1011</v>
      </c>
      <c r="G983" t="s">
        <v>1072</v>
      </c>
      <c r="H983" t="str">
        <f t="shared" si="105"/>
        <v>Electronics</v>
      </c>
      <c r="I983">
        <v>2</v>
      </c>
      <c r="J983" t="str">
        <f>VLOOKUP(K983,$AJ$2:$AK$7,2,FALSE)</f>
        <v>S001</v>
      </c>
      <c r="K983" t="s">
        <v>1097</v>
      </c>
      <c r="L983">
        <v>3.6</v>
      </c>
      <c r="M983" t="str">
        <f>IFERROR(VLOOKUP(TRIM(N983),$AP$2:$AQ$12,2,FALSE),"W001")</f>
        <v>W011</v>
      </c>
      <c r="N983" t="s">
        <v>1059</v>
      </c>
      <c r="O983" t="s">
        <v>1049</v>
      </c>
      <c r="P983" t="str">
        <f>VLOOKUP(O983,$AL$2:$AM$12,2,FALSE)</f>
        <v>North</v>
      </c>
      <c r="Q983" t="s">
        <v>1084</v>
      </c>
      <c r="R983">
        <v>1373</v>
      </c>
      <c r="S983" t="s">
        <v>1078</v>
      </c>
      <c r="T983">
        <f t="shared" si="106"/>
        <v>5</v>
      </c>
      <c r="U983">
        <v>411.9</v>
      </c>
      <c r="V983">
        <f t="shared" si="107"/>
        <v>6</v>
      </c>
      <c r="W983" t="s">
        <v>1087</v>
      </c>
      <c r="X983" t="s">
        <v>1091</v>
      </c>
      <c r="Y983">
        <f t="shared" si="108"/>
        <v>0</v>
      </c>
      <c r="Z983" t="s">
        <v>1108</v>
      </c>
      <c r="AA983" t="str">
        <f t="shared" si="109"/>
        <v>Low</v>
      </c>
      <c r="AB983" t="s">
        <v>1103</v>
      </c>
      <c r="AC983" t="str">
        <f t="shared" si="110"/>
        <v>Yes</v>
      </c>
      <c r="AD983">
        <v>5</v>
      </c>
      <c r="AE983">
        <v>38226</v>
      </c>
      <c r="AF983">
        <v>15290.400000000001</v>
      </c>
      <c r="AG983">
        <f t="shared" si="111"/>
        <v>22523.699999999997</v>
      </c>
    </row>
    <row r="984" spans="1:33" x14ac:dyDescent="0.25">
      <c r="A984">
        <v>1983</v>
      </c>
      <c r="B984" s="1">
        <v>46254</v>
      </c>
      <c r="C984" s="1">
        <v>46257</v>
      </c>
      <c r="D984" s="1">
        <v>46262</v>
      </c>
      <c r="E984" t="s">
        <v>1065</v>
      </c>
      <c r="F984" t="s">
        <v>1012</v>
      </c>
      <c r="G984" t="s">
        <v>1069</v>
      </c>
      <c r="H984" t="str">
        <f t="shared" si="105"/>
        <v>Furniture</v>
      </c>
      <c r="I984">
        <v>5</v>
      </c>
      <c r="J984" t="str">
        <f>VLOOKUP(K984,$AJ$2:$AK$7,2,FALSE)</f>
        <v>S004</v>
      </c>
      <c r="K984" t="s">
        <v>1100</v>
      </c>
      <c r="L984">
        <v>3.8</v>
      </c>
      <c r="M984" t="str">
        <f>IFERROR(VLOOKUP(TRIM(N984),$AP$2:$AQ$12,2,FALSE),"W001")</f>
        <v>W004</v>
      </c>
      <c r="N984" t="s">
        <v>1053</v>
      </c>
      <c r="O984" t="s">
        <v>1053</v>
      </c>
      <c r="P984" t="str">
        <f>VLOOKUP(O984,$AL$2:$AM$12,2,FALSE)</f>
        <v>South</v>
      </c>
      <c r="Q984" t="s">
        <v>1080</v>
      </c>
      <c r="R984">
        <v>37</v>
      </c>
      <c r="S984" t="s">
        <v>1079</v>
      </c>
      <c r="T984">
        <f t="shared" si="106"/>
        <v>2</v>
      </c>
      <c r="U984">
        <v>5.55</v>
      </c>
      <c r="V984">
        <f t="shared" si="107"/>
        <v>4</v>
      </c>
      <c r="W984" t="s">
        <v>1087</v>
      </c>
      <c r="X984" t="s">
        <v>1091</v>
      </c>
      <c r="Y984">
        <f t="shared" si="108"/>
        <v>0</v>
      </c>
      <c r="Z984" t="s">
        <v>1108</v>
      </c>
      <c r="AA984" t="str">
        <f t="shared" si="109"/>
        <v>Low</v>
      </c>
      <c r="AB984" t="s">
        <v>1103</v>
      </c>
      <c r="AC984" t="str">
        <f t="shared" si="110"/>
        <v>Yes</v>
      </c>
      <c r="AD984">
        <v>5</v>
      </c>
      <c r="AE984">
        <v>60280</v>
      </c>
      <c r="AF984">
        <v>24112</v>
      </c>
      <c r="AG984">
        <f t="shared" si="111"/>
        <v>36162.449999999997</v>
      </c>
    </row>
    <row r="985" spans="1:33" x14ac:dyDescent="0.25">
      <c r="A985">
        <v>1984</v>
      </c>
      <c r="B985" s="1">
        <v>44802</v>
      </c>
      <c r="C985" s="1">
        <v>44803</v>
      </c>
      <c r="D985" s="1">
        <v>44805</v>
      </c>
      <c r="E985" t="s">
        <v>1065</v>
      </c>
      <c r="F985" t="s">
        <v>1013</v>
      </c>
      <c r="G985" t="s">
        <v>1068</v>
      </c>
      <c r="H985" t="str">
        <f t="shared" si="105"/>
        <v>Electronics</v>
      </c>
      <c r="I985">
        <v>3</v>
      </c>
      <c r="J985" t="str">
        <f>VLOOKUP(K985,$AJ$2:$AK$7,2,FALSE)</f>
        <v>S006</v>
      </c>
      <c r="K985" t="s">
        <v>1102</v>
      </c>
      <c r="L985">
        <v>4</v>
      </c>
      <c r="M985" t="str">
        <f>IFERROR(VLOOKUP(TRIM(N985),$AP$2:$AQ$12,2,FALSE),"W001")</f>
        <v>W008</v>
      </c>
      <c r="N985" t="s">
        <v>1061</v>
      </c>
      <c r="O985" t="s">
        <v>1060</v>
      </c>
      <c r="P985" t="str">
        <f>VLOOKUP(O985,$AL$2:$AM$12,2,FALSE)</f>
        <v>North</v>
      </c>
      <c r="Q985" t="s">
        <v>1085</v>
      </c>
      <c r="R985">
        <v>320</v>
      </c>
      <c r="S985" t="s">
        <v>1066</v>
      </c>
      <c r="T985">
        <f t="shared" si="106"/>
        <v>5</v>
      </c>
      <c r="U985">
        <v>32</v>
      </c>
      <c r="V985">
        <f t="shared" si="107"/>
        <v>3</v>
      </c>
      <c r="W985" t="s">
        <v>1088</v>
      </c>
      <c r="X985" t="s">
        <v>1090</v>
      </c>
      <c r="Y985">
        <f t="shared" si="108"/>
        <v>0</v>
      </c>
      <c r="Z985" t="s">
        <v>1108</v>
      </c>
      <c r="AA985" t="str">
        <f t="shared" si="109"/>
        <v>Low</v>
      </c>
      <c r="AB985" t="s">
        <v>1103</v>
      </c>
      <c r="AC985" t="str">
        <f t="shared" si="110"/>
        <v>Yes</v>
      </c>
      <c r="AD985">
        <v>4</v>
      </c>
      <c r="AE985">
        <v>154191</v>
      </c>
      <c r="AF985">
        <v>61676.4</v>
      </c>
      <c r="AG985">
        <f t="shared" si="111"/>
        <v>92482.6</v>
      </c>
    </row>
    <row r="986" spans="1:33" x14ac:dyDescent="0.25">
      <c r="A986">
        <v>1985</v>
      </c>
      <c r="B986" s="1">
        <v>44603</v>
      </c>
      <c r="C986" s="1">
        <v>44605</v>
      </c>
      <c r="D986" s="1">
        <v>44612</v>
      </c>
      <c r="E986" t="s">
        <v>1064</v>
      </c>
      <c r="F986" t="s">
        <v>1014</v>
      </c>
      <c r="G986" t="s">
        <v>1069</v>
      </c>
      <c r="H986" t="str">
        <f t="shared" si="105"/>
        <v>Furniture</v>
      </c>
      <c r="I986">
        <v>8</v>
      </c>
      <c r="J986" t="str">
        <f>VLOOKUP(K986,$AJ$2:$AK$7,2,FALSE)</f>
        <v>S003</v>
      </c>
      <c r="K986" t="s">
        <v>1099</v>
      </c>
      <c r="L986">
        <v>4.7</v>
      </c>
      <c r="M986" t="str">
        <f>IFERROR(VLOOKUP(TRIM(N986),$AP$2:$AQ$12,2,FALSE),"W001")</f>
        <v>W009</v>
      </c>
      <c r="N986" t="s">
        <v>1060</v>
      </c>
      <c r="O986" t="s">
        <v>1047</v>
      </c>
      <c r="P986" t="str">
        <f>VLOOKUP(O986,$AL$2:$AM$12,2,FALSE)</f>
        <v>West</v>
      </c>
      <c r="Q986" t="s">
        <v>1081</v>
      </c>
      <c r="R986">
        <v>1813</v>
      </c>
      <c r="S986" t="s">
        <v>1078</v>
      </c>
      <c r="T986">
        <f t="shared" si="106"/>
        <v>8</v>
      </c>
      <c r="U986">
        <v>362.6</v>
      </c>
      <c r="V986">
        <f t="shared" si="107"/>
        <v>5</v>
      </c>
      <c r="W986" t="s">
        <v>1087</v>
      </c>
      <c r="X986" t="s">
        <v>1090</v>
      </c>
      <c r="Y986">
        <f t="shared" si="108"/>
        <v>0</v>
      </c>
      <c r="Z986" t="s">
        <v>1109</v>
      </c>
      <c r="AA986" t="str">
        <f t="shared" si="109"/>
        <v>High</v>
      </c>
      <c r="AB986" t="s">
        <v>1104</v>
      </c>
      <c r="AC986" t="str">
        <f t="shared" si="110"/>
        <v>No</v>
      </c>
      <c r="AD986">
        <v>1</v>
      </c>
      <c r="AE986">
        <v>58976</v>
      </c>
      <c r="AF986">
        <v>23590.400000000001</v>
      </c>
      <c r="AG986">
        <f t="shared" si="111"/>
        <v>35023</v>
      </c>
    </row>
    <row r="987" spans="1:33" x14ac:dyDescent="0.25">
      <c r="A987">
        <v>1986</v>
      </c>
      <c r="B987" s="1">
        <v>45534</v>
      </c>
      <c r="C987" s="1">
        <v>45535</v>
      </c>
      <c r="D987" s="1">
        <v>45542</v>
      </c>
      <c r="E987" t="s">
        <v>1064</v>
      </c>
      <c r="F987" t="s">
        <v>1015</v>
      </c>
      <c r="G987" t="s">
        <v>1071</v>
      </c>
      <c r="H987" t="str">
        <f t="shared" si="105"/>
        <v>Clothing</v>
      </c>
      <c r="I987">
        <v>7</v>
      </c>
      <c r="J987" t="str">
        <f>VLOOKUP(K987,$AJ$2:$AK$7,2,FALSE)</f>
        <v>S004</v>
      </c>
      <c r="K987" t="s">
        <v>1100</v>
      </c>
      <c r="L987">
        <v>3.6</v>
      </c>
      <c r="M987" t="str">
        <f>IFERROR(VLOOKUP(TRIM(N987),$AP$2:$AQ$12,2,FALSE),"W001")</f>
        <v>W003</v>
      </c>
      <c r="N987" t="s">
        <v>1051</v>
      </c>
      <c r="O987" t="s">
        <v>1055</v>
      </c>
      <c r="P987" t="str">
        <f>VLOOKUP(O987,$AL$2:$AM$12,2,FALSE)</f>
        <v>South</v>
      </c>
      <c r="Q987" t="s">
        <v>1084</v>
      </c>
      <c r="R987">
        <v>534</v>
      </c>
      <c r="S987" t="s">
        <v>1066</v>
      </c>
      <c r="T987">
        <f t="shared" si="106"/>
        <v>3</v>
      </c>
      <c r="U987">
        <v>160.19999999999999</v>
      </c>
      <c r="V987">
        <f t="shared" si="107"/>
        <v>6</v>
      </c>
      <c r="W987" t="s">
        <v>1086</v>
      </c>
      <c r="X987" t="s">
        <v>1089</v>
      </c>
      <c r="Y987">
        <f t="shared" si="108"/>
        <v>160.19999999999999</v>
      </c>
      <c r="Z987" t="s">
        <v>1108</v>
      </c>
      <c r="AA987" t="str">
        <f t="shared" si="109"/>
        <v>Low</v>
      </c>
      <c r="AB987" t="s">
        <v>1103</v>
      </c>
      <c r="AC987" t="str">
        <f t="shared" si="110"/>
        <v>Yes</v>
      </c>
      <c r="AD987">
        <v>4</v>
      </c>
      <c r="AE987">
        <v>16779</v>
      </c>
      <c r="AF987">
        <v>6711.6</v>
      </c>
      <c r="AG987">
        <f t="shared" si="111"/>
        <v>9907.1999999999989</v>
      </c>
    </row>
    <row r="988" spans="1:33" x14ac:dyDescent="0.25">
      <c r="A988">
        <v>1987</v>
      </c>
      <c r="B988" s="1">
        <v>44878</v>
      </c>
      <c r="C988" s="1">
        <v>44880</v>
      </c>
      <c r="D988" s="1">
        <v>44887</v>
      </c>
      <c r="E988" t="s">
        <v>1064</v>
      </c>
      <c r="F988" t="s">
        <v>1016</v>
      </c>
      <c r="G988" t="s">
        <v>1072</v>
      </c>
      <c r="H988" t="str">
        <f t="shared" si="105"/>
        <v>Electronics</v>
      </c>
      <c r="I988">
        <v>10</v>
      </c>
      <c r="J988" t="str">
        <f>VLOOKUP(K988,$AJ$2:$AK$7,2,FALSE)</f>
        <v>S001</v>
      </c>
      <c r="K988" t="s">
        <v>1097</v>
      </c>
      <c r="L988">
        <v>4.4000000000000004</v>
      </c>
      <c r="M988" t="str">
        <f>IFERROR(VLOOKUP(TRIM(N988),$AP$2:$AQ$12,2,FALSE),"W001")</f>
        <v>W010</v>
      </c>
      <c r="N988" t="s">
        <v>1063</v>
      </c>
      <c r="O988" t="s">
        <v>1051</v>
      </c>
      <c r="P988" t="str">
        <f>VLOOKUP(O988,$AL$2:$AM$12,2,FALSE)</f>
        <v>West</v>
      </c>
      <c r="Q988" t="s">
        <v>1080</v>
      </c>
      <c r="R988">
        <v>841</v>
      </c>
      <c r="S988" t="s">
        <v>1078</v>
      </c>
      <c r="T988">
        <f t="shared" si="106"/>
        <v>5</v>
      </c>
      <c r="U988">
        <v>126.15</v>
      </c>
      <c r="V988">
        <f t="shared" si="107"/>
        <v>4</v>
      </c>
      <c r="W988" t="s">
        <v>1088</v>
      </c>
      <c r="X988" t="s">
        <v>1090</v>
      </c>
      <c r="Y988">
        <f t="shared" si="108"/>
        <v>0</v>
      </c>
      <c r="Z988" t="s">
        <v>1108</v>
      </c>
      <c r="AA988" t="str">
        <f t="shared" si="109"/>
        <v>Low</v>
      </c>
      <c r="AB988" t="s">
        <v>1103</v>
      </c>
      <c r="AC988" t="str">
        <f t="shared" si="110"/>
        <v>Yes</v>
      </c>
      <c r="AD988">
        <v>4</v>
      </c>
      <c r="AE988">
        <v>187850</v>
      </c>
      <c r="AF988">
        <v>75140</v>
      </c>
      <c r="AG988">
        <f t="shared" si="111"/>
        <v>112583.85</v>
      </c>
    </row>
    <row r="989" spans="1:33" x14ac:dyDescent="0.25">
      <c r="A989">
        <v>1988</v>
      </c>
      <c r="B989" s="1">
        <v>44970</v>
      </c>
      <c r="C989" s="1">
        <v>44972</v>
      </c>
      <c r="D989" s="1">
        <v>44978</v>
      </c>
      <c r="E989" t="s">
        <v>1064</v>
      </c>
      <c r="F989" t="s">
        <v>1017</v>
      </c>
      <c r="G989" t="s">
        <v>1067</v>
      </c>
      <c r="H989" t="str">
        <f t="shared" si="105"/>
        <v>Clothing</v>
      </c>
      <c r="I989">
        <v>9</v>
      </c>
      <c r="J989" t="str">
        <f>VLOOKUP(K989,$AJ$2:$AK$7,2,FALSE)</f>
        <v>S002</v>
      </c>
      <c r="K989" t="s">
        <v>1098</v>
      </c>
      <c r="L989">
        <v>3.5</v>
      </c>
      <c r="M989" t="str">
        <f>IFERROR(VLOOKUP(TRIM(N989),$AP$2:$AQ$12,2,FALSE),"W001")</f>
        <v>W002</v>
      </c>
      <c r="N989" t="s">
        <v>1049</v>
      </c>
      <c r="O989" t="s">
        <v>1047</v>
      </c>
      <c r="P989" t="str">
        <f>VLOOKUP(O989,$AL$2:$AM$12,2,FALSE)</f>
        <v>West</v>
      </c>
      <c r="Q989" t="s">
        <v>1082</v>
      </c>
      <c r="R989">
        <v>673</v>
      </c>
      <c r="S989" t="s">
        <v>1066</v>
      </c>
      <c r="T989">
        <f t="shared" si="106"/>
        <v>2</v>
      </c>
      <c r="U989">
        <v>269.2</v>
      </c>
      <c r="V989">
        <f t="shared" si="107"/>
        <v>8</v>
      </c>
      <c r="W989" t="s">
        <v>1086</v>
      </c>
      <c r="X989" t="s">
        <v>1091</v>
      </c>
      <c r="Y989">
        <f t="shared" si="108"/>
        <v>269.2</v>
      </c>
      <c r="Z989" t="s">
        <v>1108</v>
      </c>
      <c r="AA989" t="str">
        <f t="shared" si="109"/>
        <v>Medium</v>
      </c>
      <c r="AB989" t="s">
        <v>1103</v>
      </c>
      <c r="AC989" t="str">
        <f t="shared" si="110"/>
        <v>Yes</v>
      </c>
      <c r="AD989">
        <v>5</v>
      </c>
      <c r="AE989">
        <v>5769</v>
      </c>
      <c r="AF989">
        <v>2307.6</v>
      </c>
      <c r="AG989">
        <f t="shared" si="111"/>
        <v>3192.2000000000003</v>
      </c>
    </row>
    <row r="990" spans="1:33" x14ac:dyDescent="0.25">
      <c r="A990">
        <v>1989</v>
      </c>
      <c r="B990" s="1">
        <v>45974</v>
      </c>
      <c r="C990" s="1">
        <v>45976</v>
      </c>
      <c r="D990" s="1">
        <v>45979</v>
      </c>
      <c r="E990" t="s">
        <v>1066</v>
      </c>
      <c r="F990" t="s">
        <v>1018</v>
      </c>
      <c r="G990" t="s">
        <v>1067</v>
      </c>
      <c r="H990" t="str">
        <f t="shared" si="105"/>
        <v>Clothing</v>
      </c>
      <c r="I990">
        <v>7</v>
      </c>
      <c r="J990" t="str">
        <f>VLOOKUP(K990,$AJ$2:$AK$7,2,FALSE)</f>
        <v>S002</v>
      </c>
      <c r="K990" t="s">
        <v>1098</v>
      </c>
      <c r="L990">
        <v>4.7</v>
      </c>
      <c r="M990" t="str">
        <f>IFERROR(VLOOKUP(TRIM(N990),$AP$2:$AQ$12,2,FALSE),"W001")</f>
        <v>W009</v>
      </c>
      <c r="N990" t="s">
        <v>1060</v>
      </c>
      <c r="O990" t="s">
        <v>1059</v>
      </c>
      <c r="P990" t="str">
        <f>VLOOKUP(O990,$AL$2:$AM$12,2,FALSE)</f>
        <v>North</v>
      </c>
      <c r="Q990" t="s">
        <v>1082</v>
      </c>
      <c r="R990">
        <v>1392</v>
      </c>
      <c r="S990" t="s">
        <v>1078</v>
      </c>
      <c r="T990">
        <f t="shared" si="106"/>
        <v>4</v>
      </c>
      <c r="U990">
        <v>556.79999999999995</v>
      </c>
      <c r="V990">
        <f t="shared" si="107"/>
        <v>8</v>
      </c>
      <c r="W990" t="s">
        <v>1088</v>
      </c>
      <c r="X990" t="s">
        <v>1089</v>
      </c>
      <c r="Y990">
        <f t="shared" si="108"/>
        <v>0</v>
      </c>
      <c r="Z990" t="s">
        <v>1109</v>
      </c>
      <c r="AA990" t="str">
        <f t="shared" si="109"/>
        <v>High</v>
      </c>
      <c r="AB990" t="s">
        <v>1104</v>
      </c>
      <c r="AC990" t="str">
        <f t="shared" si="110"/>
        <v>No</v>
      </c>
      <c r="AD990">
        <v>2</v>
      </c>
      <c r="AE990">
        <v>4312</v>
      </c>
      <c r="AF990">
        <v>1724.8000000000002</v>
      </c>
      <c r="AG990">
        <f t="shared" si="111"/>
        <v>2030.3999999999999</v>
      </c>
    </row>
    <row r="991" spans="1:33" x14ac:dyDescent="0.25">
      <c r="A991">
        <v>1990</v>
      </c>
      <c r="B991" s="1">
        <v>44812</v>
      </c>
      <c r="C991" s="1">
        <v>44815</v>
      </c>
      <c r="D991" s="1">
        <v>44821</v>
      </c>
      <c r="E991" t="s">
        <v>1064</v>
      </c>
      <c r="F991" t="s">
        <v>1019</v>
      </c>
      <c r="G991" t="s">
        <v>1072</v>
      </c>
      <c r="H991" t="str">
        <f t="shared" si="105"/>
        <v>Electronics</v>
      </c>
      <c r="I991">
        <v>4</v>
      </c>
      <c r="J991" t="str">
        <f>VLOOKUP(K991,$AJ$2:$AK$7,2,FALSE)</f>
        <v>S006</v>
      </c>
      <c r="K991" t="s">
        <v>1102</v>
      </c>
      <c r="L991">
        <v>3.5</v>
      </c>
      <c r="M991" t="str">
        <f>IFERROR(VLOOKUP(TRIM(N991),$AP$2:$AQ$12,2,FALSE),"W001")</f>
        <v>W007</v>
      </c>
      <c r="N991" t="s">
        <v>1062</v>
      </c>
      <c r="O991" t="s">
        <v>1047</v>
      </c>
      <c r="P991" t="str">
        <f>VLOOKUP(O991,$AL$2:$AM$12,2,FALSE)</f>
        <v>West</v>
      </c>
      <c r="Q991" t="s">
        <v>1084</v>
      </c>
      <c r="R991">
        <v>609</v>
      </c>
      <c r="S991" t="s">
        <v>1066</v>
      </c>
      <c r="T991">
        <f t="shared" si="106"/>
        <v>3</v>
      </c>
      <c r="U991">
        <v>182.7</v>
      </c>
      <c r="V991">
        <f t="shared" si="107"/>
        <v>6</v>
      </c>
      <c r="W991" t="s">
        <v>1087</v>
      </c>
      <c r="X991" t="s">
        <v>1091</v>
      </c>
      <c r="Y991">
        <f t="shared" si="108"/>
        <v>0</v>
      </c>
      <c r="Z991" t="s">
        <v>1108</v>
      </c>
      <c r="AA991" t="str">
        <f t="shared" si="109"/>
        <v>Low</v>
      </c>
      <c r="AB991" t="s">
        <v>1103</v>
      </c>
      <c r="AC991" t="str">
        <f t="shared" si="110"/>
        <v>Yes</v>
      </c>
      <c r="AD991">
        <v>5</v>
      </c>
      <c r="AE991">
        <v>98960</v>
      </c>
      <c r="AF991">
        <v>39584</v>
      </c>
      <c r="AG991">
        <f t="shared" si="111"/>
        <v>59193.3</v>
      </c>
    </row>
    <row r="992" spans="1:33" x14ac:dyDescent="0.25">
      <c r="A992">
        <v>1991</v>
      </c>
      <c r="B992" s="1">
        <v>44509</v>
      </c>
      <c r="C992" s="1">
        <v>44512</v>
      </c>
      <c r="D992" s="1">
        <v>44515</v>
      </c>
      <c r="E992" t="s">
        <v>1064</v>
      </c>
      <c r="F992" t="s">
        <v>1020</v>
      </c>
      <c r="G992" t="s">
        <v>1072</v>
      </c>
      <c r="H992" t="str">
        <f t="shared" si="105"/>
        <v>Electronics</v>
      </c>
      <c r="I992">
        <v>9</v>
      </c>
      <c r="J992" t="str">
        <f>VLOOKUP(K992,$AJ$2:$AK$7,2,FALSE)</f>
        <v>S003</v>
      </c>
      <c r="K992" t="s">
        <v>1099</v>
      </c>
      <c r="L992">
        <v>3.3</v>
      </c>
      <c r="M992" t="str">
        <f>IFERROR(VLOOKUP(TRIM(N992),$AP$2:$AQ$12,2,FALSE),"W001")</f>
        <v>W007</v>
      </c>
      <c r="N992" t="s">
        <v>1062</v>
      </c>
      <c r="O992" t="s">
        <v>1049</v>
      </c>
      <c r="P992" t="str">
        <f>VLOOKUP(O992,$AL$2:$AM$12,2,FALSE)</f>
        <v>North</v>
      </c>
      <c r="Q992" t="s">
        <v>1080</v>
      </c>
      <c r="R992">
        <v>1360</v>
      </c>
      <c r="S992" t="s">
        <v>1078</v>
      </c>
      <c r="T992">
        <f t="shared" si="106"/>
        <v>7</v>
      </c>
      <c r="U992">
        <v>204</v>
      </c>
      <c r="V992">
        <f t="shared" si="107"/>
        <v>4</v>
      </c>
      <c r="W992" t="s">
        <v>1087</v>
      </c>
      <c r="X992" t="s">
        <v>1089</v>
      </c>
      <c r="Y992">
        <f t="shared" si="108"/>
        <v>0</v>
      </c>
      <c r="Z992" t="s">
        <v>1108</v>
      </c>
      <c r="AA992" t="str">
        <f t="shared" si="109"/>
        <v>Low</v>
      </c>
      <c r="AB992" t="s">
        <v>1103</v>
      </c>
      <c r="AC992" t="str">
        <f t="shared" si="110"/>
        <v>Yes</v>
      </c>
      <c r="AD992">
        <v>5</v>
      </c>
      <c r="AE992">
        <v>242892</v>
      </c>
      <c r="AF992">
        <v>97156.800000000003</v>
      </c>
      <c r="AG992">
        <f t="shared" si="111"/>
        <v>145531.20000000001</v>
      </c>
    </row>
    <row r="993" spans="1:33" x14ac:dyDescent="0.25">
      <c r="A993">
        <v>1992</v>
      </c>
      <c r="B993" s="1">
        <v>46179</v>
      </c>
      <c r="C993" s="1">
        <v>46181</v>
      </c>
      <c r="D993" s="1">
        <v>46183</v>
      </c>
      <c r="E993" t="s">
        <v>1066</v>
      </c>
      <c r="F993" t="s">
        <v>1021</v>
      </c>
      <c r="G993" t="s">
        <v>1072</v>
      </c>
      <c r="H993" t="str">
        <f t="shared" si="105"/>
        <v>Electronics</v>
      </c>
      <c r="I993">
        <v>3</v>
      </c>
      <c r="J993" t="str">
        <f>VLOOKUP(K993,$AJ$2:$AK$7,2,FALSE)</f>
        <v>S002</v>
      </c>
      <c r="K993" t="s">
        <v>1098</v>
      </c>
      <c r="L993">
        <v>4.0999999999999996</v>
      </c>
      <c r="M993" t="str">
        <f>IFERROR(VLOOKUP(TRIM(N993),$AP$2:$AQ$12,2,FALSE),"W001")</f>
        <v>W009</v>
      </c>
      <c r="N993" t="s">
        <v>1060</v>
      </c>
      <c r="O993" t="s">
        <v>1049</v>
      </c>
      <c r="P993" t="str">
        <f>VLOOKUP(O993,$AL$2:$AM$12,2,FALSE)</f>
        <v>North</v>
      </c>
      <c r="Q993" t="s">
        <v>1084</v>
      </c>
      <c r="R993">
        <v>1256</v>
      </c>
      <c r="S993" t="s">
        <v>1078</v>
      </c>
      <c r="T993">
        <f t="shared" si="106"/>
        <v>5</v>
      </c>
      <c r="U993">
        <v>376.8</v>
      </c>
      <c r="V993">
        <f t="shared" si="107"/>
        <v>6</v>
      </c>
      <c r="W993" t="s">
        <v>1087</v>
      </c>
      <c r="X993" t="s">
        <v>1091</v>
      </c>
      <c r="Y993">
        <f t="shared" si="108"/>
        <v>0</v>
      </c>
      <c r="Z993" t="s">
        <v>1108</v>
      </c>
      <c r="AA993" t="str">
        <f t="shared" si="109"/>
        <v>Low</v>
      </c>
      <c r="AB993" t="s">
        <v>1103</v>
      </c>
      <c r="AC993" t="str">
        <f t="shared" si="110"/>
        <v>Yes</v>
      </c>
      <c r="AD993">
        <v>4</v>
      </c>
      <c r="AE993">
        <v>87120</v>
      </c>
      <c r="AF993">
        <v>34848</v>
      </c>
      <c r="AG993">
        <f t="shared" si="111"/>
        <v>51895.199999999997</v>
      </c>
    </row>
    <row r="994" spans="1:33" x14ac:dyDescent="0.25">
      <c r="A994">
        <v>1993</v>
      </c>
      <c r="B994" s="1">
        <v>44300</v>
      </c>
      <c r="C994" s="1">
        <v>44303</v>
      </c>
      <c r="D994" s="1">
        <v>44309</v>
      </c>
      <c r="E994" t="s">
        <v>1064</v>
      </c>
      <c r="F994" t="s">
        <v>1022</v>
      </c>
      <c r="G994" t="s">
        <v>1068</v>
      </c>
      <c r="H994" t="str">
        <f t="shared" si="105"/>
        <v>Electronics</v>
      </c>
      <c r="I994">
        <v>4</v>
      </c>
      <c r="J994" t="str">
        <f>VLOOKUP(K994,$AJ$2:$AK$7,2,FALSE)</f>
        <v>S003</v>
      </c>
      <c r="K994" t="s">
        <v>1099</v>
      </c>
      <c r="L994">
        <v>4.0999999999999996</v>
      </c>
      <c r="M994" t="str">
        <f>IFERROR(VLOOKUP(TRIM(N994),$AP$2:$AQ$12,2,FALSE),"W001")</f>
        <v>W004</v>
      </c>
      <c r="N994" t="s">
        <v>1053</v>
      </c>
      <c r="O994" t="s">
        <v>1047</v>
      </c>
      <c r="P994" t="str">
        <f>VLOOKUP(O994,$AL$2:$AM$12,2,FALSE)</f>
        <v>West</v>
      </c>
      <c r="Q994" t="s">
        <v>1080</v>
      </c>
      <c r="R994">
        <v>1029</v>
      </c>
      <c r="S994" t="s">
        <v>1078</v>
      </c>
      <c r="T994">
        <f t="shared" si="106"/>
        <v>5</v>
      </c>
      <c r="U994">
        <v>154.35</v>
      </c>
      <c r="V994">
        <f t="shared" si="107"/>
        <v>4</v>
      </c>
      <c r="W994" t="s">
        <v>1087</v>
      </c>
      <c r="X994" t="s">
        <v>1091</v>
      </c>
      <c r="Y994">
        <f t="shared" si="108"/>
        <v>0</v>
      </c>
      <c r="Z994" t="s">
        <v>1108</v>
      </c>
      <c r="AA994" t="str">
        <f t="shared" si="109"/>
        <v>Low</v>
      </c>
      <c r="AB994" t="s">
        <v>1103</v>
      </c>
      <c r="AC994" t="str">
        <f t="shared" si="110"/>
        <v>Yes</v>
      </c>
      <c r="AD994">
        <v>5</v>
      </c>
      <c r="AE994">
        <v>182076</v>
      </c>
      <c r="AF994">
        <v>72830.400000000009</v>
      </c>
      <c r="AG994">
        <f t="shared" si="111"/>
        <v>109091.24999999999</v>
      </c>
    </row>
    <row r="995" spans="1:33" x14ac:dyDescent="0.25">
      <c r="A995">
        <v>1994</v>
      </c>
      <c r="B995" s="1">
        <v>45304</v>
      </c>
      <c r="C995" s="1">
        <v>45307</v>
      </c>
      <c r="D995" s="1">
        <v>45309</v>
      </c>
      <c r="E995" t="s">
        <v>1065</v>
      </c>
      <c r="F995" t="s">
        <v>1023</v>
      </c>
      <c r="G995" t="s">
        <v>1071</v>
      </c>
      <c r="H995" t="str">
        <f t="shared" si="105"/>
        <v>Clothing</v>
      </c>
      <c r="I995">
        <v>7</v>
      </c>
      <c r="J995" t="str">
        <f>VLOOKUP(K995,$AJ$2:$AK$7,2,FALSE)</f>
        <v>S002</v>
      </c>
      <c r="K995" t="s">
        <v>1098</v>
      </c>
      <c r="L995">
        <v>4.7</v>
      </c>
      <c r="M995" t="str">
        <f>IFERROR(VLOOKUP(TRIM(N995),$AP$2:$AQ$12,2,FALSE),"W001")</f>
        <v>W007</v>
      </c>
      <c r="N995" t="s">
        <v>1062</v>
      </c>
      <c r="O995" t="s">
        <v>1051</v>
      </c>
      <c r="P995" t="str">
        <f>VLOOKUP(O995,$AL$2:$AM$12,2,FALSE)</f>
        <v>West</v>
      </c>
      <c r="Q995" t="s">
        <v>1080</v>
      </c>
      <c r="R995">
        <v>117</v>
      </c>
      <c r="S995" t="s">
        <v>1079</v>
      </c>
      <c r="T995">
        <f t="shared" si="106"/>
        <v>2</v>
      </c>
      <c r="U995">
        <v>17.55</v>
      </c>
      <c r="V995">
        <f t="shared" si="107"/>
        <v>4</v>
      </c>
      <c r="W995" t="s">
        <v>1086</v>
      </c>
      <c r="X995" t="s">
        <v>1091</v>
      </c>
      <c r="Y995">
        <f t="shared" si="108"/>
        <v>17.55</v>
      </c>
      <c r="Z995" t="s">
        <v>1108</v>
      </c>
      <c r="AA995" t="str">
        <f t="shared" si="109"/>
        <v>Low</v>
      </c>
      <c r="AB995" t="s">
        <v>1103</v>
      </c>
      <c r="AC995" t="str">
        <f t="shared" si="110"/>
        <v>Yes</v>
      </c>
      <c r="AD995">
        <v>5</v>
      </c>
      <c r="AE995">
        <v>11935</v>
      </c>
      <c r="AF995">
        <v>4774</v>
      </c>
      <c r="AG995">
        <f t="shared" si="111"/>
        <v>7143.45</v>
      </c>
    </row>
    <row r="996" spans="1:33" x14ac:dyDescent="0.25">
      <c r="A996">
        <v>1995</v>
      </c>
      <c r="B996" s="1">
        <v>44338</v>
      </c>
      <c r="C996" s="1">
        <v>44339</v>
      </c>
      <c r="D996" s="1">
        <v>44342</v>
      </c>
      <c r="E996" t="s">
        <v>1066</v>
      </c>
      <c r="F996" t="s">
        <v>1024</v>
      </c>
      <c r="G996" t="s">
        <v>1072</v>
      </c>
      <c r="H996" t="str">
        <f t="shared" si="105"/>
        <v>Electronics</v>
      </c>
      <c r="I996">
        <v>6</v>
      </c>
      <c r="J996" t="str">
        <f>VLOOKUP(K996,$AJ$2:$AK$7,2,FALSE)</f>
        <v>S001</v>
      </c>
      <c r="K996" t="s">
        <v>1097</v>
      </c>
      <c r="L996">
        <v>4.0999999999999996</v>
      </c>
      <c r="M996" t="str">
        <f>IFERROR(VLOOKUP(TRIM(N996),$AP$2:$AQ$12,2,FALSE),"W001")</f>
        <v>W002</v>
      </c>
      <c r="N996" t="s">
        <v>1049</v>
      </c>
      <c r="O996" t="s">
        <v>1055</v>
      </c>
      <c r="P996" t="str">
        <f>VLOOKUP(O996,$AL$2:$AM$12,2,FALSE)</f>
        <v>South</v>
      </c>
      <c r="Q996" t="s">
        <v>1082</v>
      </c>
      <c r="R996">
        <v>453</v>
      </c>
      <c r="S996" t="s">
        <v>1066</v>
      </c>
      <c r="T996">
        <f t="shared" si="106"/>
        <v>2</v>
      </c>
      <c r="U996">
        <v>181.2</v>
      </c>
      <c r="V996">
        <f t="shared" si="107"/>
        <v>8</v>
      </c>
      <c r="W996" t="s">
        <v>1086</v>
      </c>
      <c r="X996" t="s">
        <v>1091</v>
      </c>
      <c r="Y996">
        <f t="shared" si="108"/>
        <v>181.2</v>
      </c>
      <c r="Z996" t="s">
        <v>1108</v>
      </c>
      <c r="AA996" t="str">
        <f t="shared" si="109"/>
        <v>Medium</v>
      </c>
      <c r="AB996" t="s">
        <v>1103</v>
      </c>
      <c r="AC996" t="str">
        <f t="shared" si="110"/>
        <v>Yes</v>
      </c>
      <c r="AD996">
        <v>5</v>
      </c>
      <c r="AE996">
        <v>100344</v>
      </c>
      <c r="AF996">
        <v>40137.600000000006</v>
      </c>
      <c r="AG996">
        <f t="shared" si="111"/>
        <v>60025.2</v>
      </c>
    </row>
    <row r="997" spans="1:33" x14ac:dyDescent="0.25">
      <c r="A997">
        <v>1996</v>
      </c>
      <c r="B997" s="1">
        <v>45948</v>
      </c>
      <c r="C997" s="1">
        <v>45950</v>
      </c>
      <c r="D997" s="1">
        <v>45957</v>
      </c>
      <c r="E997" t="s">
        <v>1066</v>
      </c>
      <c r="F997" t="s">
        <v>1025</v>
      </c>
      <c r="G997" t="s">
        <v>1072</v>
      </c>
      <c r="H997" t="str">
        <f t="shared" si="105"/>
        <v>Electronics</v>
      </c>
      <c r="I997">
        <v>7</v>
      </c>
      <c r="J997" t="str">
        <f>VLOOKUP(K997,$AJ$2:$AK$7,2,FALSE)</f>
        <v>S004</v>
      </c>
      <c r="K997" t="s">
        <v>1100</v>
      </c>
      <c r="L997">
        <v>4.3</v>
      </c>
      <c r="M997" t="str">
        <f>IFERROR(VLOOKUP(TRIM(N997),$AP$2:$AQ$12,2,FALSE),"W001")</f>
        <v>W009</v>
      </c>
      <c r="N997" t="s">
        <v>1060</v>
      </c>
      <c r="O997" t="s">
        <v>1061</v>
      </c>
      <c r="P997" t="str">
        <f>VLOOKUP(O997,$AL$2:$AM$12,2,FALSE)</f>
        <v>West</v>
      </c>
      <c r="Q997" t="s">
        <v>1080</v>
      </c>
      <c r="R997">
        <v>331</v>
      </c>
      <c r="S997" t="s">
        <v>1066</v>
      </c>
      <c r="T997">
        <f t="shared" si="106"/>
        <v>3</v>
      </c>
      <c r="U997">
        <v>49.65</v>
      </c>
      <c r="V997">
        <f t="shared" si="107"/>
        <v>4</v>
      </c>
      <c r="W997" t="s">
        <v>1088</v>
      </c>
      <c r="X997" t="s">
        <v>1091</v>
      </c>
      <c r="Y997">
        <f t="shared" si="108"/>
        <v>0</v>
      </c>
      <c r="Z997" t="s">
        <v>1108</v>
      </c>
      <c r="AA997" t="str">
        <f t="shared" si="109"/>
        <v>Low</v>
      </c>
      <c r="AB997" t="s">
        <v>1103</v>
      </c>
      <c r="AC997" t="str">
        <f t="shared" si="110"/>
        <v>Yes</v>
      </c>
      <c r="AD997">
        <v>4</v>
      </c>
      <c r="AE997">
        <v>183267</v>
      </c>
      <c r="AF997">
        <v>73306.8</v>
      </c>
      <c r="AG997">
        <f t="shared" si="111"/>
        <v>109910.55</v>
      </c>
    </row>
    <row r="998" spans="1:33" x14ac:dyDescent="0.25">
      <c r="A998">
        <v>1997</v>
      </c>
      <c r="B998" s="1">
        <v>44331</v>
      </c>
      <c r="C998" s="1">
        <v>44334</v>
      </c>
      <c r="D998" s="1">
        <v>44339</v>
      </c>
      <c r="E998" t="s">
        <v>1064</v>
      </c>
      <c r="F998" t="s">
        <v>1026</v>
      </c>
      <c r="G998" t="s">
        <v>1071</v>
      </c>
      <c r="H998" t="str">
        <f t="shared" si="105"/>
        <v>Clothing</v>
      </c>
      <c r="I998">
        <v>6</v>
      </c>
      <c r="J998" t="str">
        <f>VLOOKUP(K998,$AJ$2:$AK$7,2,FALSE)</f>
        <v>S005</v>
      </c>
      <c r="K998" t="s">
        <v>1101</v>
      </c>
      <c r="L998">
        <v>4</v>
      </c>
      <c r="M998" t="str">
        <f>IFERROR(VLOOKUP(TRIM(N998),$AP$2:$AQ$12,2,FALSE),"W001")</f>
        <v>W003</v>
      </c>
      <c r="N998" t="s">
        <v>1051</v>
      </c>
      <c r="O998" t="s">
        <v>1047</v>
      </c>
      <c r="P998" t="str">
        <f>VLOOKUP(O998,$AL$2:$AM$12,2,FALSE)</f>
        <v>West</v>
      </c>
      <c r="Q998" t="s">
        <v>1084</v>
      </c>
      <c r="R998">
        <v>377</v>
      </c>
      <c r="S998" t="s">
        <v>1066</v>
      </c>
      <c r="T998">
        <f t="shared" si="106"/>
        <v>2</v>
      </c>
      <c r="U998">
        <v>113.1</v>
      </c>
      <c r="V998">
        <f t="shared" si="107"/>
        <v>6</v>
      </c>
      <c r="W998" t="s">
        <v>1088</v>
      </c>
      <c r="X998" t="s">
        <v>1090</v>
      </c>
      <c r="Y998">
        <f t="shared" si="108"/>
        <v>0</v>
      </c>
      <c r="Z998" t="s">
        <v>1108</v>
      </c>
      <c r="AA998" t="str">
        <f t="shared" si="109"/>
        <v>Low</v>
      </c>
      <c r="AB998" t="s">
        <v>1103</v>
      </c>
      <c r="AC998" t="str">
        <f t="shared" si="110"/>
        <v>Yes</v>
      </c>
      <c r="AD998">
        <v>5</v>
      </c>
      <c r="AE998">
        <v>15216</v>
      </c>
      <c r="AF998">
        <v>6086.4000000000005</v>
      </c>
      <c r="AG998">
        <f t="shared" si="111"/>
        <v>9016.4999999999982</v>
      </c>
    </row>
    <row r="999" spans="1:33" x14ac:dyDescent="0.25">
      <c r="A999">
        <v>1998</v>
      </c>
      <c r="B999" s="1">
        <v>45888</v>
      </c>
      <c r="C999" s="1">
        <v>45890</v>
      </c>
      <c r="D999" s="1">
        <v>45892</v>
      </c>
      <c r="E999" t="s">
        <v>1066</v>
      </c>
      <c r="F999" t="s">
        <v>1027</v>
      </c>
      <c r="G999" t="s">
        <v>1070</v>
      </c>
      <c r="H999" t="str">
        <f t="shared" si="105"/>
        <v>Furniture</v>
      </c>
      <c r="I999">
        <v>5</v>
      </c>
      <c r="J999" t="str">
        <f>VLOOKUP(K999,$AJ$2:$AK$7,2,FALSE)</f>
        <v>S005</v>
      </c>
      <c r="K999" t="s">
        <v>1101</v>
      </c>
      <c r="L999">
        <v>3.6</v>
      </c>
      <c r="M999" t="str">
        <f>IFERROR(VLOOKUP(TRIM(N999),$AP$2:$AQ$12,2,FALSE),"W001")</f>
        <v>W002</v>
      </c>
      <c r="N999" t="s">
        <v>1049</v>
      </c>
      <c r="O999" t="s">
        <v>1061</v>
      </c>
      <c r="P999" t="str">
        <f>VLOOKUP(O999,$AL$2:$AM$12,2,FALSE)</f>
        <v>West</v>
      </c>
      <c r="Q999" t="s">
        <v>1082</v>
      </c>
      <c r="R999">
        <v>219</v>
      </c>
      <c r="S999" t="s">
        <v>1066</v>
      </c>
      <c r="T999">
        <f t="shared" si="106"/>
        <v>1</v>
      </c>
      <c r="U999">
        <v>87.6</v>
      </c>
      <c r="V999">
        <f t="shared" si="107"/>
        <v>8</v>
      </c>
      <c r="W999" t="s">
        <v>1088</v>
      </c>
      <c r="X999" t="s">
        <v>1090</v>
      </c>
      <c r="Y999">
        <f t="shared" si="108"/>
        <v>0</v>
      </c>
      <c r="Z999" t="s">
        <v>1108</v>
      </c>
      <c r="AA999" t="str">
        <f t="shared" si="109"/>
        <v>Medium</v>
      </c>
      <c r="AB999" t="s">
        <v>1103</v>
      </c>
      <c r="AC999" t="str">
        <f t="shared" si="110"/>
        <v>Yes</v>
      </c>
      <c r="AD999">
        <v>5</v>
      </c>
      <c r="AE999">
        <v>26710</v>
      </c>
      <c r="AF999">
        <v>10684</v>
      </c>
      <c r="AG999">
        <f t="shared" si="111"/>
        <v>15938.4</v>
      </c>
    </row>
    <row r="1000" spans="1:33" x14ac:dyDescent="0.25">
      <c r="A1000">
        <v>1999</v>
      </c>
      <c r="B1000" s="1">
        <v>46387</v>
      </c>
      <c r="C1000" s="1">
        <v>46390</v>
      </c>
      <c r="D1000" s="1">
        <v>46392</v>
      </c>
      <c r="E1000" t="s">
        <v>1066</v>
      </c>
      <c r="F1000" t="s">
        <v>1028</v>
      </c>
      <c r="G1000" t="s">
        <v>1067</v>
      </c>
      <c r="H1000" t="str">
        <f t="shared" si="105"/>
        <v>Clothing</v>
      </c>
      <c r="I1000">
        <v>5</v>
      </c>
      <c r="J1000" t="str">
        <f>VLOOKUP(K1000,$AJ$2:$AK$7,2,FALSE)</f>
        <v>S005</v>
      </c>
      <c r="K1000" t="s">
        <v>1101</v>
      </c>
      <c r="L1000">
        <v>4.9000000000000004</v>
      </c>
      <c r="M1000" t="str">
        <f>IFERROR(VLOOKUP(TRIM(N1000),$AP$2:$AQ$12,2,FALSE),"W001")</f>
        <v>W011</v>
      </c>
      <c r="N1000" t="s">
        <v>1059</v>
      </c>
      <c r="O1000" t="s">
        <v>1061</v>
      </c>
      <c r="P1000" t="str">
        <f>VLOOKUP(O1000,$AL$2:$AM$12,2,FALSE)</f>
        <v>West</v>
      </c>
      <c r="Q1000" t="s">
        <v>1080</v>
      </c>
      <c r="R1000">
        <v>1616</v>
      </c>
      <c r="S1000" t="s">
        <v>1078</v>
      </c>
      <c r="T1000">
        <f t="shared" si="106"/>
        <v>7</v>
      </c>
      <c r="U1000">
        <v>242.4</v>
      </c>
      <c r="V1000">
        <f t="shared" si="107"/>
        <v>4</v>
      </c>
      <c r="W1000" t="s">
        <v>1086</v>
      </c>
      <c r="X1000" t="s">
        <v>1091</v>
      </c>
      <c r="Y1000">
        <f t="shared" si="108"/>
        <v>242.4</v>
      </c>
      <c r="Z1000" t="s">
        <v>1108</v>
      </c>
      <c r="AA1000" t="str">
        <f t="shared" si="109"/>
        <v>Low</v>
      </c>
      <c r="AB1000" t="s">
        <v>1103</v>
      </c>
      <c r="AC1000" t="str">
        <f t="shared" si="110"/>
        <v>Yes</v>
      </c>
      <c r="AD1000">
        <v>5</v>
      </c>
      <c r="AE1000">
        <v>4770</v>
      </c>
      <c r="AF1000">
        <v>1908</v>
      </c>
      <c r="AG1000">
        <f t="shared" si="111"/>
        <v>2619.6</v>
      </c>
    </row>
    <row r="1001" spans="1:33" x14ac:dyDescent="0.25">
      <c r="A1001">
        <v>2000</v>
      </c>
      <c r="B1001" s="1">
        <v>44617</v>
      </c>
      <c r="C1001" s="1">
        <v>44619</v>
      </c>
      <c r="D1001" s="1">
        <v>44624</v>
      </c>
      <c r="E1001" t="s">
        <v>1064</v>
      </c>
      <c r="F1001" t="s">
        <v>1029</v>
      </c>
      <c r="G1001" t="s">
        <v>1072</v>
      </c>
      <c r="H1001" t="str">
        <f t="shared" si="105"/>
        <v>Electronics</v>
      </c>
      <c r="I1001">
        <v>8</v>
      </c>
      <c r="J1001" t="str">
        <f>VLOOKUP(K1001,$AJ$2:$AK$7,2,FALSE)</f>
        <v>S005</v>
      </c>
      <c r="K1001" t="s">
        <v>1101</v>
      </c>
      <c r="L1001">
        <v>4.9000000000000004</v>
      </c>
      <c r="M1001" t="str">
        <f>IFERROR(VLOOKUP(TRIM(N1001),$AP$2:$AQ$12,2,FALSE),"W001")</f>
        <v>W006</v>
      </c>
      <c r="N1001" t="s">
        <v>1057</v>
      </c>
      <c r="O1001" t="s">
        <v>1053</v>
      </c>
      <c r="P1001" t="str">
        <f>VLOOKUP(O1001,$AL$2:$AM$12,2,FALSE)</f>
        <v>South</v>
      </c>
      <c r="Q1001" t="s">
        <v>1080</v>
      </c>
      <c r="R1001">
        <v>1012</v>
      </c>
      <c r="S1001" t="s">
        <v>1078</v>
      </c>
      <c r="T1001">
        <f t="shared" si="106"/>
        <v>5</v>
      </c>
      <c r="U1001">
        <v>151.80000000000001</v>
      </c>
      <c r="V1001">
        <f t="shared" si="107"/>
        <v>4</v>
      </c>
      <c r="W1001" t="s">
        <v>1087</v>
      </c>
      <c r="X1001" t="s">
        <v>1091</v>
      </c>
      <c r="Y1001">
        <f t="shared" si="108"/>
        <v>0</v>
      </c>
      <c r="Z1001" t="s">
        <v>1108</v>
      </c>
      <c r="AA1001" t="str">
        <f t="shared" si="109"/>
        <v>Low</v>
      </c>
      <c r="AB1001" t="s">
        <v>1103</v>
      </c>
      <c r="AC1001" t="str">
        <f t="shared" si="110"/>
        <v>Yes</v>
      </c>
      <c r="AD1001">
        <v>4</v>
      </c>
      <c r="AE1001">
        <v>195472</v>
      </c>
      <c r="AF1001">
        <v>78188.800000000003</v>
      </c>
      <c r="AG1001">
        <f t="shared" si="111"/>
        <v>117131.4</v>
      </c>
    </row>
    <row r="1002" spans="1:33" x14ac:dyDescent="0.25">
      <c r="A1002">
        <v>2001</v>
      </c>
      <c r="B1002" s="1">
        <v>45993</v>
      </c>
      <c r="C1002" s="1">
        <v>45995</v>
      </c>
      <c r="D1002" s="1">
        <v>45998</v>
      </c>
      <c r="E1002" t="s">
        <v>1064</v>
      </c>
      <c r="F1002" t="s">
        <v>1030</v>
      </c>
      <c r="G1002" t="s">
        <v>1069</v>
      </c>
      <c r="H1002" t="str">
        <f t="shared" si="105"/>
        <v>Furniture</v>
      </c>
      <c r="I1002">
        <v>5</v>
      </c>
      <c r="J1002" t="str">
        <f>VLOOKUP(K1002,$AJ$2:$AK$7,2,FALSE)</f>
        <v>S004</v>
      </c>
      <c r="K1002" t="s">
        <v>1100</v>
      </c>
      <c r="L1002">
        <v>3.5</v>
      </c>
      <c r="M1002" t="str">
        <f>IFERROR(VLOOKUP(TRIM(N1002),$AP$2:$AQ$12,2,FALSE),"W001")</f>
        <v>W003</v>
      </c>
      <c r="N1002" t="s">
        <v>1051</v>
      </c>
      <c r="O1002" t="s">
        <v>1063</v>
      </c>
      <c r="P1002" t="str">
        <f>VLOOKUP(O1002,$AL$2:$AM$12,2,FALSE)</f>
        <v>South</v>
      </c>
      <c r="Q1002" t="s">
        <v>1083</v>
      </c>
      <c r="R1002">
        <v>1049</v>
      </c>
      <c r="S1002" t="s">
        <v>1078</v>
      </c>
      <c r="T1002">
        <f t="shared" si="106"/>
        <v>2</v>
      </c>
      <c r="U1002">
        <v>524.5</v>
      </c>
      <c r="V1002">
        <f t="shared" si="107"/>
        <v>10</v>
      </c>
      <c r="W1002" t="s">
        <v>1086</v>
      </c>
      <c r="X1002" t="s">
        <v>1090</v>
      </c>
      <c r="Y1002">
        <f t="shared" si="108"/>
        <v>524.5</v>
      </c>
      <c r="Z1002" t="s">
        <v>1108</v>
      </c>
      <c r="AA1002" t="str">
        <f t="shared" si="109"/>
        <v>Medium</v>
      </c>
      <c r="AB1002" t="s">
        <v>1104</v>
      </c>
      <c r="AC1002" t="str">
        <f t="shared" si="110"/>
        <v>Yes</v>
      </c>
      <c r="AD1002">
        <v>1</v>
      </c>
      <c r="AE1002">
        <v>25955</v>
      </c>
      <c r="AF1002">
        <v>10382</v>
      </c>
      <c r="AG1002">
        <f t="shared" si="111"/>
        <v>15048.5</v>
      </c>
    </row>
    <row r="1003" spans="1:33" x14ac:dyDescent="0.25">
      <c r="A1003">
        <v>2002</v>
      </c>
      <c r="B1003" s="1">
        <v>44353</v>
      </c>
      <c r="C1003" s="1">
        <v>44355</v>
      </c>
      <c r="D1003" s="1">
        <v>44360</v>
      </c>
      <c r="E1003" t="s">
        <v>1064</v>
      </c>
      <c r="F1003" t="s">
        <v>1031</v>
      </c>
      <c r="G1003" t="s">
        <v>1069</v>
      </c>
      <c r="H1003" t="str">
        <f t="shared" si="105"/>
        <v>Furniture</v>
      </c>
      <c r="I1003">
        <v>6</v>
      </c>
      <c r="J1003" t="str">
        <f>VLOOKUP(K1003,$AJ$2:$AK$7,2,FALSE)</f>
        <v>S002</v>
      </c>
      <c r="K1003" t="s">
        <v>1098</v>
      </c>
      <c r="L1003">
        <v>4.5</v>
      </c>
      <c r="M1003" t="str">
        <f>IFERROR(VLOOKUP(TRIM(N1003),$AP$2:$AQ$12,2,FALSE),"W001")</f>
        <v>W003</v>
      </c>
      <c r="N1003" t="s">
        <v>1051</v>
      </c>
      <c r="O1003" t="s">
        <v>1051</v>
      </c>
      <c r="P1003" t="str">
        <f>VLOOKUP(O1003,$AL$2:$AM$12,2,FALSE)</f>
        <v>West</v>
      </c>
      <c r="Q1003" t="s">
        <v>1083</v>
      </c>
      <c r="R1003">
        <v>10</v>
      </c>
      <c r="S1003" t="s">
        <v>1079</v>
      </c>
      <c r="T1003">
        <f t="shared" si="106"/>
        <v>1</v>
      </c>
      <c r="U1003">
        <v>5</v>
      </c>
      <c r="V1003">
        <f t="shared" si="107"/>
        <v>10</v>
      </c>
      <c r="W1003" t="s">
        <v>1087</v>
      </c>
      <c r="X1003" t="s">
        <v>1091</v>
      </c>
      <c r="Y1003">
        <f t="shared" si="108"/>
        <v>0</v>
      </c>
      <c r="Z1003" t="s">
        <v>1108</v>
      </c>
      <c r="AA1003" t="str">
        <f t="shared" si="109"/>
        <v>Medium</v>
      </c>
      <c r="AB1003" t="s">
        <v>1104</v>
      </c>
      <c r="AC1003" t="str">
        <f t="shared" si="110"/>
        <v>Yes</v>
      </c>
      <c r="AD1003">
        <v>2</v>
      </c>
      <c r="AE1003">
        <v>59838</v>
      </c>
      <c r="AF1003">
        <v>23935.200000000001</v>
      </c>
      <c r="AG1003">
        <f t="shared" si="111"/>
        <v>35897.800000000003</v>
      </c>
    </row>
    <row r="1004" spans="1:33" x14ac:dyDescent="0.25">
      <c r="A1004">
        <v>2003</v>
      </c>
      <c r="B1004" s="1">
        <v>45812</v>
      </c>
      <c r="C1004" s="1">
        <v>45814</v>
      </c>
      <c r="D1004" s="1">
        <v>45820</v>
      </c>
      <c r="E1004" t="s">
        <v>1066</v>
      </c>
      <c r="F1004" t="s">
        <v>1032</v>
      </c>
      <c r="G1004" t="s">
        <v>1071</v>
      </c>
      <c r="H1004" t="str">
        <f t="shared" si="105"/>
        <v>Clothing</v>
      </c>
      <c r="I1004">
        <v>10</v>
      </c>
      <c r="J1004" t="str">
        <f>VLOOKUP(K1004,$AJ$2:$AK$7,2,FALSE)</f>
        <v>S001</v>
      </c>
      <c r="K1004" t="s">
        <v>1097</v>
      </c>
      <c r="L1004">
        <v>4.5999999999999996</v>
      </c>
      <c r="M1004" t="str">
        <f>IFERROR(VLOOKUP(TRIM(N1004),$AP$2:$AQ$12,2,FALSE),"W001")</f>
        <v>W004</v>
      </c>
      <c r="N1004" t="s">
        <v>1053</v>
      </c>
      <c r="O1004" t="s">
        <v>1060</v>
      </c>
      <c r="P1004" t="str">
        <f>VLOOKUP(O1004,$AL$2:$AM$12,2,FALSE)</f>
        <v>North</v>
      </c>
      <c r="Q1004" t="s">
        <v>1083</v>
      </c>
      <c r="R1004">
        <v>1828</v>
      </c>
      <c r="S1004" t="s">
        <v>1078</v>
      </c>
      <c r="T1004">
        <f t="shared" si="106"/>
        <v>4</v>
      </c>
      <c r="U1004">
        <v>914</v>
      </c>
      <c r="V1004">
        <f t="shared" si="107"/>
        <v>10</v>
      </c>
      <c r="W1004" t="s">
        <v>1087</v>
      </c>
      <c r="X1004" t="s">
        <v>1089</v>
      </c>
      <c r="Y1004">
        <f t="shared" si="108"/>
        <v>0</v>
      </c>
      <c r="Z1004" t="s">
        <v>1109</v>
      </c>
      <c r="AA1004" t="str">
        <f t="shared" si="109"/>
        <v>High</v>
      </c>
      <c r="AB1004" t="s">
        <v>1103</v>
      </c>
      <c r="AC1004" t="str">
        <f t="shared" si="110"/>
        <v>No</v>
      </c>
      <c r="AD1004">
        <v>2</v>
      </c>
      <c r="AE1004">
        <v>29440</v>
      </c>
      <c r="AF1004">
        <v>11776</v>
      </c>
      <c r="AG1004">
        <f t="shared" si="111"/>
        <v>16750</v>
      </c>
    </row>
    <row r="1005" spans="1:33" x14ac:dyDescent="0.25">
      <c r="A1005">
        <v>2004</v>
      </c>
      <c r="B1005" s="1">
        <v>44621</v>
      </c>
      <c r="C1005" s="1">
        <v>44624</v>
      </c>
      <c r="D1005" s="1">
        <v>44628</v>
      </c>
      <c r="E1005" t="s">
        <v>1064</v>
      </c>
      <c r="F1005" t="s">
        <v>1033</v>
      </c>
      <c r="G1005" t="s">
        <v>1068</v>
      </c>
      <c r="H1005" t="str">
        <f t="shared" si="105"/>
        <v>Electronics</v>
      </c>
      <c r="I1005">
        <v>4</v>
      </c>
      <c r="J1005" t="str">
        <f>VLOOKUP(K1005,$AJ$2:$AK$7,2,FALSE)</f>
        <v>S005</v>
      </c>
      <c r="K1005" t="s">
        <v>1101</v>
      </c>
      <c r="L1005">
        <v>3.5</v>
      </c>
      <c r="M1005" t="str">
        <f>IFERROR(VLOOKUP(TRIM(N1005),$AP$2:$AQ$12,2,FALSE),"W001")</f>
        <v>W001</v>
      </c>
      <c r="N1005" t="s">
        <v>1047</v>
      </c>
      <c r="O1005" t="s">
        <v>1053</v>
      </c>
      <c r="P1005" t="str">
        <f>VLOOKUP(O1005,$AL$2:$AM$12,2,FALSE)</f>
        <v>South</v>
      </c>
      <c r="Q1005" t="s">
        <v>1085</v>
      </c>
      <c r="R1005">
        <v>869</v>
      </c>
      <c r="S1005" t="s">
        <v>1078</v>
      </c>
      <c r="T1005">
        <f t="shared" si="106"/>
        <v>7</v>
      </c>
      <c r="U1005">
        <v>86.9</v>
      </c>
      <c r="V1005">
        <f t="shared" si="107"/>
        <v>3</v>
      </c>
      <c r="W1005" t="s">
        <v>1087</v>
      </c>
      <c r="X1005" t="s">
        <v>1091</v>
      </c>
      <c r="Y1005">
        <f t="shared" si="108"/>
        <v>0</v>
      </c>
      <c r="Z1005" t="s">
        <v>1108</v>
      </c>
      <c r="AA1005" t="str">
        <f t="shared" si="109"/>
        <v>Low</v>
      </c>
      <c r="AB1005" t="s">
        <v>1103</v>
      </c>
      <c r="AC1005" t="str">
        <f t="shared" si="110"/>
        <v>Yes</v>
      </c>
      <c r="AD1005">
        <v>4</v>
      </c>
      <c r="AE1005">
        <v>162180</v>
      </c>
      <c r="AF1005">
        <v>64872</v>
      </c>
      <c r="AG1005">
        <f t="shared" si="111"/>
        <v>97221.1</v>
      </c>
    </row>
    <row r="1006" spans="1:33" x14ac:dyDescent="0.25">
      <c r="A1006">
        <v>2005</v>
      </c>
      <c r="B1006" s="1">
        <v>44653</v>
      </c>
      <c r="C1006" s="1">
        <v>44655</v>
      </c>
      <c r="D1006" s="1">
        <v>44662</v>
      </c>
      <c r="E1006" t="s">
        <v>1065</v>
      </c>
      <c r="F1006" t="s">
        <v>1034</v>
      </c>
      <c r="G1006" t="s">
        <v>1070</v>
      </c>
      <c r="H1006" t="str">
        <f t="shared" si="105"/>
        <v>Furniture</v>
      </c>
      <c r="I1006">
        <v>8</v>
      </c>
      <c r="J1006" t="str">
        <f>VLOOKUP(K1006,$AJ$2:$AK$7,2,FALSE)</f>
        <v>S002</v>
      </c>
      <c r="K1006" t="s">
        <v>1098</v>
      </c>
      <c r="L1006">
        <v>3.5</v>
      </c>
      <c r="M1006" t="str">
        <f>IFERROR(VLOOKUP(TRIM(N1006),$AP$2:$AQ$12,2,FALSE),"W001")</f>
        <v>W006</v>
      </c>
      <c r="N1006" t="s">
        <v>1057</v>
      </c>
      <c r="O1006" t="s">
        <v>1060</v>
      </c>
      <c r="P1006" t="str">
        <f>VLOOKUP(O1006,$AL$2:$AM$12,2,FALSE)</f>
        <v>North</v>
      </c>
      <c r="Q1006" t="s">
        <v>1083</v>
      </c>
      <c r="R1006">
        <v>581</v>
      </c>
      <c r="S1006" t="s">
        <v>1066</v>
      </c>
      <c r="T1006">
        <f t="shared" si="106"/>
        <v>2</v>
      </c>
      <c r="U1006">
        <v>290.5</v>
      </c>
      <c r="V1006">
        <f t="shared" si="107"/>
        <v>10</v>
      </c>
      <c r="W1006" t="s">
        <v>1087</v>
      </c>
      <c r="X1006" t="s">
        <v>1091</v>
      </c>
      <c r="Y1006">
        <f t="shared" si="108"/>
        <v>0</v>
      </c>
      <c r="Z1006" t="s">
        <v>1108</v>
      </c>
      <c r="AA1006" t="str">
        <f t="shared" si="109"/>
        <v>Medium</v>
      </c>
      <c r="AB1006" t="s">
        <v>1103</v>
      </c>
      <c r="AC1006" t="str">
        <f t="shared" si="110"/>
        <v>Yes</v>
      </c>
      <c r="AD1006">
        <v>5</v>
      </c>
      <c r="AE1006">
        <v>59200</v>
      </c>
      <c r="AF1006">
        <v>23680</v>
      </c>
      <c r="AG1006">
        <f t="shared" si="111"/>
        <v>35229.5</v>
      </c>
    </row>
    <row r="1007" spans="1:33" x14ac:dyDescent="0.25">
      <c r="A1007">
        <v>2006</v>
      </c>
      <c r="B1007" s="1">
        <v>44835</v>
      </c>
      <c r="C1007" s="1">
        <v>44837</v>
      </c>
      <c r="D1007" s="1">
        <v>44842</v>
      </c>
      <c r="E1007" t="s">
        <v>1064</v>
      </c>
      <c r="F1007" t="s">
        <v>1035</v>
      </c>
      <c r="G1007" t="s">
        <v>1069</v>
      </c>
      <c r="H1007" t="str">
        <f t="shared" si="105"/>
        <v>Furniture</v>
      </c>
      <c r="I1007">
        <v>3</v>
      </c>
      <c r="J1007" t="str">
        <f>VLOOKUP(K1007,$AJ$2:$AK$7,2,FALSE)</f>
        <v>S001</v>
      </c>
      <c r="K1007" t="s">
        <v>1097</v>
      </c>
      <c r="L1007">
        <v>3.5</v>
      </c>
      <c r="M1007" t="str">
        <f>IFERROR(VLOOKUP(TRIM(N1007),$AP$2:$AQ$12,2,FALSE),"W001")</f>
        <v>W004</v>
      </c>
      <c r="N1007" t="s">
        <v>1053</v>
      </c>
      <c r="O1007" t="s">
        <v>1047</v>
      </c>
      <c r="P1007" t="str">
        <f>VLOOKUP(O1007,$AL$2:$AM$12,2,FALSE)</f>
        <v>West</v>
      </c>
      <c r="Q1007" t="s">
        <v>1080</v>
      </c>
      <c r="R1007">
        <v>1375</v>
      </c>
      <c r="S1007" t="s">
        <v>1078</v>
      </c>
      <c r="T1007">
        <f t="shared" si="106"/>
        <v>7</v>
      </c>
      <c r="U1007">
        <v>206.25</v>
      </c>
      <c r="V1007">
        <f t="shared" si="107"/>
        <v>4</v>
      </c>
      <c r="W1007" t="s">
        <v>1088</v>
      </c>
      <c r="X1007" t="s">
        <v>1091</v>
      </c>
      <c r="Y1007">
        <f t="shared" si="108"/>
        <v>0</v>
      </c>
      <c r="Z1007" t="s">
        <v>1108</v>
      </c>
      <c r="AA1007" t="str">
        <f t="shared" si="109"/>
        <v>Low</v>
      </c>
      <c r="AB1007" t="s">
        <v>1103</v>
      </c>
      <c r="AC1007" t="str">
        <f t="shared" si="110"/>
        <v>Yes</v>
      </c>
      <c r="AD1007">
        <v>4</v>
      </c>
      <c r="AE1007">
        <v>16086</v>
      </c>
      <c r="AF1007">
        <v>6434.4000000000005</v>
      </c>
      <c r="AG1007">
        <f t="shared" si="111"/>
        <v>9445.3499999999985</v>
      </c>
    </row>
    <row r="1008" spans="1:33" x14ac:dyDescent="0.25">
      <c r="A1008">
        <v>2007</v>
      </c>
      <c r="B1008" s="1">
        <v>44449</v>
      </c>
      <c r="C1008" s="1">
        <v>44452</v>
      </c>
      <c r="D1008" s="1">
        <v>44454</v>
      </c>
      <c r="E1008" t="s">
        <v>1066</v>
      </c>
      <c r="F1008" t="s">
        <v>1036</v>
      </c>
      <c r="G1008" t="s">
        <v>1072</v>
      </c>
      <c r="H1008" t="str">
        <f t="shared" si="105"/>
        <v>Electronics</v>
      </c>
      <c r="I1008">
        <v>3</v>
      </c>
      <c r="J1008" t="str">
        <f>VLOOKUP(K1008,$AJ$2:$AK$7,2,FALSE)</f>
        <v>S004</v>
      </c>
      <c r="K1008" t="s">
        <v>1100</v>
      </c>
      <c r="L1008">
        <v>3.5</v>
      </c>
      <c r="M1008" t="str">
        <f>IFERROR(VLOOKUP(TRIM(N1008),$AP$2:$AQ$12,2,FALSE),"W001")</f>
        <v>W001</v>
      </c>
      <c r="N1008" t="s">
        <v>1047</v>
      </c>
      <c r="O1008" t="s">
        <v>1059</v>
      </c>
      <c r="P1008" t="str">
        <f>VLOOKUP(O1008,$AL$2:$AM$12,2,FALSE)</f>
        <v>North</v>
      </c>
      <c r="Q1008" t="s">
        <v>1083</v>
      </c>
      <c r="R1008">
        <v>318</v>
      </c>
      <c r="S1008" t="s">
        <v>1066</v>
      </c>
      <c r="T1008">
        <f t="shared" si="106"/>
        <v>1</v>
      </c>
      <c r="U1008">
        <v>159</v>
      </c>
      <c r="V1008">
        <f t="shared" si="107"/>
        <v>10</v>
      </c>
      <c r="W1008" t="s">
        <v>1087</v>
      </c>
      <c r="X1008" t="s">
        <v>1090</v>
      </c>
      <c r="Y1008">
        <f t="shared" si="108"/>
        <v>0</v>
      </c>
      <c r="Z1008" t="s">
        <v>1108</v>
      </c>
      <c r="AA1008" t="str">
        <f t="shared" si="109"/>
        <v>Medium</v>
      </c>
      <c r="AB1008" t="s">
        <v>1103</v>
      </c>
      <c r="AC1008" t="str">
        <f t="shared" si="110"/>
        <v>Yes</v>
      </c>
      <c r="AD1008">
        <v>5</v>
      </c>
      <c r="AE1008">
        <v>78108</v>
      </c>
      <c r="AF1008">
        <v>31243.200000000001</v>
      </c>
      <c r="AG1008">
        <f t="shared" si="111"/>
        <v>46705.8</v>
      </c>
    </row>
    <row r="1009" spans="1:33" x14ac:dyDescent="0.25">
      <c r="A1009">
        <v>2008</v>
      </c>
      <c r="B1009" s="1">
        <v>45797</v>
      </c>
      <c r="C1009" s="1">
        <v>45800</v>
      </c>
      <c r="D1009" s="1">
        <v>45802</v>
      </c>
      <c r="E1009" t="s">
        <v>1065</v>
      </c>
      <c r="F1009" t="s">
        <v>1037</v>
      </c>
      <c r="G1009" t="s">
        <v>1071</v>
      </c>
      <c r="H1009" t="str">
        <f t="shared" si="105"/>
        <v>Clothing</v>
      </c>
      <c r="I1009">
        <v>7</v>
      </c>
      <c r="J1009" t="str">
        <f>VLOOKUP(K1009,$AJ$2:$AK$7,2,FALSE)</f>
        <v>S005</v>
      </c>
      <c r="K1009" t="s">
        <v>1101</v>
      </c>
      <c r="L1009">
        <v>3.9</v>
      </c>
      <c r="M1009" t="str">
        <f>IFERROR(VLOOKUP(TRIM(N1009),$AP$2:$AQ$12,2,FALSE),"W001")</f>
        <v>W007</v>
      </c>
      <c r="N1009" t="s">
        <v>1062</v>
      </c>
      <c r="O1009" t="s">
        <v>1063</v>
      </c>
      <c r="P1009" t="str">
        <f>VLOOKUP(O1009,$AL$2:$AM$12,2,FALSE)</f>
        <v>South</v>
      </c>
      <c r="Q1009" t="s">
        <v>1080</v>
      </c>
      <c r="R1009">
        <v>210</v>
      </c>
      <c r="S1009" t="s">
        <v>1066</v>
      </c>
      <c r="T1009">
        <f t="shared" si="106"/>
        <v>3</v>
      </c>
      <c r="U1009">
        <v>31.5</v>
      </c>
      <c r="V1009">
        <f t="shared" si="107"/>
        <v>4</v>
      </c>
      <c r="W1009" t="s">
        <v>1088</v>
      </c>
      <c r="X1009" t="s">
        <v>1091</v>
      </c>
      <c r="Y1009">
        <f t="shared" si="108"/>
        <v>0</v>
      </c>
      <c r="Z1009" t="s">
        <v>1108</v>
      </c>
      <c r="AA1009" t="str">
        <f t="shared" si="109"/>
        <v>Low</v>
      </c>
      <c r="AB1009" t="s">
        <v>1103</v>
      </c>
      <c r="AC1009" t="str">
        <f t="shared" si="110"/>
        <v>Yes</v>
      </c>
      <c r="AD1009">
        <v>4</v>
      </c>
      <c r="AE1009">
        <v>9632</v>
      </c>
      <c r="AF1009">
        <v>3852.8</v>
      </c>
      <c r="AG1009">
        <f t="shared" si="111"/>
        <v>5747.7</v>
      </c>
    </row>
    <row r="1010" spans="1:33" x14ac:dyDescent="0.25">
      <c r="A1010">
        <v>2009</v>
      </c>
      <c r="B1010" s="1">
        <v>44286</v>
      </c>
      <c r="C1010" s="1">
        <v>44289</v>
      </c>
      <c r="D1010" s="1">
        <v>44296</v>
      </c>
      <c r="E1010" t="s">
        <v>1066</v>
      </c>
      <c r="F1010" t="s">
        <v>1038</v>
      </c>
      <c r="G1010" t="s">
        <v>1068</v>
      </c>
      <c r="H1010" t="str">
        <f t="shared" si="105"/>
        <v>Electronics</v>
      </c>
      <c r="I1010">
        <v>8</v>
      </c>
      <c r="J1010" t="str">
        <f>VLOOKUP(K1010,$AJ$2:$AK$7,2,FALSE)</f>
        <v>S001</v>
      </c>
      <c r="K1010" t="s">
        <v>1097</v>
      </c>
      <c r="L1010">
        <v>3.9</v>
      </c>
      <c r="M1010" t="str">
        <f>IFERROR(VLOOKUP(TRIM(N1010),$AP$2:$AQ$12,2,FALSE),"W001")</f>
        <v>W001</v>
      </c>
      <c r="N1010" t="s">
        <v>1047</v>
      </c>
      <c r="O1010" t="s">
        <v>1049</v>
      </c>
      <c r="P1010" t="str">
        <f>VLOOKUP(O1010,$AL$2:$AM$12,2,FALSE)</f>
        <v>North</v>
      </c>
      <c r="Q1010" t="s">
        <v>1083</v>
      </c>
      <c r="R1010">
        <v>998</v>
      </c>
      <c r="S1010" t="s">
        <v>1078</v>
      </c>
      <c r="T1010">
        <f t="shared" si="106"/>
        <v>2</v>
      </c>
      <c r="U1010">
        <v>499</v>
      </c>
      <c r="V1010">
        <f t="shared" si="107"/>
        <v>10</v>
      </c>
      <c r="W1010" t="s">
        <v>1086</v>
      </c>
      <c r="X1010" t="s">
        <v>1091</v>
      </c>
      <c r="Y1010">
        <f t="shared" si="108"/>
        <v>499</v>
      </c>
      <c r="Z1010" t="s">
        <v>1108</v>
      </c>
      <c r="AA1010" t="str">
        <f t="shared" si="109"/>
        <v>Medium</v>
      </c>
      <c r="AB1010" t="s">
        <v>1103</v>
      </c>
      <c r="AC1010" t="str">
        <f t="shared" si="110"/>
        <v>Yes</v>
      </c>
      <c r="AD1010">
        <v>4</v>
      </c>
      <c r="AE1010">
        <v>508648</v>
      </c>
      <c r="AF1010">
        <v>203459.20000000001</v>
      </c>
      <c r="AG1010">
        <f t="shared" si="111"/>
        <v>304689.8</v>
      </c>
    </row>
    <row r="1011" spans="1:33" x14ac:dyDescent="0.25">
      <c r="A1011">
        <v>2010</v>
      </c>
      <c r="B1011" s="1">
        <v>45644</v>
      </c>
      <c r="C1011" s="1">
        <v>45646</v>
      </c>
      <c r="D1011" s="1">
        <v>45652</v>
      </c>
      <c r="E1011" t="s">
        <v>1065</v>
      </c>
      <c r="F1011" t="s">
        <v>1039</v>
      </c>
      <c r="G1011" t="s">
        <v>1068</v>
      </c>
      <c r="H1011" t="str">
        <f t="shared" si="105"/>
        <v>Electronics</v>
      </c>
      <c r="I1011">
        <v>5</v>
      </c>
      <c r="J1011" t="str">
        <f>VLOOKUP(K1011,$AJ$2:$AK$7,2,FALSE)</f>
        <v>S004</v>
      </c>
      <c r="K1011" t="s">
        <v>1100</v>
      </c>
      <c r="L1011">
        <v>3</v>
      </c>
      <c r="M1011" t="str">
        <f>IFERROR(VLOOKUP(TRIM(N1011),$AP$2:$AQ$12,2,FALSE),"W001")</f>
        <v>W011</v>
      </c>
      <c r="N1011" t="s">
        <v>1059</v>
      </c>
      <c r="O1011" t="s">
        <v>1047</v>
      </c>
      <c r="P1011" t="str">
        <f>VLOOKUP(O1011,$AL$2:$AM$12,2,FALSE)</f>
        <v>West</v>
      </c>
      <c r="Q1011" t="s">
        <v>1084</v>
      </c>
      <c r="R1011">
        <v>244</v>
      </c>
      <c r="S1011" t="s">
        <v>1066</v>
      </c>
      <c r="T1011">
        <f t="shared" si="106"/>
        <v>2</v>
      </c>
      <c r="U1011">
        <v>73.2</v>
      </c>
      <c r="V1011">
        <f t="shared" si="107"/>
        <v>6</v>
      </c>
      <c r="W1011" t="s">
        <v>1086</v>
      </c>
      <c r="X1011" t="s">
        <v>1089</v>
      </c>
      <c r="Y1011">
        <f t="shared" si="108"/>
        <v>73.2</v>
      </c>
      <c r="Z1011" t="s">
        <v>1108</v>
      </c>
      <c r="AA1011" t="str">
        <f t="shared" si="109"/>
        <v>Low</v>
      </c>
      <c r="AB1011" t="s">
        <v>1103</v>
      </c>
      <c r="AC1011" t="str">
        <f t="shared" si="110"/>
        <v>Yes</v>
      </c>
      <c r="AD1011">
        <v>5</v>
      </c>
      <c r="AE1011">
        <v>272855</v>
      </c>
      <c r="AF1011">
        <v>109142</v>
      </c>
      <c r="AG1011">
        <f t="shared" si="111"/>
        <v>163639.79999999999</v>
      </c>
    </row>
    <row r="1012" spans="1:33" x14ac:dyDescent="0.25">
      <c r="A1012">
        <v>2011</v>
      </c>
      <c r="B1012" s="1">
        <v>45390</v>
      </c>
      <c r="C1012" s="1">
        <v>45391</v>
      </c>
      <c r="D1012" s="1">
        <v>45393</v>
      </c>
      <c r="E1012" t="s">
        <v>1066</v>
      </c>
      <c r="F1012" t="s">
        <v>1040</v>
      </c>
      <c r="G1012" t="s">
        <v>1070</v>
      </c>
      <c r="H1012" t="str">
        <f t="shared" si="105"/>
        <v>Furniture</v>
      </c>
      <c r="I1012">
        <v>9</v>
      </c>
      <c r="J1012" t="str">
        <f>VLOOKUP(K1012,$AJ$2:$AK$7,2,FALSE)</f>
        <v>S001</v>
      </c>
      <c r="K1012" t="s">
        <v>1097</v>
      </c>
      <c r="L1012">
        <v>4.7</v>
      </c>
      <c r="M1012" t="str">
        <f>IFERROR(VLOOKUP(TRIM(N1012),$AP$2:$AQ$12,2,FALSE),"W001")</f>
        <v>W011</v>
      </c>
      <c r="N1012" t="s">
        <v>1059</v>
      </c>
      <c r="O1012" t="s">
        <v>1055</v>
      </c>
      <c r="P1012" t="str">
        <f>VLOOKUP(O1012,$AL$2:$AM$12,2,FALSE)</f>
        <v>South</v>
      </c>
      <c r="Q1012" t="s">
        <v>1083</v>
      </c>
      <c r="R1012">
        <v>1413</v>
      </c>
      <c r="S1012" t="s">
        <v>1078</v>
      </c>
      <c r="T1012">
        <f t="shared" si="106"/>
        <v>3</v>
      </c>
      <c r="U1012">
        <v>706.5</v>
      </c>
      <c r="V1012">
        <f t="shared" si="107"/>
        <v>10</v>
      </c>
      <c r="W1012" t="s">
        <v>1088</v>
      </c>
      <c r="X1012" t="s">
        <v>1089</v>
      </c>
      <c r="Y1012">
        <f t="shared" si="108"/>
        <v>0</v>
      </c>
      <c r="Z1012" t="s">
        <v>1108</v>
      </c>
      <c r="AA1012" t="str">
        <f t="shared" si="109"/>
        <v>Medium</v>
      </c>
      <c r="AB1012" t="s">
        <v>1103</v>
      </c>
      <c r="AC1012" t="str">
        <f t="shared" si="110"/>
        <v>Yes</v>
      </c>
      <c r="AD1012">
        <v>5</v>
      </c>
      <c r="AE1012">
        <v>19557</v>
      </c>
      <c r="AF1012">
        <v>7822.8</v>
      </c>
      <c r="AG1012">
        <f t="shared" si="111"/>
        <v>11027.7</v>
      </c>
    </row>
    <row r="1013" spans="1:33" x14ac:dyDescent="0.25">
      <c r="M1013">
        <f>COUNTIF(N:N,"Amritsar")</f>
        <v>75</v>
      </c>
      <c r="AE1013">
        <v>0</v>
      </c>
      <c r="AF1013">
        <v>0</v>
      </c>
      <c r="AG1013">
        <f t="shared" si="111"/>
        <v>0</v>
      </c>
    </row>
    <row r="1014" spans="1:33" x14ac:dyDescent="0.25">
      <c r="M1014">
        <f ca="1">COUNTIF(M:M,"W011")</f>
        <v>0</v>
      </c>
      <c r="AE1014">
        <v>0</v>
      </c>
      <c r="AF1014">
        <v>0</v>
      </c>
      <c r="AG1014">
        <f t="shared" si="111"/>
        <v>0</v>
      </c>
    </row>
  </sheetData>
  <phoneticPr fontId="3" type="noConversion"/>
  <dataValidations disablePrompts="1" count="1">
    <dataValidation type="list" allowBlank="1" showInputMessage="1" showErrorMessage="1" sqref="X3:X1012" xr:uid="{D186FF1C-26D7-47FE-A1FC-1C3151A1EA0D}">
      <formula1>"Paid,Pending,Failed"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2026-04-06T06:32:31Z</dcterms:created>
  <dcterms:modified xsi:type="dcterms:W3CDTF">2026-04-07T06:44:16Z</dcterms:modified>
</cp:coreProperties>
</file>